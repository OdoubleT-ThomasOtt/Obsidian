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filterPrivacy="1" codeName="ThisWorkbook"/>
  <xr:revisionPtr revIDLastSave="0" documentId="13_ncr:1_{19D29C62-2D51-46D0-9FD5-995867F013E7}"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120" yWindow="-120" windowWidth="51840" windowHeight="21120" tabRatio="813"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H44" i="17"/>
  <c r="H43" i="17"/>
  <c r="H42" i="17"/>
  <c r="H41" i="17"/>
  <c r="H40" i="17"/>
  <c r="H39" i="17"/>
  <c r="H38" i="17"/>
  <c r="H37" i="17"/>
  <c r="H36" i="17"/>
  <c r="H35" i="17"/>
  <c r="H34" i="17"/>
  <c r="H33" i="17"/>
  <c r="H32" i="17"/>
  <c r="H31" i="17"/>
  <c r="H30" i="17"/>
  <c r="H29" i="17"/>
  <c r="I26" i="17"/>
  <c r="I48" i="17" s="1"/>
  <c r="H25" i="17"/>
  <c r="H24" i="17"/>
  <c r="H23" i="17"/>
  <c r="H22" i="17"/>
  <c r="H21" i="17"/>
  <c r="H20" i="17"/>
  <c r="H19" i="17"/>
  <c r="H18" i="17"/>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G41"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F118" i="10" l="1"/>
  <c r="F51" i="10"/>
  <c r="F119" i="10" s="1"/>
  <c r="J23" i="21"/>
  <c r="J38" i="21" s="1"/>
  <c r="V82" i="10"/>
  <c r="V84" i="10"/>
  <c r="W75" i="10" s="1"/>
  <c r="V97" i="10"/>
  <c r="V101" i="10"/>
  <c r="W92" i="10" s="1"/>
  <c r="W93" i="10" s="1"/>
  <c r="V85" i="10"/>
  <c r="W76" i="10"/>
  <c r="H59" i="10"/>
  <c r="V37" i="21"/>
  <c r="V22" i="21"/>
  <c r="V19" i="21"/>
  <c r="X8" i="21"/>
  <c r="X10" i="21" s="1"/>
  <c r="W12" i="21"/>
  <c r="W14" i="21" s="1"/>
  <c r="K20" i="21"/>
  <c r="L20" i="21" s="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G106" i="10"/>
  <c r="G9" i="10" s="1"/>
  <c r="G107" i="10"/>
  <c r="AV42" i="21"/>
  <c r="H108" i="10"/>
  <c r="G42" i="10"/>
  <c r="G110" i="10" s="1"/>
  <c r="K23" i="21" l="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X19" i="21" s="1"/>
  <c r="W15" i="9"/>
  <c r="W17" i="9" s="1"/>
  <c r="W18" i="9" s="1"/>
  <c r="T13" i="9"/>
  <c r="T14" i="9" s="1"/>
  <c r="M23" i="21"/>
  <c r="M38" i="21" s="1"/>
  <c r="W84" i="10"/>
  <c r="X75" i="10" s="1"/>
  <c r="W99" i="10"/>
  <c r="W102" i="10" s="1"/>
  <c r="W101" i="10"/>
  <c r="X92" i="10" s="1"/>
  <c r="H63" i="10"/>
  <c r="H67" i="10"/>
  <c r="H65" i="10"/>
  <c r="H68" i="10" s="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X37" i="21" l="1"/>
  <c r="X22" i="21"/>
  <c r="N23" i="2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<sst xmlns="http://schemas.openxmlformats.org/spreadsheetml/2006/main" count="953" uniqueCount="486">
  <si>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</si>
  <si>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</si>
  <si>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</si>
  <si>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</si>
  <si>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</si>
  <si>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</si>
  <si>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</si>
  <si>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</si>
  <si>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</si>
  <si>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</si>
  <si>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</si>
  <si>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</si>
  <si>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</si>
  <si>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</si>
  <si>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</si>
  <si>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</si>
  <si>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</si>
  <si>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</si>
  <si>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</si>
  <si>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</si>
  <si>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</si>
  <si>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</si>
  <si>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</si>
  <si>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</si>
  <si>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</si>
  <si>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</si>
  <si>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</si>
  <si>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</si>
  <si>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</si>
  <si>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</si>
  <si>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</si>
  <si>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</si>
  <si>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</si>
  <si>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</si>
  <si>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</si>
  <si>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</si>
  <si>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</si>
  <si>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</si>
  <si>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</si>
  <si>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</si>
  <si>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</si>
  <si>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</si>
  <si>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</si>
  <si>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</si>
  <si>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</si>
  <si>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</si>
  <si>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</si>
  <si>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</si>
  <si>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</si>
  <si>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</si>
  <si>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</si>
  <si>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</si>
  <si>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</si>
  <si>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</si>
  <si>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</si>
  <si>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</si>
  <si>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</si>
  <si>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</si>
  <si>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</si>
  <si>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</si>
  <si>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</si>
  <si>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</si>
  <si>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</si>
  <si>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</si>
  <si>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</si>
  <si>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</si>
  <si>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</si>
  <si>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</si>
  <si>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</si>
  <si>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</si>
  <si>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</si>
  <si>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</si>
  <si>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</si>
  <si>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</si>
  <si>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</si>
  <si>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</si>
  <si>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</si>
  <si>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</si>
  <si>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</si>
  <si>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</si>
  <si>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</si>
  <si>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</si>
  <si>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</si>
  <si>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</si>
  <si>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</si>
  <si>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</si>
  <si>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</si>
  <si>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</si>
  <si>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</si>
  <si>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</si>
  <si>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</si>
  <si>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</si>
  <si>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</si>
  <si>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</si>
  <si>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</si>
  <si>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</si>
  <si>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</si>
  <si>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</si>
  <si>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</si>
  <si>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</si>
  <si>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</si>
  <si>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</si>
  <si>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</si>
  <si>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</si>
  <si>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</si>
  <si>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</si>
  <si>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</si>
  <si>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</si>
  <si>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</si>
  <si>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</si>
  <si>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</si>
  <si>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</si>
  <si>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</si>
  <si>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</si>
  <si>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</si>
  <si>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</si>
  <si>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</si>
  <si>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</si>
  <si>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</si>
  <si>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</si>
  <si>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</si>
  <si>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</si>
  <si>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</si>
  <si>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</si>
  <si>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</si>
  <si>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</si>
  <si>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</si>
  <si>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</si>
  <si>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</si>
  <si>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</si>
  <si>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</si>
  <si>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</si>
  <si>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</si>
  <si>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</si>
  <si>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</si>
  <si>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</si>
  <si>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</si>
  <si>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</si>
  <si>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</si>
  <si>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</si>
  <si>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</si>
  <si>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</si>
  <si>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</si>
  <si>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</si>
  <si>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</si>
  <si>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</si>
  <si>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</si>
  <si>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</si>
  <si>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</si>
  <si>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</si>
  <si>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</si>
  <si>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</si>
  <si>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</si>
  <si>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</si>
  <si>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</si>
  <si>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</si>
  <si>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</si>
  <si>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inkl. Strom, Internet, TV etc.</t>
  </si>
  <si>
    <t>Nahrungs- und Genussmittel</t>
  </si>
  <si>
    <t>Anschaffungen</t>
  </si>
  <si>
    <t>inkl. Bekleidung</t>
  </si>
  <si>
    <t>Freizeit, Kultur und Hobby</t>
  </si>
  <si>
    <t>Fitness-Center, Fotografie-Ausstattung</t>
  </si>
  <si>
    <t>Urlaub</t>
  </si>
  <si>
    <t>Mobilität</t>
  </si>
  <si>
    <t>PKW in Eigentum</t>
  </si>
  <si>
    <t>Kommunikation</t>
  </si>
  <si>
    <t>Spenden</t>
  </si>
  <si>
    <t>Laufende Sparverträge</t>
  </si>
  <si>
    <t>Aktienanlage</t>
  </si>
  <si>
    <t>Beiträge zur Altersvorsorge</t>
  </si>
  <si>
    <t>Private Versicherungen</t>
  </si>
  <si>
    <t>BU, Unfall, Risiko-Leben</t>
  </si>
  <si>
    <t>Vermietete Immobilien: Bewirtschaftung</t>
  </si>
  <si>
    <t>nicht umagefähig, inkl. Rücklagen</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</si>
  <si>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</si>
  <si>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</si>
  <si>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</si>
  <si>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</si>
  <si>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</si>
  <si>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</si>
  <si>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</si>
  <si>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</si>
  <si>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</si>
  <si>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</si>
  <si>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</si>
  <si>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</si>
  <si>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</si>
  <si>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</si>
  <si>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</si>
  <si>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</si>
  <si>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</si>
  <si>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</si>
  <si>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</si>
  <si>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</si>
  <si>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</si>
  <si>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</si>
  <si>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</si>
  <si>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</si>
  <si>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</si>
  <si>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</si>
  <si>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</si>
  <si>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</si>
  <si>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</si>
  <si>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</si>
  <si>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</si>
  <si>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</si>
  <si>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</si>
  <si>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</si>
  <si>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</si>
  <si>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</si>
  <si>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</si>
  <si>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</si>
  <si>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</si>
  <si>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</si>
  <si>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</si>
  <si>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</si>
  <si>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</si>
  <si>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</si>
  <si>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</si>
  <si>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</si>
  <si>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</si>
  <si>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</si>
  <si>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</si>
  <si>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</si>
  <si>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</si>
  <si>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</si>
  <si>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</si>
  <si>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</si>
  <si>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</si>
  <si>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</si>
  <si>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</si>
  <si>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</si>
  <si>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</si>
  <si>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</si>
  <si>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</si>
  <si>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</si>
  <si>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</si>
  <si>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</si>
  <si>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</si>
  <si>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</si>
  <si>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</si>
  <si>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</si>
  <si>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</si>
  <si>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</si>
  <si>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</si>
  <si>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</si>
  <si>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</si>
  <si>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</si>
  <si>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</si>
  <si>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</si>
  <si>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</si>
  <si>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</si>
  <si>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</si>
  <si>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</si>
  <si>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</si>
  <si>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</si>
  <si>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</si>
  <si>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</si>
  <si>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</si>
  <si>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</si>
  <si>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</si>
  <si>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</si>
  <si>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</si>
  <si>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</si>
  <si>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</si>
  <si>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</si>
  <si>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</si>
  <si>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</si>
  <si>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</si>
  <si>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</si>
  <si>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</si>
  <si>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</si>
  <si>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</si>
  <si>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</si>
  <si>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</si>
  <si>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</si>
  <si>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</si>
  <si>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</si>
  <si>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</si>
  <si>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</si>
  <si>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</si>
  <si>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</si>
  <si>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</si>
  <si>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</si>
  <si>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</si>
  <si>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</si>
  <si>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</si>
  <si>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</si>
  <si>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</si>
  <si>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</si>
  <si>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</si>
  <si>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</si>
  <si>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</si>
  <si>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</si>
  <si>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</si>
  <si>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</si>
  <si>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</si>
  <si>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</si>
  <si>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</si>
  <si>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</si>
  <si>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</si>
  <si>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</si>
  <si>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</si>
  <si>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</si>
  <si>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</si>
  <si>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</si>
  <si>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</si>
  <si>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</si>
  <si>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</si>
  <si>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</si>
  <si>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</si>
  <si>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</si>
  <si>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</si>
  <si>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</si>
  <si>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</si>
  <si>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</si>
  <si>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</si>
  <si>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</si>
  <si>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</si>
  <si>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</si>
  <si>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</si>
  <si>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</si>
  <si>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</si>
  <si>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</si>
  <si>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</si>
  <si>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</si>
  <si>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</si>
  <si>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</si>
  <si>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</si>
  <si>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</si>
  <si>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</si>
  <si>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</si>
  <si>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</si>
  <si>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</si>
  <si>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</si>
  <si>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</si>
  <si>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</si>
  <si>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</si>
  <si>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</si>
  <si>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</si>
  <si>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</si>
  <si>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</si>
  <si>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</si>
  <si>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</si>
  <si>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</si>
  <si>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</si>
  <si>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</si>
  <si>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</si>
  <si>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</si>
  <si>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</si>
  <si>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</si>
  <si>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</si>
  <si>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</si>
  <si>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</si>
  <si>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</si>
  <si>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</si>
  <si>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</si>
  <si>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</si>
  <si>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</si>
  <si>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</si>
  <si>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</si>
  <si>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</si>
  <si>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</si>
  <si>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</si>
  <si>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</si>
  <si>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</si>
  <si>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</si>
  <si>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</si>
  <si>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</si>
  <si>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</si>
  <si>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</si>
  <si>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</si>
  <si>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</si>
  <si>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</si>
  <si>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</si>
  <si>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</si>
  <si>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</si>
  <si>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</si>
  <si>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</si>
  <si>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</si>
  <si>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</si>
  <si>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</si>
  <si>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</si>
  <si>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</si>
  <si>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</si>
  <si>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</si>
  <si>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</si>
  <si>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</si>
  <si>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</si>
  <si>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</si>
  <si>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</si>
  <si>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</si>
  <si>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</si>
  <si>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</si>
  <si>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</si>
  <si>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</si>
  <si>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</si>
  <si>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</si>
  <si>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</si>
  <si>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</si>
  <si>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</si>
  <si>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</si>
  <si>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</si>
  <si>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</si>
  <si>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</si>
  <si>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</si>
  <si>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</si>
  <si>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</si>
  <si>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</si>
  <si>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</si>
  <si>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</si>
  <si>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</si>
  <si>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</si>
  <si>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</si>
  <si>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</si>
  <si>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</si>
  <si>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</si>
  <si>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</si>
  <si>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</si>
  <si>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</si>
  <si>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</si>
  <si>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</si>
  <si>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</si>
  <si>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</si>
  <si>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</si>
  <si>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</si>
  <si>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</si>
  <si>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</si>
  <si>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</si>
  <si>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</si>
  <si>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</si>
  <si>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</si>
  <si>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</si>
  <si>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</si>
  <si>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</si>
  <si>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</si>
  <si>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</si>
  <si>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</si>
  <si>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</si>
  <si>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</si>
  <si>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</si>
  <si>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</si>
  <si>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</si>
  <si>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</si>
  <si>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</si>
  <si>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</si>
  <si>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</si>
  <si>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</si>
  <si>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</si>
  <si>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</si>
  <si>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</si>
  <si>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</si>
  <si>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</si>
  <si>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</si>
  <si>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</si>
  <si>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</si>
  <si>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</si>
  <si>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</si>
  <si>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</si>
  <si>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</si>
  <si>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</si>
  <si>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</si>
  <si>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</si>
  <si>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</si>
  <si>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</si>
  <si>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</si>
  <si>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</si>
  <si>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</si>
  <si>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</si>
  <si>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</si>
  <si>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</si>
  <si>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</si>
  <si>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</si>
  <si>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</si>
  <si>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</si>
  <si>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</si>
  <si>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</si>
  <si>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</si>
  <si>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Musterstr. 11, 1234 Musterstadt</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</si>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</sst>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15" fillId="11" borderId="0" xfId="0" applyFont="1" applyFill="1" applyAlignment="1">
      <alignment horizontal="center" vertical="center"/>
    </xf>
    <xf numFmtId="0" fontId="11" fillId="11" borderId="0" xfId="18" applyFill="1" applyAlignment="1" applyProtection="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2" fillId="11" borderId="41" xfId="0" applyFont="1" applyFill="1" applyBorder="1" applyAlignment="1">
      <alignment horizontal="left"/>
    </xf>
    <xf numFmtId="0" fontId="12" fillId="11" borderId="43" xfId="0" applyFont="1" applyFill="1" applyBorder="1" applyAlignment="1">
      <alignment horizontal="left"/>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0" fontId="12" fillId="11" borderId="42" xfId="0" applyFont="1" applyFill="1" applyBorder="1" applyAlignment="1">
      <alignment horizontal="left"/>
    </xf>
    <xf numFmtId="0" fontId="12" fillId="11" borderId="44" xfId="0" applyFont="1" applyFill="1" applyBorder="1" applyAlignment="1">
      <alignment horizontal="left"/>
    </xf>
    <xf numFmtId="0" fontId="12" fillId="11" borderId="45" xfId="0" applyFont="1" applyFill="1" applyBorder="1" applyAlignment="1">
      <alignment horizontal="left"/>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2" fillId="0" borderId="69" xfId="0" applyFont="1" applyBorder="1"/>
    <xf numFmtId="0" fontId="2" fillId="0" borderId="4" xfId="0" applyFont="1" applyBorder="1"/>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11" fillId="11" borderId="0" xfId="18" applyFill="1" applyAlignment="1" applyProtection="1">
      <alignment horizontal="right" vertical="center"/>
    </xf>
    <xf numFmtId="0" fontId="2" fillId="13" borderId="61" xfId="0" applyFont="1" applyFill="1" applyBorder="1" applyProtection="1">
      <protection locked="0"/>
    </xf>
    <xf numFmtId="0" fontId="2" fillId="13" borderId="62" xfId="0" applyFont="1" applyFill="1" applyBorder="1" applyProtection="1">
      <protection locked="0"/>
    </xf>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2" fillId="0" borderId="29" xfId="0" applyFont="1" applyBorder="1"/>
    <xf numFmtId="0" fontId="2" fillId="0" borderId="67" xfId="0" applyFont="1" applyBorder="1"/>
    <xf numFmtId="0" fontId="2" fillId="0" borderId="41" xfId="0" applyFont="1" applyBorder="1" applyAlignment="1">
      <alignment horizontal="left"/>
    </xf>
    <xf numFmtId="0" fontId="2" fillId="0" borderId="42" xfId="0" applyFont="1" applyBorder="1" applyAlignment="1">
      <alignment horizontal="left"/>
    </xf>
    <xf numFmtId="0" fontId="2" fillId="0" borderId="56" xfId="0" applyFont="1" applyBorder="1"/>
    <xf numFmtId="0" fontId="2" fillId="0" borderId="64" xfId="0" applyFont="1" applyBorder="1"/>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11" fillId="11" borderId="0" xfId="18" applyFill="1" applyAlignment="1">
      <alignment horizontal="center" vertical="center"/>
    </xf>
    <xf numFmtId="0" fontId="11" fillId="12" borderId="0" xfId="18" applyFill="1" applyAlignment="1">
      <alignment horizontal="center" vertical="center"/>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2" fillId="0" borderId="69" xfId="0" quotePrefix="1" applyFont="1" applyBorder="1"/>
    <xf numFmtId="0" fontId="2" fillId="0" borderId="4" xfId="0" quotePrefix="1" applyFont="1" applyBorder="1"/>
    <xf numFmtId="0" fontId="11" fillId="12" borderId="0" xfId="0" applyFont="1" applyFill="1" applyAlignment="1">
      <alignment horizontal="center" vertical="center"/>
    </xf>
    <xf numFmtId="0" fontId="2" fillId="0" borderId="56" xfId="0" quotePrefix="1" applyFont="1" applyBorder="1"/>
    <xf numFmtId="0" fontId="2" fillId="0" borderId="64" xfId="0" quotePrefix="1" applyFont="1" applyBorder="1"/>
    <xf numFmtId="0" fontId="2" fillId="0" borderId="53" xfId="0" applyFont="1" applyBorder="1"/>
    <xf numFmtId="0" fontId="2" fillId="0" borderId="82" xfId="0"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2" fillId="0" borderId="51" xfId="0" quotePrefix="1" applyFont="1" applyBorder="1"/>
    <xf numFmtId="0" fontId="2" fillId="0" borderId="65" xfId="0" quotePrefix="1" applyFont="1" applyBorder="1"/>
    <xf numFmtId="0" fontId="2" fillId="0" borderId="46" xfId="0" quotePrefix="1" applyFont="1" applyBorder="1"/>
    <xf numFmtId="0" fontId="2" fillId="0" borderId="70" xfId="0" quotePrefix="1" applyFont="1" applyBorder="1"/>
    <xf numFmtId="0" fontId="2" fillId="0" borderId="69" xfId="0" applyFont="1" applyBorder="1" applyAlignment="1">
      <alignment horizontal="right"/>
    </xf>
    <xf numFmtId="0" fontId="2" fillId="0" borderId="4" xfId="0"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0" fillId="9" borderId="69" xfId="0" applyFill="1" applyBorder="1"/>
    <xf numFmtId="0" fontId="0" fillId="9" borderId="3" xfId="0" applyFill="1" applyBorder="1"/>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29" xfId="0" applyFont="1" applyFill="1" applyBorder="1" applyAlignment="1">
      <alignment horizontal="center" vertical="center"/>
    </xf>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11" borderId="89" xfId="0" applyFont="1" applyFill="1" applyBorder="1" applyAlignment="1">
      <alignment horizontal="center" vertical="center"/>
    </xf>
    <xf numFmtId="0" fontId="17" fillId="8" borderId="87"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94" xfId="0" applyFont="1" applyFill="1" applyBorder="1" applyAlignment="1">
      <alignment horizontal="center" vertical="center" wrapText="1"/>
    </xf>
    <xf numFmtId="0" fontId="17" fillId="8" borderId="93"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21" fillId="9" borderId="0" xfId="0" applyFont="1" applyFill="1" applyAlignment="1">
      <alignment horizontal="center" vertical="center"/>
    </xf>
    <xf numFmtId="0" fontId="11" fillId="11" borderId="0" xfId="18" applyFill="1" applyAlignment="1">
      <alignment horizontal="left" vertical="center"/>
    </xf>
    <xf numFmtId="0" fontId="2" fillId="0" borderId="3" xfId="0" quotePrefix="1" applyFont="1" applyBorder="1"/>
    <xf numFmtId="0" fontId="2" fillId="0" borderId="61" xfId="0" applyFont="1" applyBorder="1"/>
    <xf numFmtId="0" fontId="2" fillId="0" borderId="97" xfId="0" quotePrefix="1" applyFont="1" applyBorder="1" applyAlignment="1">
      <alignment horizontal="right"/>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2" fillId="9" borderId="0" xfId="0" applyFont="1" applyFill="1" applyAlignment="1">
      <alignment vertical="top" wrapText="1"/>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0" fontId="12" fillId="11" borderId="80" xfId="0" applyFont="1" applyFill="1" applyBorder="1" applyAlignment="1">
      <alignment wrapText="1"/>
    </xf>
    <xf numFmtId="0" fontId="12" fillId="11" borderId="81" xfId="0" applyFont="1" applyFill="1" applyBorder="1" applyAlignment="1">
      <alignment wrapText="1"/>
    </xf>
    <xf numFmtId="0" fontId="0" fillId="9" borderId="0" xfId="0" applyFill="1" applyAlignment="1">
      <alignment horizontal="left"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92000</c:v>
                </c:pt>
                <c:pt idx="1">
                  <c:v>#N/A</c:v>
                </c:pt>
                <c:pt idx="2">
                  <c:v>34569</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82.388000000000005</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130.33333333333334</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314.33333333333331</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313</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92000</c:v>
                </c:pt>
                <c:pt idx="1">
                  <c:v>90436</c:v>
                </c:pt>
                <c:pt idx="2">
                  <c:v>88807.876000000004</c:v>
                </c:pt>
                <c:pt idx="3">
                  <c:v>87112.998916000011</c:v>
                </c:pt>
                <c:pt idx="4">
                  <c:v>85348.631871556019</c:v>
                </c:pt>
                <c:pt idx="5">
                  <c:v>83511.92577828982</c:v>
                </c:pt>
                <c:pt idx="6">
                  <c:v>81599.914735199709</c:v>
                </c:pt>
                <c:pt idx="7">
                  <c:v>79609.511239342901</c:v>
                </c:pt>
                <c:pt idx="8">
                  <c:v>77537.501200155966</c:v>
                </c:pt>
                <c:pt idx="9">
                  <c:v>75380.538749362357</c:v>
                </c:pt>
                <c:pt idx="10">
                  <c:v>73135.140838086212</c:v>
                </c:pt>
                <c:pt idx="11">
                  <c:v>70797.681612447748</c:v>
                </c:pt>
                <c:pt idx="12">
                  <c:v>68364.386558558108</c:v>
                </c:pt>
                <c:pt idx="13">
                  <c:v>65831.326407458997</c:v>
                </c:pt>
                <c:pt idx="14">
                  <c:v>63194.410790164817</c:v>
                </c:pt>
                <c:pt idx="15">
                  <c:v>60449.381632561577</c:v>
                </c:pt>
                <c:pt idx="16">
                  <c:v>57591.806279496603</c:v>
                </c:pt>
                <c:pt idx="17">
                  <c:v>54617.070336955963</c:v>
                </c:pt>
                <c:pt idx="18">
                  <c:v>51520.370220771161</c:v>
                </c:pt>
                <c:pt idx="19">
                  <c:v>48296.705399822778</c:v>
                </c:pt>
                <c:pt idx="20">
                  <c:v>44940.870321215509</c:v>
                </c:pt>
                <c:pt idx="21">
                  <c:v>41447.446004385347</c:v>
                </c:pt>
                <c:pt idx="22">
                  <c:v>37810.791290565146</c:v>
                </c:pt>
                <c:pt idx="23">
                  <c:v>34025.033733478318</c:v>
                </c:pt>
                <c:pt idx="24">
                  <c:v>30084.060116550929</c:v>
                </c:pt>
                <c:pt idx="25">
                  <c:v>25981.506581329515</c:v>
                </c:pt>
                <c:pt idx="26">
                  <c:v>21710.748351164024</c:v>
                </c:pt>
                <c:pt idx="27">
                  <c:v>17264.889033561747</c:v>
                </c:pt>
                <c:pt idx="28">
                  <c:v>12636.74948393778</c:v>
                </c:pt>
                <c:pt idx="29">
                  <c:v>7818.8562127792284</c:v>
                </c:pt>
                <c:pt idx="30">
                  <c:v>2803.4293175031771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3772</c:v>
                </c:pt>
                <c:pt idx="1">
                  <c:v>7479.8760000000002</c:v>
                </c:pt>
                <c:pt idx="2">
                  <c:v>11120.998916</c:v>
                </c:pt>
                <c:pt idx="3">
                  <c:v>14692.631871556001</c:v>
                </c:pt>
                <c:pt idx="4">
                  <c:v>18191.925778289798</c:v>
                </c:pt>
                <c:pt idx="5">
                  <c:v>21615.91473519968</c:v>
                </c:pt>
                <c:pt idx="6">
                  <c:v>24961.511239342868</c:v>
                </c:pt>
                <c:pt idx="7">
                  <c:v>28225.501200155926</c:v>
                </c:pt>
                <c:pt idx="8">
                  <c:v>31404.53874936232</c:v>
                </c:pt>
                <c:pt idx="9">
                  <c:v>34495.140838086176</c:v>
                </c:pt>
                <c:pt idx="10">
                  <c:v>37493.681612447712</c:v>
                </c:pt>
                <c:pt idx="11">
                  <c:v>40396.386558558072</c:v>
                </c:pt>
                <c:pt idx="12">
                  <c:v>43199.326407458953</c:v>
                </c:pt>
                <c:pt idx="13">
                  <c:v>45898.410790164773</c:v>
                </c:pt>
                <c:pt idx="14">
                  <c:v>48489.381632561533</c:v>
                </c:pt>
                <c:pt idx="15">
                  <c:v>50967.806279496559</c:v>
                </c:pt>
                <c:pt idx="16">
                  <c:v>53329.07033695592</c:v>
                </c:pt>
                <c:pt idx="17">
                  <c:v>55568.370220771118</c:v>
                </c:pt>
                <c:pt idx="18">
                  <c:v>57680.705399822735</c:v>
                </c:pt>
                <c:pt idx="19">
                  <c:v>59660.870321215465</c:v>
                </c:pt>
                <c:pt idx="20">
                  <c:v>61503.446004385303</c:v>
                </c:pt>
                <c:pt idx="21">
                  <c:v>63202.791290565103</c:v>
                </c:pt>
                <c:pt idx="22">
                  <c:v>64753.033733478274</c:v>
                </c:pt>
                <c:pt idx="23">
                  <c:v>66148.060116550885</c:v>
                </c:pt>
                <c:pt idx="24">
                  <c:v>67381.506581329479</c:v>
                </c:pt>
                <c:pt idx="25">
                  <c:v>68446.748351163988</c:v>
                </c:pt>
                <c:pt idx="26">
                  <c:v>69336.889033561718</c:v>
                </c:pt>
                <c:pt idx="27">
                  <c:v>70044.749483937747</c:v>
                </c:pt>
                <c:pt idx="28">
                  <c:v>70562.856212779196</c:v>
                </c:pt>
                <c:pt idx="29">
                  <c:v>70883.429317503149</c:v>
                </c:pt>
                <c:pt idx="30">
                  <c:v>70998.369919520774</c:v>
                </c:pt>
                <c:pt idx="31">
                  <c:v>70998.369919520774</c:v>
                </c:pt>
                <c:pt idx="32">
                  <c:v>70998.369919520774</c:v>
                </c:pt>
                <c:pt idx="33">
                  <c:v>70998.369919520774</c:v>
                </c:pt>
                <c:pt idx="34">
                  <c:v>70998.369919520774</c:v>
                </c:pt>
                <c:pt idx="35">
                  <c:v>70998.369919520774</c:v>
                </c:pt>
                <c:pt idx="36">
                  <c:v>70998.369919520774</c:v>
                </c:pt>
                <c:pt idx="37">
                  <c:v>70998.369919520774</c:v>
                </c:pt>
                <c:pt idx="38">
                  <c:v>70998.369919520774</c:v>
                </c:pt>
                <c:pt idx="39">
                  <c:v>70998.369919520774</c:v>
                </c:pt>
                <c:pt idx="40">
                  <c:v>70998.369919520774</c:v>
                </c:pt>
                <c:pt idx="41">
                  <c:v>70998.369919520774</c:v>
                </c:pt>
                <c:pt idx="42">
                  <c:v>70998.369919520774</c:v>
                </c:pt>
                <c:pt idx="43">
                  <c:v>70998.369919520774</c:v>
                </c:pt>
                <c:pt idx="44">
                  <c:v>70998.369919520774</c:v>
                </c:pt>
                <c:pt idx="45">
                  <c:v>70998.369919520774</c:v>
                </c:pt>
                <c:pt idx="46">
                  <c:v>70998.369919520774</c:v>
                </c:pt>
                <c:pt idx="47">
                  <c:v>70998.369919520774</c:v>
                </c:pt>
                <c:pt idx="48">
                  <c:v>70998.369919520774</c:v>
                </c:pt>
                <c:pt idx="49">
                  <c:v>70998.369919520774</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23000</c:v>
                </c:pt>
                <c:pt idx="1">
                  <c:v>26864</c:v>
                </c:pt>
                <c:pt idx="2">
                  <c:v>30838.123999999996</c:v>
                </c:pt>
                <c:pt idx="3">
                  <c:v>34925.921083999987</c:v>
                </c:pt>
                <c:pt idx="4">
                  <c:v>39131.066528443975</c:v>
                </c:pt>
                <c:pt idx="5">
                  <c:v>43457.366589710175</c:v>
                </c:pt>
                <c:pt idx="6">
                  <c:v>47908.763480160284</c:v>
                </c:pt>
                <c:pt idx="7">
                  <c:v>52489.340540324294</c:v>
                </c:pt>
                <c:pt idx="8">
                  <c:v>57203.327615104587</c:v>
                </c:pt>
                <c:pt idx="9">
                  <c:v>62055.10664220342</c:v>
                </c:pt>
                <c:pt idx="10">
                  <c:v>67049.217461310895</c:v>
                </c:pt>
                <c:pt idx="11">
                  <c:v>72190.363852937298</c:v>
                </c:pt>
                <c:pt idx="12">
                  <c:v>77483.419816134628</c:v>
                </c:pt>
                <c:pt idx="13">
                  <c:v>82933.436094727585</c:v>
                </c:pt>
                <c:pt idx="14">
                  <c:v>88545.646962065512</c:v>
                </c:pt>
                <c:pt idx="15">
                  <c:v>94325.477274713354</c:v>
                </c:pt>
                <c:pt idx="16">
                  <c:v>100278.54980592383</c:v>
                </c:pt>
                <c:pt idx="17">
                  <c:v>106410.69287017289</c:v>
                </c:pt>
                <c:pt idx="18">
                  <c:v>112727.94825050027</c:v>
                </c:pt>
                <c:pt idx="19">
                  <c:v>119236.57944087409</c:v>
                </c:pt>
                <c:pt idx="20">
                  <c:v>125943.08021629529</c:v>
                </c:pt>
                <c:pt idx="21">
                  <c:v>132854.18354387564</c:v>
                </c:pt>
                <c:pt idx="22">
                  <c:v>139976.87084866106</c:v>
                </c:pt>
                <c:pt idx="23">
                  <c:v>147318.38164853244</c:v>
                </c:pt>
                <c:pt idx="24">
                  <c:v>154886.22357310005</c:v>
                </c:pt>
                <c:pt idx="25">
                  <c:v>162688.18278211448</c:v>
                </c:pt>
                <c:pt idx="26">
                  <c:v>170732.33479954884</c:v>
                </c:pt>
                <c:pt idx="27">
                  <c:v>179027.05578016536</c:v>
                </c:pt>
                <c:pt idx="28">
                  <c:v>187581.03422606387</c:v>
                </c:pt>
                <c:pt idx="29">
                  <c:v>196403.28317142243</c:v>
                </c:pt>
                <c:pt idx="30">
                  <c:v>205503.15285438253</c:v>
                </c:pt>
                <c:pt idx="31">
                  <c:v>212472.71381532343</c:v>
                </c:pt>
                <c:pt idx="32">
                  <c:v>216722.16809162989</c:v>
                </c:pt>
                <c:pt idx="33">
                  <c:v>221056.61145346248</c:v>
                </c:pt>
                <c:pt idx="34">
                  <c:v>225477.74368253173</c:v>
                </c:pt>
                <c:pt idx="35">
                  <c:v>229987.29855618236</c:v>
                </c:pt>
                <c:pt idx="36">
                  <c:v>234587.04452730602</c:v>
                </c:pt>
                <c:pt idx="37">
                  <c:v>239278.78541785214</c:v>
                </c:pt>
                <c:pt idx="38">
                  <c:v>244064.36112620917</c:v>
                </c:pt>
                <c:pt idx="39">
                  <c:v>248945.64834873335</c:v>
                </c:pt>
                <c:pt idx="40">
                  <c:v>253924.56131570801</c:v>
                </c:pt>
                <c:pt idx="41">
                  <c:v>259003.05254202217</c:v>
                </c:pt>
                <c:pt idx="42">
                  <c:v>264183.11359286262</c:v>
                </c:pt>
                <c:pt idx="43">
                  <c:v>269466.77586471988</c:v>
                </c:pt>
                <c:pt idx="44">
                  <c:v>274856.11138201429</c:v>
                </c:pt>
                <c:pt idx="45">
                  <c:v>280353.23360965459</c:v>
                </c:pt>
                <c:pt idx="46">
                  <c:v>285960.29828184767</c:v>
                </c:pt>
                <c:pt idx="47">
                  <c:v>291679.50424748461</c:v>
                </c:pt>
                <c:pt idx="48">
                  <c:v>297513.0943324343</c:v>
                </c:pt>
                <c:pt idx="49">
                  <c:v>303463.35621908295</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115000</c:v>
                </c:pt>
                <c:pt idx="1">
                  <c:v>117300</c:v>
                </c:pt>
                <c:pt idx="2">
                  <c:v>119646</c:v>
                </c:pt>
                <c:pt idx="3">
                  <c:v>122038.92</c:v>
                </c:pt>
                <c:pt idx="4">
                  <c:v>124479.69839999999</c:v>
                </c:pt>
                <c:pt idx="5">
                  <c:v>126969.29236799999</c:v>
                </c:pt>
                <c:pt idx="6">
                  <c:v>129508.67821535999</c:v>
                </c:pt>
                <c:pt idx="7">
                  <c:v>132098.85177966719</c:v>
                </c:pt>
                <c:pt idx="8">
                  <c:v>134740.82881526055</c:v>
                </c:pt>
                <c:pt idx="9">
                  <c:v>137435.64539156578</c:v>
                </c:pt>
                <c:pt idx="10">
                  <c:v>140184.35829939711</c:v>
                </c:pt>
                <c:pt idx="11">
                  <c:v>142988.04546538505</c:v>
                </c:pt>
                <c:pt idx="12">
                  <c:v>145847.80637469274</c:v>
                </c:pt>
                <c:pt idx="13">
                  <c:v>148764.76250218658</c:v>
                </c:pt>
                <c:pt idx="14">
                  <c:v>151740.05775223032</c:v>
                </c:pt>
                <c:pt idx="15">
                  <c:v>154774.85890727493</c:v>
                </c:pt>
                <c:pt idx="16">
                  <c:v>157870.35608542044</c:v>
                </c:pt>
                <c:pt idx="17">
                  <c:v>161027.76320712885</c:v>
                </c:pt>
                <c:pt idx="18">
                  <c:v>164248.31847127143</c:v>
                </c:pt>
                <c:pt idx="19">
                  <c:v>167533.28484069687</c:v>
                </c:pt>
                <c:pt idx="20">
                  <c:v>170883.9505375108</c:v>
                </c:pt>
                <c:pt idx="21">
                  <c:v>174301.629548261</c:v>
                </c:pt>
                <c:pt idx="22">
                  <c:v>177787.66213922622</c:v>
                </c:pt>
                <c:pt idx="23">
                  <c:v>181343.41538201075</c:v>
                </c:pt>
                <c:pt idx="24">
                  <c:v>184970.28368965097</c:v>
                </c:pt>
                <c:pt idx="25">
                  <c:v>188669.68936344399</c:v>
                </c:pt>
                <c:pt idx="26">
                  <c:v>192443.08315071286</c:v>
                </c:pt>
                <c:pt idx="27">
                  <c:v>196291.94481372711</c:v>
                </c:pt>
                <c:pt idx="28">
                  <c:v>200217.78371000165</c:v>
                </c:pt>
                <c:pt idx="29">
                  <c:v>204222.13938420167</c:v>
                </c:pt>
                <c:pt idx="30">
                  <c:v>208306.5821718857</c:v>
                </c:pt>
                <c:pt idx="31">
                  <c:v>212472.71381532343</c:v>
                </c:pt>
                <c:pt idx="32">
                  <c:v>216722.16809162989</c:v>
                </c:pt>
                <c:pt idx="33">
                  <c:v>221056.61145346248</c:v>
                </c:pt>
                <c:pt idx="34">
                  <c:v>225477.74368253173</c:v>
                </c:pt>
                <c:pt idx="35">
                  <c:v>229987.29855618236</c:v>
                </c:pt>
                <c:pt idx="36">
                  <c:v>234587.04452730602</c:v>
                </c:pt>
                <c:pt idx="37">
                  <c:v>239278.78541785214</c:v>
                </c:pt>
                <c:pt idx="38">
                  <c:v>244064.36112620917</c:v>
                </c:pt>
                <c:pt idx="39">
                  <c:v>248945.64834873335</c:v>
                </c:pt>
                <c:pt idx="40">
                  <c:v>253924.56131570801</c:v>
                </c:pt>
                <c:pt idx="41">
                  <c:v>259003.05254202217</c:v>
                </c:pt>
                <c:pt idx="42">
                  <c:v>264183.11359286262</c:v>
                </c:pt>
                <c:pt idx="43">
                  <c:v>269466.77586471988</c:v>
                </c:pt>
                <c:pt idx="44">
                  <c:v>274856.11138201429</c:v>
                </c:pt>
                <c:pt idx="45">
                  <c:v>280353.23360965459</c:v>
                </c:pt>
                <c:pt idx="46">
                  <c:v>285960.29828184767</c:v>
                </c:pt>
                <c:pt idx="47">
                  <c:v>291679.50424748461</c:v>
                </c:pt>
                <c:pt idx="48">
                  <c:v>297513.0943324343</c:v>
                </c:pt>
                <c:pt idx="49">
                  <c:v>303463.35621908295</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115000</c:v>
                </c:pt>
                <c:pt idx="1">
                  <c:v>11569</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92000</c:v>
                </c:pt>
                <c:pt idx="1">
                  <c:v>#N/A</c:v>
                </c:pt>
                <c:pt idx="2">
                  <c:v>34569</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218.988</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314.33333333333331</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-52.732833333333318</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130.33333333333334</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449.6</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-161.3218333333333</c:v>
                </c:pt>
                <c:pt idx="1">
                  <c:v>-153.92346000000001</c:v>
                </c:pt>
                <c:pt idx="2">
                  <c:v>-145.99382199999994</c:v>
                </c:pt>
                <c:pt idx="3">
                  <c:v>-137.4984433587999</c:v>
                </c:pt>
                <c:pt idx="4">
                  <c:v>-128.4006925746867</c:v>
                </c:pt>
                <c:pt idx="5">
                  <c:v>-118.66165011412278</c:v>
                </c:pt>
                <c:pt idx="6">
                  <c:v>-108.23996783458362</c:v>
                </c:pt>
                <c:pt idx="7">
                  <c:v>-97.091719845671278</c:v>
                </c:pt>
                <c:pt idx="8">
                  <c:v>-85.170244289749618</c:v>
                </c:pt>
                <c:pt idx="9">
                  <c:v>-72.425975492018239</c:v>
                </c:pt>
                <c:pt idx="10">
                  <c:v>-58.806265896725066</c:v>
                </c:pt>
                <c:pt idx="11">
                  <c:v>-44.255197170998088</c:v>
                </c:pt>
                <c:pt idx="12">
                  <c:v>-28.713379820435904</c:v>
                </c:pt>
                <c:pt idx="13">
                  <c:v>-12.117740621006689</c:v>
                </c:pt>
                <c:pt idx="14">
                  <c:v>5.5987028701709676</c:v>
                </c:pt>
                <c:pt idx="15">
                  <c:v>24.507081507097951</c:v>
                </c:pt>
                <c:pt idx="16">
                  <c:v>44.682928279331009</c:v>
                </c:pt>
                <c:pt idx="17">
                  <c:v>66.206447447730028</c:v>
                </c:pt>
                <c:pt idx="18">
                  <c:v>89.162800023701635</c:v>
                </c:pt>
                <c:pt idx="19">
                  <c:v>113.64240658035891</c:v>
                </c:pt>
                <c:pt idx="20">
                  <c:v>139.74126844363889</c:v>
                </c:pt>
                <c:pt idx="21">
                  <c:v>150.39575718670545</c:v>
                </c:pt>
                <c:pt idx="22">
                  <c:v>161.33472993861972</c:v>
                </c:pt>
                <c:pt idx="23">
                  <c:v>172.56491533252108</c:v>
                </c:pt>
                <c:pt idx="24">
                  <c:v>184.09316252496484</c:v>
                </c:pt>
                <c:pt idx="25">
                  <c:v>195.92644133098088</c:v>
                </c:pt>
                <c:pt idx="26">
                  <c:v>208.07184221756143</c:v>
                </c:pt>
                <c:pt idx="27">
                  <c:v>220.53657614530084</c:v>
                </c:pt>
                <c:pt idx="28">
                  <c:v>233.3279742473502</c:v>
                </c:pt>
                <c:pt idx="29">
                  <c:v>246.45348733428341</c:v>
                </c:pt>
                <c:pt idx="30">
                  <c:v>461.38985858609249</c:v>
                </c:pt>
                <c:pt idx="31">
                  <c:v>721.70801691579129</c:v>
                </c:pt>
                <c:pt idx="32">
                  <c:v>743.30976637543336</c:v>
                </c:pt>
                <c:pt idx="33">
                  <c:v>765.5811621979085</c:v>
                </c:pt>
                <c:pt idx="34">
                  <c:v>788.54272565168242</c:v>
                </c:pt>
                <c:pt idx="35">
                  <c:v>812.21560228082569</c:v>
                </c:pt>
                <c:pt idx="36">
                  <c:v>836.62158080603547</c:v>
                </c:pt>
                <c:pt idx="37">
                  <c:v>861.78311259613747</c:v>
                </c:pt>
                <c:pt idx="38">
                  <c:v>887.72333172726053</c:v>
                </c:pt>
                <c:pt idx="39">
                  <c:v>914.46607564738201</c:v>
                </c:pt>
                <c:pt idx="40">
                  <c:v>942.03590646447321</c:v>
                </c:pt>
                <c:pt idx="41">
                  <c:v>970.45813287703049</c:v>
                </c:pt>
                <c:pt idx="42">
                  <c:v>999.75883276633749</c:v>
                </c:pt>
                <c:pt idx="43">
                  <c:v>1029.9648764703832</c:v>
                </c:pt>
                <c:pt idx="44">
                  <c:v>1061.1039507599712</c:v>
                </c:pt>
                <c:pt idx="45">
                  <c:v>1093.2045835381571</c:v>
                </c:pt>
                <c:pt idx="46">
                  <c:v>1126.2961692847957</c:v>
                </c:pt>
                <c:pt idx="47">
                  <c:v>1160.4089952686436</c:v>
                </c:pt>
                <c:pt idx="48">
                  <c:v>1195.5742685501132</c:v>
                </c:pt>
                <c:pt idx="49">
                  <c:v>1231.8241437984948</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-36504.862000000001</c:v>
                </c:pt>
                <c:pt idx="1">
                  <c:v>-38351.943520000001</c:v>
                </c:pt>
                <c:pt idx="2">
                  <c:v>-40103.869383999998</c:v>
                </c:pt>
                <c:pt idx="3">
                  <c:v>-41753.850704305602</c:v>
                </c:pt>
                <c:pt idx="4">
                  <c:v>-43294.65901520184</c:v>
                </c:pt>
                <c:pt idx="5">
                  <c:v>-44718.598816571313</c:v>
                </c:pt>
                <c:pt idx="6">
                  <c:v>-46017.478430586314</c:v>
                </c:pt>
                <c:pt idx="7">
                  <c:v>-47182.579068734369</c:v>
                </c:pt>
                <c:pt idx="8">
                  <c:v>-48204.622000211362</c:v>
                </c:pt>
                <c:pt idx="9">
                  <c:v>-49073.733706115585</c:v>
                </c:pt>
                <c:pt idx="10">
                  <c:v>-49779.408896876281</c:v>
                </c:pt>
                <c:pt idx="11">
                  <c:v>-50310.471262928259</c:v>
                </c:pt>
                <c:pt idx="12">
                  <c:v>-50655.031820773496</c:v>
                </c:pt>
                <c:pt idx="13">
                  <c:v>-50800.444708225572</c:v>
                </c:pt>
                <c:pt idx="14">
                  <c:v>-50733.260273783526</c:v>
                </c:pt>
                <c:pt idx="15">
                  <c:v>-50439.175295698347</c:v>
                </c:pt>
                <c:pt idx="16">
                  <c:v>-49902.980156346377</c:v>
                </c:pt>
                <c:pt idx="17">
                  <c:v>-49108.502786973615</c:v>
                </c:pt>
                <c:pt idx="18">
                  <c:v>-48038.549186689197</c:v>
                </c:pt>
                <c:pt idx="19">
                  <c:v>-46674.840307724888</c:v>
                </c:pt>
                <c:pt idx="20">
                  <c:v>-44997.945086401218</c:v>
                </c:pt>
                <c:pt idx="21">
                  <c:v>-43193.196000160759</c:v>
                </c:pt>
                <c:pt idx="22">
                  <c:v>-41257.17924089732</c:v>
                </c:pt>
                <c:pt idx="23">
                  <c:v>-39186.400256907065</c:v>
                </c:pt>
                <c:pt idx="24">
                  <c:v>-36977.282306607493</c:v>
                </c:pt>
                <c:pt idx="25">
                  <c:v>-34626.165010635719</c:v>
                </c:pt>
                <c:pt idx="26">
                  <c:v>-32129.302904024982</c:v>
                </c:pt>
                <c:pt idx="27">
                  <c:v>-29482.86399028137</c:v>
                </c:pt>
                <c:pt idx="28">
                  <c:v>-26682.928299313171</c:v>
                </c:pt>
                <c:pt idx="29">
                  <c:v>-23725.486451301767</c:v>
                </c:pt>
                <c:pt idx="30">
                  <c:v>-18188.808148268658</c:v>
                </c:pt>
                <c:pt idx="31">
                  <c:v>-9528.3119452791616</c:v>
                </c:pt>
                <c:pt idx="32">
                  <c:v>-608.59474877396133</c:v>
                </c:pt>
                <c:pt idx="33">
                  <c:v>8578.3791976009379</c:v>
                </c:pt>
                <c:pt idx="34">
                  <c:v>18040.891905421129</c:v>
                </c:pt>
                <c:pt idx="35">
                  <c:v>27787.479132791035</c:v>
                </c:pt>
                <c:pt idx="36">
                  <c:v>37826.938102463464</c:v>
                </c:pt>
                <c:pt idx="37">
                  <c:v>48168.33545361711</c:v>
                </c:pt>
                <c:pt idx="38">
                  <c:v>58821.015434344241</c:v>
                </c:pt>
                <c:pt idx="39">
                  <c:v>69794.608342112828</c:v>
                </c:pt>
                <c:pt idx="40">
                  <c:v>81099.0392196865</c:v>
                </c:pt>
                <c:pt idx="41">
                  <c:v>92744.536814210864</c:v>
                </c:pt>
                <c:pt idx="42">
                  <c:v>104741.64280740693</c:v>
                </c:pt>
                <c:pt idx="43">
                  <c:v>117101.22132505153</c:v>
                </c:pt>
                <c:pt idx="44">
                  <c:v>129834.46873417118</c:v>
                </c:pt>
                <c:pt idx="45">
                  <c:v>142952.92373662908</c:v>
                </c:pt>
                <c:pt idx="46">
                  <c:v>156468.47776804664</c:v>
                </c:pt>
                <c:pt idx="47">
                  <c:v>170393.38571127036</c:v>
                </c:pt>
                <c:pt idx="48">
                  <c:v>184740.2769338717</c:v>
                </c:pt>
                <c:pt idx="49">
                  <c:v>199522.16665945365</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75142</xdr:rowOff>
    </xdr:from>
    <xdr:to>
      <xdr:col>9</xdr:col>
      <xdr:colOff>646964</xdr:colOff>
      <xdr:row>21</xdr:row>
      <xdr:rowOff>22042</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stretch>
          <a:fillRect/>
        </a:stretch>
      </xdr:blipFill>
      <xdr:spPr>
        <a:xfrm>
          <a:off x="5326595" y="1865842"/>
          <a:ext cx="3416619" cy="23472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035" t="-449" r="13985" b="449"/>
        <a:stretch/>
      </xdr:blipFill>
      <xdr:spPr>
        <a:xfrm>
          <a:off x="503767" y="2530474"/>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5" t="s">
        <v>351</v>
      </c>
      <c r="C1" s="425"/>
      <c r="K1" s="147"/>
      <c r="L1" s="147"/>
      <c r="M1" s="425"/>
      <c r="N1" s="425"/>
      <c r="O1" s="425"/>
      <c r="P1" s="425"/>
      <c r="Q1" s="425"/>
      <c r="U1" s="237"/>
      <c r="X1" s="237"/>
      <c r="AB1" s="425"/>
      <c r="AC1" s="424"/>
    </row>
    <row r="2" spans="2:29" s="150" customFormat="1" ht="15" customHeight="1">
      <c r="B2" s="425"/>
      <c r="C2" s="425"/>
      <c r="K2" s="147"/>
      <c r="L2" s="147"/>
      <c r="M2" s="425"/>
      <c r="N2" s="425"/>
      <c r="O2" s="425"/>
      <c r="P2" s="425"/>
      <c r="Q2" s="425"/>
      <c r="U2" s="237"/>
      <c r="X2" s="237"/>
      <c r="AB2" s="425"/>
      <c r="AC2" s="424"/>
    </row>
    <row r="3" spans="2:29" s="150" customFormat="1" ht="12.75" customHeight="1">
      <c r="B3" s="425"/>
      <c r="C3" s="425"/>
      <c r="K3" s="147"/>
      <c r="L3" s="147"/>
      <c r="M3" s="425"/>
      <c r="N3" s="425"/>
      <c r="O3" s="425"/>
      <c r="P3" s="425"/>
      <c r="Q3" s="425"/>
      <c r="U3" s="237"/>
      <c r="X3" s="237"/>
      <c r="AB3" s="425"/>
      <c r="AC3" s="424"/>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6" t="s">
        <v>374</v>
      </c>
      <c r="D7" s="426"/>
      <c r="E7" s="426"/>
      <c r="F7" s="426"/>
      <c r="G7" s="426"/>
      <c r="H7" s="426"/>
      <c r="I7" s="426"/>
      <c r="J7" s="426"/>
      <c r="K7" s="426"/>
      <c r="L7" s="426"/>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27" t="s">
        <v>375</v>
      </c>
      <c r="D18" s="427"/>
      <c r="E18" s="427"/>
      <c r="F18" s="427"/>
      <c r="G18" s="427"/>
      <c r="H18" s="427"/>
      <c r="I18" s="427"/>
      <c r="J18" s="427"/>
      <c r="K18" s="427"/>
      <c r="L18" s="427"/>
      <c r="M18" s="142"/>
    </row>
    <row r="19" spans="2:13">
      <c r="B19" s="141"/>
      <c r="C19" s="427"/>
      <c r="D19" s="427"/>
      <c r="E19" s="427"/>
      <c r="F19" s="427"/>
      <c r="G19" s="427"/>
      <c r="H19" s="427"/>
      <c r="I19" s="427"/>
      <c r="J19" s="427"/>
      <c r="K19" s="427"/>
      <c r="L19" s="427"/>
      <c r="M19" s="142"/>
    </row>
    <row r="20" spans="2:13">
      <c r="B20" s="141"/>
      <c r="C20" s="427"/>
      <c r="D20" s="427"/>
      <c r="E20" s="427"/>
      <c r="F20" s="427"/>
      <c r="G20" s="427"/>
      <c r="H20" s="427"/>
      <c r="I20" s="427"/>
      <c r="J20" s="427"/>
      <c r="K20" s="427"/>
      <c r="L20" s="427"/>
      <c r="M20" s="142"/>
    </row>
    <row r="21" spans="2:13">
      <c r="B21" s="141"/>
      <c r="C21" s="427"/>
      <c r="D21" s="427"/>
      <c r="E21" s="427"/>
      <c r="F21" s="427"/>
      <c r="G21" s="427"/>
      <c r="H21" s="427"/>
      <c r="I21" s="427"/>
      <c r="J21" s="427"/>
      <c r="K21" s="427"/>
      <c r="L21" s="427"/>
      <c r="M21" s="142"/>
    </row>
    <row r="22" spans="2:13">
      <c r="B22" s="141"/>
      <c r="C22" s="427"/>
      <c r="D22" s="427"/>
      <c r="E22" s="427"/>
      <c r="F22" s="427"/>
      <c r="G22" s="427"/>
      <c r="H22" s="427"/>
      <c r="I22" s="427"/>
      <c r="J22" s="427"/>
      <c r="K22" s="427"/>
      <c r="L22" s="427"/>
      <c r="M22" s="142"/>
    </row>
    <row r="23" spans="2:13">
      <c r="B23" s="141"/>
      <c r="C23" s="427"/>
      <c r="D23" s="427"/>
      <c r="E23" s="427"/>
      <c r="F23" s="427"/>
      <c r="G23" s="427"/>
      <c r="H23" s="427"/>
      <c r="I23" s="427"/>
      <c r="J23" s="427"/>
      <c r="K23" s="427"/>
      <c r="L23" s="427"/>
      <c r="M23" s="142"/>
    </row>
    <row r="24" spans="2:13">
      <c r="B24" s="141"/>
      <c r="C24" s="427"/>
      <c r="D24" s="427"/>
      <c r="E24" s="427"/>
      <c r="F24" s="427"/>
      <c r="G24" s="427"/>
      <c r="H24" s="427"/>
      <c r="I24" s="427"/>
      <c r="J24" s="427"/>
      <c r="K24" s="427"/>
      <c r="L24" s="427"/>
      <c r="M24" s="142"/>
    </row>
    <row r="25" spans="2:13">
      <c r="B25" s="141"/>
      <c r="C25" s="427"/>
      <c r="D25" s="427"/>
      <c r="E25" s="427"/>
      <c r="F25" s="427"/>
      <c r="G25" s="427"/>
      <c r="H25" s="427"/>
      <c r="I25" s="427"/>
      <c r="J25" s="427"/>
      <c r="K25" s="427"/>
      <c r="L25" s="427"/>
      <c r="M25" s="142"/>
    </row>
    <row r="26" spans="2:13">
      <c r="B26" s="141"/>
      <c r="C26" s="427"/>
      <c r="D26" s="427"/>
      <c r="E26" s="427"/>
      <c r="F26" s="427"/>
      <c r="G26" s="427"/>
      <c r="H26" s="427"/>
      <c r="I26" s="427"/>
      <c r="J26" s="427"/>
      <c r="K26" s="427"/>
      <c r="L26" s="427"/>
      <c r="M26" s="142"/>
    </row>
    <row r="27" spans="2:13">
      <c r="B27" s="141"/>
      <c r="C27" s="427"/>
      <c r="D27" s="427"/>
      <c r="E27" s="427"/>
      <c r="F27" s="427"/>
      <c r="G27" s="427"/>
      <c r="H27" s="427"/>
      <c r="I27" s="427"/>
      <c r="J27" s="427"/>
      <c r="K27" s="427"/>
      <c r="L27" s="427"/>
      <c r="M27" s="142"/>
    </row>
    <row r="28" spans="2:13">
      <c r="B28" s="141"/>
      <c r="C28" s="427"/>
      <c r="D28" s="427"/>
      <c r="E28" s="427"/>
      <c r="F28" s="427"/>
      <c r="G28" s="427"/>
      <c r="H28" s="427"/>
      <c r="I28" s="427"/>
      <c r="J28" s="427"/>
      <c r="K28" s="427"/>
      <c r="L28" s="427"/>
      <c r="M28" s="142"/>
    </row>
    <row r="29" spans="2:13">
      <c r="B29" s="141"/>
      <c r="C29" s="427"/>
      <c r="D29" s="427"/>
      <c r="E29" s="427"/>
      <c r="F29" s="427"/>
      <c r="G29" s="427"/>
      <c r="H29" s="427"/>
      <c r="I29" s="427"/>
      <c r="J29" s="427"/>
      <c r="K29" s="427"/>
      <c r="L29" s="427"/>
      <c r="M29" s="142"/>
    </row>
    <row r="30" spans="2:13">
      <c r="B30" s="141"/>
      <c r="C30" s="427"/>
      <c r="D30" s="427"/>
      <c r="E30" s="427"/>
      <c r="F30" s="427"/>
      <c r="G30" s="427"/>
      <c r="H30" s="427"/>
      <c r="I30" s="427"/>
      <c r="J30" s="427"/>
      <c r="K30" s="427"/>
      <c r="L30" s="427"/>
      <c r="M30" s="142"/>
    </row>
    <row r="31" spans="2:13">
      <c r="B31" s="141"/>
      <c r="C31" s="427"/>
      <c r="D31" s="427"/>
      <c r="E31" s="427"/>
      <c r="F31" s="427"/>
      <c r="G31" s="427"/>
      <c r="H31" s="427"/>
      <c r="I31" s="427"/>
      <c r="J31" s="427"/>
      <c r="K31" s="427"/>
      <c r="L31" s="427"/>
      <c r="M31" s="142"/>
    </row>
    <row r="32" spans="2:13">
      <c r="B32" s="141"/>
      <c r="C32" s="427"/>
      <c r="D32" s="427"/>
      <c r="E32" s="427"/>
      <c r="F32" s="427"/>
      <c r="G32" s="427"/>
      <c r="H32" s="427"/>
      <c r="I32" s="427"/>
      <c r="J32" s="427"/>
      <c r="K32" s="427"/>
      <c r="L32" s="427"/>
      <c r="M32" s="142"/>
    </row>
    <row r="33" spans="2:13">
      <c r="B33" s="141"/>
      <c r="C33" s="427"/>
      <c r="D33" s="427"/>
      <c r="E33" s="427"/>
      <c r="F33" s="427"/>
      <c r="G33" s="427"/>
      <c r="H33" s="427"/>
      <c r="I33" s="427"/>
      <c r="J33" s="427"/>
      <c r="K33" s="427"/>
      <c r="L33" s="427"/>
      <c r="M33" s="142"/>
    </row>
    <row r="34" spans="2:13">
      <c r="B34" s="141"/>
      <c r="C34" s="427"/>
      <c r="D34" s="427"/>
      <c r="E34" s="427"/>
      <c r="F34" s="427"/>
      <c r="G34" s="427"/>
      <c r="H34" s="427"/>
      <c r="I34" s="427"/>
      <c r="J34" s="427"/>
      <c r="K34" s="427"/>
      <c r="L34" s="427"/>
      <c r="M34" s="142"/>
    </row>
    <row r="35" spans="2:13">
      <c r="B35" s="141"/>
      <c r="C35" s="427"/>
      <c r="D35" s="427"/>
      <c r="E35" s="427"/>
      <c r="F35" s="427"/>
      <c r="G35" s="427"/>
      <c r="H35" s="427"/>
      <c r="I35" s="427"/>
      <c r="J35" s="427"/>
      <c r="K35" s="427"/>
      <c r="L35" s="427"/>
      <c r="M35" s="142"/>
    </row>
    <row r="36" spans="2:13">
      <c r="B36" s="141"/>
      <c r="C36" s="427"/>
      <c r="D36" s="427"/>
      <c r="E36" s="427"/>
      <c r="F36" s="427"/>
      <c r="G36" s="427"/>
      <c r="H36" s="427"/>
      <c r="I36" s="427"/>
      <c r="J36" s="427"/>
      <c r="K36" s="427"/>
      <c r="L36" s="427"/>
      <c r="M36" s="142"/>
    </row>
    <row r="37" spans="2:13">
      <c r="B37" s="141"/>
      <c r="C37" s="427"/>
      <c r="D37" s="427"/>
      <c r="E37" s="427"/>
      <c r="F37" s="427"/>
      <c r="G37" s="427"/>
      <c r="H37" s="427"/>
      <c r="I37" s="427"/>
      <c r="J37" s="427"/>
      <c r="K37" s="427"/>
      <c r="L37" s="427"/>
      <c r="M37" s="142"/>
    </row>
    <row r="38" spans="2:13">
      <c r="B38" s="141"/>
      <c r="C38" s="427"/>
      <c r="D38" s="427"/>
      <c r="E38" s="427"/>
      <c r="F38" s="427"/>
      <c r="G38" s="427"/>
      <c r="H38" s="427"/>
      <c r="I38" s="427"/>
      <c r="J38" s="427"/>
      <c r="K38" s="427"/>
      <c r="L38" s="427"/>
      <c r="M38" s="142"/>
    </row>
    <row r="39" spans="2:13">
      <c r="B39" s="141"/>
      <c r="C39" s="427"/>
      <c r="D39" s="427"/>
      <c r="E39" s="427"/>
      <c r="F39" s="427"/>
      <c r="G39" s="427"/>
      <c r="H39" s="427"/>
      <c r="I39" s="427"/>
      <c r="J39" s="427"/>
      <c r="K39" s="427"/>
      <c r="L39" s="427"/>
      <c r="M39" s="142"/>
    </row>
    <row r="40" spans="2:13">
      <c r="B40" s="141"/>
      <c r="C40" s="428"/>
      <c r="D40" s="428"/>
      <c r="E40" s="428"/>
      <c r="F40" s="428"/>
      <c r="G40" s="428"/>
      <c r="H40" s="428"/>
      <c r="I40" s="428"/>
      <c r="J40" s="428"/>
      <c r="K40" s="428"/>
      <c r="L40" s="428"/>
      <c r="M40" s="142"/>
    </row>
    <row r="41" spans="2:13">
      <c r="B41" s="141"/>
      <c r="C41" s="429" t="s">
        <v>471</v>
      </c>
      <c r="D41" s="429"/>
      <c r="E41" s="429"/>
      <c r="F41" s="429"/>
      <c r="G41" s="429"/>
      <c r="H41" s="429"/>
      <c r="I41" s="429"/>
      <c r="J41" s="429"/>
      <c r="K41" s="429"/>
      <c r="L41" s="429"/>
      <c r="M41" s="142"/>
    </row>
    <row r="42" spans="2:13">
      <c r="B42" s="141"/>
      <c r="C42" s="430" t="s">
        <v>376</v>
      </c>
      <c r="D42" s="430"/>
      <c r="E42" s="430"/>
      <c r="F42" s="430"/>
      <c r="G42" s="430"/>
      <c r="H42" s="430"/>
      <c r="I42" s="430"/>
      <c r="J42" s="430"/>
      <c r="K42" s="430"/>
      <c r="L42" s="430"/>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C40:L40"/>
    <mergeCell ref="C41:L41"/>
    <mergeCell ref="C42:L42"/>
    <mergeCell ref="P1:Q3"/>
    <mergeCell ref="AB1:AB3"/>
    <mergeCell ref="AC1:AC3"/>
    <mergeCell ref="M1:O3"/>
    <mergeCell ref="B1:C3"/>
    <mergeCell ref="C7:L7"/>
    <mergeCell ref="C18:L39"/>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5" activePane="bottomLeft" state="frozen"/>
      <selection pane="bottomLeft" activeCell="G10" sqref="G10"/>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33" t="s">
        <v>353</v>
      </c>
      <c r="D1" s="425" t="s">
        <v>346</v>
      </c>
      <c r="E1" s="425"/>
      <c r="F1" s="147"/>
      <c r="G1" s="434" t="s">
        <v>350</v>
      </c>
      <c r="H1" s="434"/>
      <c r="I1" s="148"/>
      <c r="J1" s="425" t="s">
        <v>348</v>
      </c>
      <c r="K1" s="425"/>
      <c r="L1" s="149"/>
      <c r="M1" s="425" t="s">
        <v>114</v>
      </c>
      <c r="N1" s="425" t="s">
        <v>347</v>
      </c>
      <c r="O1" s="149"/>
      <c r="P1" s="425" t="s">
        <v>349</v>
      </c>
      <c r="Q1" s="425"/>
      <c r="S1" s="444" t="s">
        <v>373</v>
      </c>
      <c r="T1" s="444"/>
      <c r="V1" s="425"/>
      <c r="W1" s="425"/>
    </row>
    <row r="2" spans="1:23" s="150" customFormat="1" ht="15" customHeight="1">
      <c r="A2" s="146"/>
      <c r="B2" s="146"/>
      <c r="C2" s="433"/>
      <c r="D2" s="425"/>
      <c r="E2" s="425"/>
      <c r="F2" s="147"/>
      <c r="G2" s="434"/>
      <c r="H2" s="434"/>
      <c r="I2" s="148"/>
      <c r="J2" s="425"/>
      <c r="K2" s="425"/>
      <c r="L2" s="149"/>
      <c r="M2" s="425"/>
      <c r="N2" s="425"/>
      <c r="O2" s="149"/>
      <c r="P2" s="425"/>
      <c r="Q2" s="425"/>
      <c r="S2" s="444"/>
      <c r="T2" s="444"/>
      <c r="V2" s="425"/>
      <c r="W2" s="425"/>
    </row>
    <row r="3" spans="1:23" s="150" customFormat="1" ht="12.75" customHeight="1">
      <c r="A3" s="146"/>
      <c r="B3" s="146"/>
      <c r="C3" s="433"/>
      <c r="D3" s="425"/>
      <c r="E3" s="425"/>
      <c r="F3" s="147"/>
      <c r="G3" s="434"/>
      <c r="H3" s="434"/>
      <c r="I3" s="148"/>
      <c r="J3" s="425"/>
      <c r="K3" s="425"/>
      <c r="L3" s="149"/>
      <c r="M3" s="425"/>
      <c r="N3" s="425"/>
      <c r="O3" s="149"/>
      <c r="P3" s="425"/>
      <c r="Q3" s="425"/>
      <c r="S3" s="444"/>
      <c r="T3" s="444"/>
      <c r="V3" s="425"/>
      <c r="W3" s="425"/>
    </row>
    <row r="4" spans="1:23" ht="18.75" customHeight="1"/>
    <row r="5" spans="1:23" ht="8.25" customHeight="1" thickBot="1"/>
    <row r="6" spans="1:23" s="21" customFormat="1" ht="23.25" customHeight="1" thickBot="1">
      <c r="B6" s="451" t="s">
        <v>118</v>
      </c>
      <c r="C6" s="452"/>
      <c r="D6" s="452"/>
      <c r="E6" s="453"/>
      <c r="G6" s="442" t="s">
        <v>119</v>
      </c>
      <c r="H6" s="443"/>
      <c r="J6" s="442" t="s">
        <v>79</v>
      </c>
      <c r="K6" s="443"/>
      <c r="L6" s="22"/>
      <c r="M6" s="442" t="s">
        <v>19</v>
      </c>
      <c r="N6" s="443"/>
      <c r="O6" s="22"/>
      <c r="P6" s="442" t="s">
        <v>115</v>
      </c>
      <c r="Q6" s="443"/>
      <c r="S6" s="442" t="s">
        <v>96</v>
      </c>
      <c r="T6" s="443"/>
      <c r="V6" s="442" t="s">
        <v>342</v>
      </c>
      <c r="W6" s="443"/>
    </row>
    <row r="7" spans="1:23" ht="15.75" thickBot="1"/>
    <row r="8" spans="1:23" ht="15.75" thickBot="1">
      <c r="B8" s="431" t="s">
        <v>355</v>
      </c>
      <c r="C8" s="435"/>
      <c r="D8" s="435"/>
      <c r="E8" s="432"/>
      <c r="G8" s="436" t="s">
        <v>15</v>
      </c>
      <c r="H8" s="437"/>
      <c r="J8" s="431" t="s">
        <v>400</v>
      </c>
      <c r="K8" s="432"/>
      <c r="M8" s="436" t="s">
        <v>116</v>
      </c>
      <c r="N8" s="437"/>
      <c r="P8" s="436" t="s">
        <v>121</v>
      </c>
      <c r="Q8" s="437"/>
      <c r="S8" s="431" t="s">
        <v>341</v>
      </c>
      <c r="T8" s="432"/>
      <c r="V8" s="436" t="s">
        <v>270</v>
      </c>
      <c r="W8" s="437"/>
    </row>
    <row r="9" spans="1:23">
      <c r="B9" s="166" t="s">
        <v>110</v>
      </c>
      <c r="C9" s="445" t="s">
        <v>479</v>
      </c>
      <c r="D9" s="445"/>
      <c r="E9" s="446"/>
      <c r="G9" s="151" t="s">
        <v>259</v>
      </c>
      <c r="H9" s="219">
        <v>10</v>
      </c>
      <c r="J9" s="166" t="s">
        <v>390</v>
      </c>
      <c r="K9" s="167">
        <f>K23</f>
        <v>136.6</v>
      </c>
      <c r="M9" s="166" t="s">
        <v>21</v>
      </c>
      <c r="N9" s="181">
        <f>N17+N25+N32+N39</f>
        <v>92000</v>
      </c>
      <c r="P9" s="166" t="s">
        <v>127</v>
      </c>
      <c r="Q9" s="181">
        <f>12*(-Q22+Q25)+'Wert, AfA, Darlehen'!D11</f>
        <v>1928.1380000000004</v>
      </c>
      <c r="S9" s="166" t="s">
        <v>95</v>
      </c>
      <c r="T9" s="236">
        <v>2044</v>
      </c>
      <c r="V9" s="194" t="s">
        <v>275</v>
      </c>
      <c r="W9" s="195">
        <f ca="1">IFERROR(OFFSET('Miete, Cashflow, Steuern'!C18,0,MATCH(TRUE,INDEX('Miete, Cashflow, Steuern'!$D$28:$BA$28&gt;0,0),0)),"-")</f>
        <v>2038</v>
      </c>
    </row>
    <row r="10" spans="1:23" ht="15.75" thickBot="1">
      <c r="B10" s="163" t="s">
        <v>356</v>
      </c>
      <c r="C10" s="211">
        <v>45413</v>
      </c>
      <c r="D10" s="23" t="s">
        <v>357</v>
      </c>
      <c r="E10" s="210" t="s">
        <v>358</v>
      </c>
      <c r="G10" s="152" t="s">
        <v>260</v>
      </c>
      <c r="H10" s="220">
        <v>313</v>
      </c>
      <c r="J10" s="163" t="s">
        <v>391</v>
      </c>
      <c r="K10" s="157">
        <f>K30</f>
        <v>82.388000000000005</v>
      </c>
      <c r="M10" s="163" t="s">
        <v>26</v>
      </c>
      <c r="N10" s="178">
        <f>E35-N9</f>
        <v>34569</v>
      </c>
      <c r="P10" s="183" t="s">
        <v>93</v>
      </c>
      <c r="Q10" s="175">
        <f>Q9-'Wert, AfA, Darlehen'!D11</f>
        <v>-371.86199999999963</v>
      </c>
      <c r="S10" s="162" t="s">
        <v>97</v>
      </c>
      <c r="T10" s="193">
        <f>T9-'Wert, AfA, Darlehen'!D37</f>
        <v>20</v>
      </c>
      <c r="V10" s="196" t="s">
        <v>269</v>
      </c>
      <c r="W10" s="155">
        <f ca="1">OFFSET('Miete, Cashflow, Steuern'!C32,0,MATCH(TRUE,INDEX('Miete, Cashflow, Steuern'!$D$28:$BA$28&gt;0,0),0)-1)</f>
        <v>-16231.444708225574</v>
      </c>
    </row>
    <row r="11" spans="1:23" ht="15.75" thickBot="1">
      <c r="B11" s="162" t="s">
        <v>11</v>
      </c>
      <c r="C11" s="212">
        <v>39</v>
      </c>
      <c r="D11" s="204" t="s">
        <v>111</v>
      </c>
      <c r="E11" s="209">
        <v>1</v>
      </c>
      <c r="G11" s="153" t="s">
        <v>68</v>
      </c>
      <c r="H11" s="221">
        <v>0</v>
      </c>
      <c r="J11" s="168" t="s">
        <v>124</v>
      </c>
      <c r="K11" s="169">
        <f>K10/H15</f>
        <v>0.26322044728434507</v>
      </c>
      <c r="M11" s="163" t="s">
        <v>27</v>
      </c>
      <c r="N11" s="182">
        <f>IF(N9=0,"n/a",((N18*$N$17)+(N26*$N$25)+(N33*$N$32)+(N40*$N$39))/$N$9)</f>
        <v>4.1000000000000002E-2</v>
      </c>
      <c r="P11" s="5"/>
      <c r="Q11" s="5"/>
      <c r="S11" s="5"/>
      <c r="T11" s="5"/>
      <c r="V11" s="196" t="s">
        <v>271</v>
      </c>
      <c r="W11" s="197">
        <f ca="1">IFERROR(OFFSET('Miete, Cashflow, Steuern'!C18,0,MATCH(TRUE,INDEX('Miete, Cashflow, Steuern'!$D$32:$BA$32&gt;0,0),0)),"-")</f>
        <v>2050</v>
      </c>
    </row>
    <row r="12" spans="1:23" ht="15.75" thickBot="1">
      <c r="B12" s="5"/>
      <c r="C12" s="5"/>
      <c r="D12" s="5"/>
      <c r="E12" s="5"/>
      <c r="G12" s="153" t="s">
        <v>90</v>
      </c>
      <c r="H12" s="221">
        <v>0</v>
      </c>
      <c r="J12" s="170" t="s">
        <v>94</v>
      </c>
      <c r="K12" s="171">
        <f>K9+K10</f>
        <v>218.988</v>
      </c>
      <c r="M12" s="163" t="s">
        <v>28</v>
      </c>
      <c r="N12" s="182">
        <f>IF(N9=0,"n/a",((N19*$N$17)+(N27*$N$25)+(N34*$N$32)+(N41*$N$39))/$N$9)</f>
        <v>1.7000000000000001E-2</v>
      </c>
      <c r="P12" s="436" t="s">
        <v>125</v>
      </c>
      <c r="Q12" s="437"/>
      <c r="S12" s="431" t="s">
        <v>126</v>
      </c>
      <c r="T12" s="432"/>
      <c r="V12" s="198" t="s">
        <v>276</v>
      </c>
      <c r="W12" s="199">
        <f ca="1">IFERROR(OFFSET('Miete, Cashflow, Steuern'!C18,0,MATCH(TRUE,INDEX('Miete, Cashflow, Steuern'!$D$33:$BA$33&gt;0,0),0)),"-")</f>
        <v>2057</v>
      </c>
    </row>
    <row r="13" spans="1:23" ht="15.75" thickBot="1">
      <c r="B13" s="431" t="s">
        <v>117</v>
      </c>
      <c r="C13" s="435"/>
      <c r="D13" s="435"/>
      <c r="E13" s="432"/>
      <c r="G13" s="153" t="s">
        <v>67</v>
      </c>
      <c r="H13" s="154">
        <f>H10+H11+H12</f>
        <v>313</v>
      </c>
      <c r="J13" s="5"/>
      <c r="K13" s="24"/>
      <c r="M13" s="162" t="s">
        <v>385</v>
      </c>
      <c r="N13" s="175">
        <f>N20+N28+N35+N42</f>
        <v>444.66666666666669</v>
      </c>
      <c r="P13" s="166" t="s">
        <v>14</v>
      </c>
      <c r="Q13" s="181">
        <f>12*H15</f>
        <v>3756</v>
      </c>
      <c r="S13" s="151" t="s">
        <v>14</v>
      </c>
      <c r="T13" s="181">
        <f ca="1">OFFSET('Miete, Cashflow, Steuern'!D12,,Cockpit!T10)*12</f>
        <v>12046.000833631457</v>
      </c>
    </row>
    <row r="14" spans="1:23" ht="15.75" thickBot="1">
      <c r="B14" s="462" t="s">
        <v>1</v>
      </c>
      <c r="C14" s="463"/>
      <c r="D14" s="438">
        <v>115000</v>
      </c>
      <c r="E14" s="439"/>
      <c r="G14" s="153" t="s">
        <v>329</v>
      </c>
      <c r="H14" s="154">
        <f>'MFH-Kalkulator'!E12</f>
        <v>1287.5</v>
      </c>
      <c r="K14" s="5"/>
      <c r="N14" s="25"/>
      <c r="P14" s="184" t="s">
        <v>16</v>
      </c>
      <c r="Q14" s="185">
        <f>Q13/D14</f>
        <v>3.2660869565217389E-2</v>
      </c>
      <c r="S14" s="168" t="s">
        <v>366</v>
      </c>
      <c r="T14" s="190">
        <f ca="1">T13/12/C11</f>
        <v>25.739318020580036</v>
      </c>
      <c r="V14" s="431" t="s">
        <v>267</v>
      </c>
      <c r="W14" s="432"/>
    </row>
    <row r="15" spans="1:23" ht="15.75" thickBot="1">
      <c r="B15" s="449" t="s">
        <v>123</v>
      </c>
      <c r="C15" s="450"/>
      <c r="D15" s="447">
        <f>D14/C11</f>
        <v>2948.7179487179487</v>
      </c>
      <c r="E15" s="448"/>
      <c r="G15" s="153" t="s">
        <v>327</v>
      </c>
      <c r="H15" s="155">
        <f>IF('MFH-Kalkulator'!$C$6="Ein",H14,H13)</f>
        <v>313</v>
      </c>
      <c r="J15" s="436" t="s">
        <v>386</v>
      </c>
      <c r="K15" s="437"/>
      <c r="M15" s="436" t="s">
        <v>20</v>
      </c>
      <c r="N15" s="437"/>
      <c r="P15" s="163" t="s">
        <v>18</v>
      </c>
      <c r="Q15" s="186">
        <f>D14/Q13</f>
        <v>30.617678381256656</v>
      </c>
      <c r="S15" s="173" t="s">
        <v>280</v>
      </c>
      <c r="T15" s="178">
        <f ca="1">OFFSET('Wert, AfA, Darlehen'!E8,,Cockpit!T10)</f>
        <v>174301.629548261</v>
      </c>
      <c r="V15" s="151" t="s">
        <v>14</v>
      </c>
      <c r="W15" s="181">
        <f ca="1">OFFSET('Miete, Cashflow, Steuern'!D12,,Cockpit!T10)*12</f>
        <v>12046.000833631457</v>
      </c>
    </row>
    <row r="16" spans="1:23" ht="15.75" thickBot="1">
      <c r="B16" s="440" t="s">
        <v>4</v>
      </c>
      <c r="C16" s="441"/>
      <c r="D16" s="213">
        <v>0.03</v>
      </c>
      <c r="E16" s="214">
        <f>D16*$D$14</f>
        <v>3450</v>
      </c>
      <c r="G16" s="156" t="s">
        <v>476</v>
      </c>
      <c r="H16" s="157">
        <f>K9</f>
        <v>136.6</v>
      </c>
      <c r="J16" s="151" t="s">
        <v>389</v>
      </c>
      <c r="K16" s="227">
        <v>173</v>
      </c>
      <c r="M16" s="166" t="s">
        <v>340</v>
      </c>
      <c r="N16" s="233">
        <v>0.8</v>
      </c>
      <c r="P16" s="162" t="s">
        <v>17</v>
      </c>
      <c r="Q16" s="187">
        <f>(Q13-12*K10)/E35</f>
        <v>2.1864311166241338E-2</v>
      </c>
      <c r="S16" s="191" t="s">
        <v>2</v>
      </c>
      <c r="T16" s="192">
        <f ca="1">T15/C11</f>
        <v>4469.2725525195128</v>
      </c>
      <c r="V16" s="173" t="s">
        <v>18</v>
      </c>
      <c r="W16" s="235">
        <v>15</v>
      </c>
    </row>
    <row r="17" spans="2:23" ht="15.75" thickBot="1">
      <c r="B17" s="440" t="s">
        <v>5</v>
      </c>
      <c r="C17" s="441"/>
      <c r="D17" s="213">
        <v>1.4999999999999999E-2</v>
      </c>
      <c r="E17" s="214">
        <f>D17*$D$14</f>
        <v>1725</v>
      </c>
      <c r="G17" s="158" t="s">
        <v>477</v>
      </c>
      <c r="H17" s="159">
        <f>H15+H16</f>
        <v>449.6</v>
      </c>
      <c r="J17" s="176" t="s">
        <v>388</v>
      </c>
      <c r="K17" s="228">
        <v>36.4</v>
      </c>
      <c r="M17" s="163" t="s">
        <v>21</v>
      </c>
      <c r="N17" s="221">
        <f>N16*D14</f>
        <v>92000</v>
      </c>
      <c r="P17" s="5"/>
      <c r="Q17" s="5"/>
      <c r="S17" s="5"/>
      <c r="T17" s="5"/>
      <c r="V17" s="173" t="s">
        <v>51</v>
      </c>
      <c r="W17" s="178">
        <f ca="1">W15*W16</f>
        <v>180690.01250447184</v>
      </c>
    </row>
    <row r="18" spans="2:23" ht="15.75" thickBot="1">
      <c r="B18" s="440" t="s">
        <v>383</v>
      </c>
      <c r="C18" s="441"/>
      <c r="D18" s="213">
        <v>1.0999999999999999E-2</v>
      </c>
      <c r="E18" s="214">
        <f>D18*$D$14</f>
        <v>1265</v>
      </c>
      <c r="J18" s="203" t="s">
        <v>392</v>
      </c>
      <c r="K18" s="175">
        <f>K16-K17</f>
        <v>136.6</v>
      </c>
      <c r="M18" s="163" t="s">
        <v>22</v>
      </c>
      <c r="N18" s="232">
        <v>4.1000000000000002E-2</v>
      </c>
      <c r="P18" s="431" t="s">
        <v>91</v>
      </c>
      <c r="Q18" s="432"/>
      <c r="S18" s="431" t="s">
        <v>91</v>
      </c>
      <c r="T18" s="432"/>
      <c r="V18" s="191" t="s">
        <v>2</v>
      </c>
      <c r="W18" s="192">
        <f ca="1">W17/C11</f>
        <v>4633.0772437044061</v>
      </c>
    </row>
    <row r="19" spans="2:23" ht="15.75" thickBot="1">
      <c r="B19" s="440" t="s">
        <v>6</v>
      </c>
      <c r="C19" s="441"/>
      <c r="D19" s="213">
        <v>3.5000000000000003E-2</v>
      </c>
      <c r="E19" s="214">
        <f>D19*$D$14</f>
        <v>4025.0000000000005</v>
      </c>
      <c r="G19" s="431" t="s">
        <v>101</v>
      </c>
      <c r="H19" s="432"/>
      <c r="K19" s="5"/>
      <c r="M19" s="163" t="s">
        <v>23</v>
      </c>
      <c r="N19" s="232">
        <v>1.7000000000000001E-2</v>
      </c>
      <c r="P19" s="166" t="s">
        <v>478</v>
      </c>
      <c r="Q19" s="181">
        <f>H17</f>
        <v>449.6</v>
      </c>
      <c r="S19" s="166" t="s">
        <v>478</v>
      </c>
      <c r="T19" s="181">
        <f ca="1">OFFSET('Miete, Cashflow, Steuern'!D14,,Cockpit!T10)</f>
        <v>1206.8138170932646</v>
      </c>
    </row>
    <row r="20" spans="2:23" ht="15.75" thickBot="1">
      <c r="B20" s="440" t="s">
        <v>8</v>
      </c>
      <c r="C20" s="441"/>
      <c r="D20" s="213">
        <v>0</v>
      </c>
      <c r="E20" s="214">
        <f>D20*$D$14</f>
        <v>0</v>
      </c>
      <c r="G20" s="160" t="s">
        <v>35</v>
      </c>
      <c r="H20" s="222">
        <v>1.4999999999999999E-2</v>
      </c>
      <c r="J20" s="431" t="s">
        <v>393</v>
      </c>
      <c r="K20" s="432"/>
      <c r="M20" s="163" t="s">
        <v>385</v>
      </c>
      <c r="N20" s="178">
        <f>(N18+N19)*N17/12</f>
        <v>444.66666666666669</v>
      </c>
      <c r="P20" s="153" t="s">
        <v>29</v>
      </c>
      <c r="Q20" s="178">
        <f>-K12</f>
        <v>-218.988</v>
      </c>
      <c r="S20" s="153" t="s">
        <v>29</v>
      </c>
      <c r="T20" s="178">
        <f ca="1">OFFSET('Miete, Cashflow, Steuern'!D23,,Cockpit!T10)</f>
        <v>-341.56660438634987</v>
      </c>
      <c r="V20" s="431" t="s">
        <v>122</v>
      </c>
      <c r="W20" s="432"/>
    </row>
    <row r="21" spans="2:23" ht="15.75" thickBot="1">
      <c r="B21" s="440" t="s">
        <v>384</v>
      </c>
      <c r="C21" s="441"/>
      <c r="D21" s="213">
        <v>1.2E-2</v>
      </c>
      <c r="E21" s="214">
        <f>D21*$N$9</f>
        <v>1104</v>
      </c>
      <c r="G21" s="161" t="s">
        <v>105</v>
      </c>
      <c r="H21" s="223">
        <v>0.6</v>
      </c>
      <c r="J21" s="151" t="s">
        <v>397</v>
      </c>
      <c r="K21" s="167">
        <f>K18</f>
        <v>136.6</v>
      </c>
      <c r="M21" s="162" t="s">
        <v>98</v>
      </c>
      <c r="N21" s="180">
        <f>IFERROR(HLOOKUP(0,'Wert, AfA, Darlehen'!D50:BA105,56,FALSE),"-")</f>
        <v>2054</v>
      </c>
      <c r="P21" s="153" t="s">
        <v>31</v>
      </c>
      <c r="Q21" s="178">
        <f>-N11*N9/12</f>
        <v>-314.33333333333331</v>
      </c>
      <c r="S21" s="153" t="s">
        <v>31</v>
      </c>
      <c r="T21" s="178">
        <f ca="1">-OFFSET('Wert, AfA, Darlehen'!D110,,Cockpit!T10)/12</f>
        <v>-153.54797359748633</v>
      </c>
      <c r="U21" s="26"/>
      <c r="V21" s="151" t="s">
        <v>57</v>
      </c>
      <c r="W21" s="181">
        <f ca="1">-(T21-T25/(1-T33))</f>
        <v>386.45008767021784</v>
      </c>
    </row>
    <row r="22" spans="2:23" ht="15.75" thickBot="1">
      <c r="B22" s="466" t="s">
        <v>7</v>
      </c>
      <c r="C22" s="467"/>
      <c r="D22" s="205">
        <f>SUM(D16:D21)</f>
        <v>0.10299999999999999</v>
      </c>
      <c r="E22" s="159">
        <f>SUM(E16:E21)</f>
        <v>11569</v>
      </c>
      <c r="G22" s="162" t="s">
        <v>76</v>
      </c>
      <c r="H22" s="159">
        <f>H21*(D14+E22-E21)+SUMIF(D26:D29,"Aktivieren",C26:C29)</f>
        <v>75279</v>
      </c>
      <c r="J22" s="173" t="s">
        <v>398</v>
      </c>
      <c r="K22" s="157">
        <f>K38</f>
        <v>0</v>
      </c>
      <c r="N22" s="30"/>
      <c r="P22" s="153" t="s">
        <v>32</v>
      </c>
      <c r="Q22" s="178">
        <f>-N12*N9/12</f>
        <v>-130.33333333333334</v>
      </c>
      <c r="S22" s="153" t="s">
        <v>32</v>
      </c>
      <c r="T22" s="178">
        <f ca="1">-OFFSET('Wert, AfA, Darlehen'!D114,,Cockpit!T10)/12</f>
        <v>-291.11869306918032</v>
      </c>
      <c r="V22" s="162" t="s">
        <v>58</v>
      </c>
      <c r="W22" s="200">
        <f ca="1">IF(OFFSET('Wert, AfA, Darlehen'!D106,,Cockpit!T10)=0,"n/a",W21*12/OFFSET('Wert, AfA, Darlehen'!D106,,Cockpit!T10))</f>
        <v>0.10318894625085639</v>
      </c>
    </row>
    <row r="23" spans="2:23" ht="15.75" thickBot="1">
      <c r="B23" s="5"/>
      <c r="C23" s="5"/>
      <c r="D23" s="5"/>
      <c r="E23" s="5"/>
      <c r="J23" s="174" t="s">
        <v>7</v>
      </c>
      <c r="K23" s="175">
        <f>SUM(K21:K22)</f>
        <v>136.6</v>
      </c>
      <c r="M23" s="6"/>
      <c r="N23" s="27"/>
      <c r="P23" s="153" t="s">
        <v>30</v>
      </c>
      <c r="Q23" s="178">
        <f>SUM(Q19:Q22)</f>
        <v>-214.05466666666663</v>
      </c>
      <c r="S23" s="153" t="s">
        <v>30</v>
      </c>
      <c r="T23" s="178">
        <f ca="1">SUM(T19:T22)</f>
        <v>420.58054604024807</v>
      </c>
    </row>
    <row r="24" spans="2:23" ht="15.75" thickBot="1">
      <c r="B24" s="431" t="s">
        <v>12</v>
      </c>
      <c r="C24" s="435"/>
      <c r="D24" s="435"/>
      <c r="E24" s="432"/>
      <c r="G24" s="431" t="s">
        <v>100</v>
      </c>
      <c r="H24" s="432"/>
      <c r="M24" s="436" t="s">
        <v>25</v>
      </c>
      <c r="N24" s="437"/>
      <c r="P24" s="153" t="s">
        <v>39</v>
      </c>
      <c r="Q24" s="178">
        <f>-Q34</f>
        <v>52.732833333333318</v>
      </c>
      <c r="S24" s="153" t="s">
        <v>39</v>
      </c>
      <c r="T24" s="178">
        <f ca="1">-T34</f>
        <v>-280.83927759660918</v>
      </c>
      <c r="V24" s="431" t="s">
        <v>281</v>
      </c>
      <c r="W24" s="432"/>
    </row>
    <row r="25" spans="2:23" ht="15.75" thickBot="1">
      <c r="B25" s="206" t="s">
        <v>106</v>
      </c>
      <c r="C25" s="207" t="s">
        <v>107</v>
      </c>
      <c r="D25" s="207" t="s">
        <v>108</v>
      </c>
      <c r="E25" s="208" t="s">
        <v>109</v>
      </c>
      <c r="G25" s="160" t="s">
        <v>61</v>
      </c>
      <c r="H25" s="224">
        <v>0.03</v>
      </c>
      <c r="J25" s="431" t="s">
        <v>394</v>
      </c>
      <c r="K25" s="432"/>
      <c r="M25" s="166" t="s">
        <v>21</v>
      </c>
      <c r="N25" s="229">
        <v>0</v>
      </c>
      <c r="P25" s="158" t="s">
        <v>41</v>
      </c>
      <c r="Q25" s="175">
        <f>Q23+Q24</f>
        <v>-161.3218333333333</v>
      </c>
      <c r="R25"/>
      <c r="S25" s="158" t="s">
        <v>41</v>
      </c>
      <c r="T25" s="175">
        <f ca="1">T23+T24</f>
        <v>139.74126844363889</v>
      </c>
      <c r="V25" s="151" t="s">
        <v>51</v>
      </c>
      <c r="W25" s="181">
        <f ca="1">OFFSET('Wert, AfA, Darlehen'!E8,,Cockpit!T10)</f>
        <v>174301.629548261</v>
      </c>
    </row>
    <row r="26" spans="2:23" ht="15.75" thickBot="1">
      <c r="B26" s="215" t="s">
        <v>485</v>
      </c>
      <c r="C26" s="216"/>
      <c r="D26" s="217" t="s">
        <v>475</v>
      </c>
      <c r="E26" s="218"/>
      <c r="G26" s="163" t="s">
        <v>334</v>
      </c>
      <c r="H26" s="221">
        <v>10</v>
      </c>
      <c r="J26" s="151" t="s">
        <v>387</v>
      </c>
      <c r="K26" s="157">
        <f>K17</f>
        <v>36.4</v>
      </c>
      <c r="M26" s="163" t="s">
        <v>22</v>
      </c>
      <c r="N26" s="232">
        <v>0.02</v>
      </c>
      <c r="P26"/>
      <c r="Q26"/>
      <c r="S26"/>
      <c r="T26"/>
      <c r="V26" s="173" t="s">
        <v>52</v>
      </c>
      <c r="W26" s="178">
        <f ca="1">-OFFSET('Wert, AfA, Darlehen'!D118,,Cockpit!T10)</f>
        <v>-41447.446004385347</v>
      </c>
    </row>
    <row r="27" spans="2:23" ht="15.75" thickBot="1">
      <c r="B27" s="215"/>
      <c r="C27" s="216"/>
      <c r="D27" s="217" t="s">
        <v>467</v>
      </c>
      <c r="E27" s="218"/>
      <c r="G27" s="164" t="s">
        <v>333</v>
      </c>
      <c r="H27" s="165">
        <f>((H21*D14)*(1/80*1.5)-(12*K26))/C11</f>
        <v>21.973076923076931</v>
      </c>
      <c r="J27" s="176" t="s">
        <v>330</v>
      </c>
      <c r="K27" s="409">
        <f>C11*H26/12</f>
        <v>32.5</v>
      </c>
      <c r="M27" s="163" t="s">
        <v>23</v>
      </c>
      <c r="N27" s="232">
        <v>0.08</v>
      </c>
      <c r="P27" s="431" t="s">
        <v>38</v>
      </c>
      <c r="Q27" s="432"/>
      <c r="S27" s="431" t="s">
        <v>38</v>
      </c>
      <c r="T27" s="432"/>
      <c r="V27" s="201" t="s">
        <v>277</v>
      </c>
      <c r="W27" s="202">
        <f>-N10</f>
        <v>-34569</v>
      </c>
    </row>
    <row r="28" spans="2:23" ht="15.75" thickBot="1">
      <c r="B28" s="215"/>
      <c r="C28" s="216"/>
      <c r="D28" s="217" t="s">
        <v>467</v>
      </c>
      <c r="E28" s="218"/>
      <c r="J28" s="152" t="s">
        <v>331</v>
      </c>
      <c r="K28" s="157">
        <f>H25*H17</f>
        <v>13.488</v>
      </c>
      <c r="M28" s="163" t="s">
        <v>385</v>
      </c>
      <c r="N28" s="178">
        <f>(N26+N27)*N25/12</f>
        <v>0</v>
      </c>
      <c r="P28" s="166" t="s">
        <v>478</v>
      </c>
      <c r="Q28" s="181">
        <f>Q19</f>
        <v>449.6</v>
      </c>
      <c r="S28" s="166" t="s">
        <v>478</v>
      </c>
      <c r="T28" s="181">
        <f ca="1">T19</f>
        <v>1206.8138170932646</v>
      </c>
      <c r="V28" s="201" t="s">
        <v>278</v>
      </c>
      <c r="W28" s="202">
        <f ca="1">OFFSET('Miete, Cashflow, Steuern'!D32,,Cockpit!T10)</f>
        <v>-10428.945086401221</v>
      </c>
    </row>
    <row r="29" spans="2:23" ht="15.75" thickBot="1">
      <c r="B29" s="215"/>
      <c r="C29" s="216"/>
      <c r="D29" s="217" t="s">
        <v>467</v>
      </c>
      <c r="E29" s="218"/>
      <c r="G29" s="431" t="s">
        <v>120</v>
      </c>
      <c r="H29" s="432"/>
      <c r="J29" s="152" t="s">
        <v>399</v>
      </c>
      <c r="K29" s="157">
        <f>K46</f>
        <v>0</v>
      </c>
      <c r="M29" s="162" t="s">
        <v>98</v>
      </c>
      <c r="N29" s="179">
        <f>HLOOKUP(0,'Wert, AfA, Darlehen'!D67:BA105,39,FALSE)</f>
        <v>2024</v>
      </c>
      <c r="P29" s="153" t="s">
        <v>335</v>
      </c>
      <c r="Q29" s="178">
        <f>-K12+K27+K28</f>
        <v>-173</v>
      </c>
      <c r="S29" s="153" t="s">
        <v>335</v>
      </c>
      <c r="T29" s="178">
        <f ca="1">OFFSET('Miete, Cashflow, Steuern'!D38,,Cockpit!T10)</f>
        <v>-257.0688995042554</v>
      </c>
      <c r="V29" s="203" t="s">
        <v>279</v>
      </c>
      <c r="W29" s="175">
        <f ca="1">SUM(W25:W28)</f>
        <v>87856.238457474421</v>
      </c>
    </row>
    <row r="30" spans="2:23" ht="15.75" thickBot="1">
      <c r="B30" s="163" t="s">
        <v>7</v>
      </c>
      <c r="C30" s="28">
        <f>SUM(C26:C29)</f>
        <v>0</v>
      </c>
      <c r="D30" s="422" t="s">
        <v>7</v>
      </c>
      <c r="E30" s="157">
        <f>SUM(E26:E29)</f>
        <v>0</v>
      </c>
      <c r="G30" s="166" t="s">
        <v>102</v>
      </c>
      <c r="H30" s="222">
        <v>0.02</v>
      </c>
      <c r="J30" s="177" t="s">
        <v>332</v>
      </c>
      <c r="K30" s="192">
        <f>K26+K27+K28+K29</f>
        <v>82.388000000000005</v>
      </c>
      <c r="L30" s="1"/>
      <c r="N30" s="27"/>
      <c r="P30" s="153" t="s">
        <v>31</v>
      </c>
      <c r="Q30" s="178">
        <f>Q21</f>
        <v>-314.33333333333331</v>
      </c>
      <c r="S30" s="153" t="s">
        <v>31</v>
      </c>
      <c r="T30" s="178">
        <f ca="1">T21</f>
        <v>-153.54797359748633</v>
      </c>
    </row>
    <row r="31" spans="2:23" ht="15.75" thickBot="1">
      <c r="B31" s="454" t="s">
        <v>112</v>
      </c>
      <c r="C31" s="455"/>
      <c r="D31" s="456"/>
      <c r="E31" s="157">
        <f>D14+E30</f>
        <v>115000</v>
      </c>
      <c r="G31" s="163" t="s">
        <v>103</v>
      </c>
      <c r="H31" s="225">
        <v>0.03</v>
      </c>
      <c r="M31" s="436" t="s">
        <v>245</v>
      </c>
      <c r="N31" s="437"/>
      <c r="P31" s="153" t="s">
        <v>293</v>
      </c>
      <c r="Q31" s="178">
        <f>-'Wert, AfA, Darlehen'!D19-'Wert, AfA, Darlehen'!D24-IF(E32="Abziehen",'Wert, AfA, Darlehen'!D34,'Wert, AfA, Darlehen'!D34-'Wert, AfA, Darlehen'!D28/12)</f>
        <v>-94.098749999999995</v>
      </c>
      <c r="S31" s="153" t="s">
        <v>293</v>
      </c>
      <c r="T31" s="178">
        <f ca="1">OFFSET('Miete, Cashflow, Steuern'!D40,,Cockpit!T10)</f>
        <v>-94.098749999999995</v>
      </c>
      <c r="U31" s="29"/>
      <c r="V31" s="431" t="s">
        <v>377</v>
      </c>
      <c r="W31" s="432"/>
    </row>
    <row r="32" spans="2:23" ht="15.75" thickBot="1">
      <c r="B32" s="457" t="s">
        <v>474</v>
      </c>
      <c r="C32" s="458"/>
      <c r="D32" s="459"/>
      <c r="E32" s="423" t="s">
        <v>473</v>
      </c>
      <c r="G32" s="162" t="s">
        <v>104</v>
      </c>
      <c r="H32" s="226">
        <v>0.02</v>
      </c>
      <c r="J32" s="431" t="s">
        <v>395</v>
      </c>
      <c r="K32" s="432"/>
      <c r="M32" s="166" t="s">
        <v>21</v>
      </c>
      <c r="N32" s="229">
        <v>0</v>
      </c>
      <c r="P32" s="153" t="s">
        <v>37</v>
      </c>
      <c r="Q32" s="178">
        <f>SUM(Q28:Q31)</f>
        <v>-131.83208333333329</v>
      </c>
      <c r="S32" s="153" t="s">
        <v>37</v>
      </c>
      <c r="T32" s="178">
        <f ca="1">SUM(T28:T31)</f>
        <v>702.09819399152286</v>
      </c>
      <c r="V32" s="151" t="s">
        <v>51</v>
      </c>
      <c r="W32" s="181">
        <f ca="1">W25</f>
        <v>174301.629548261</v>
      </c>
    </row>
    <row r="33" spans="2:23" ht="15.75" thickBot="1">
      <c r="J33" s="230" t="s">
        <v>336</v>
      </c>
      <c r="K33" s="227"/>
      <c r="M33" s="163" t="s">
        <v>22</v>
      </c>
      <c r="N33" s="232">
        <v>0.03</v>
      </c>
      <c r="P33" s="163" t="s">
        <v>294</v>
      </c>
      <c r="Q33" s="234">
        <v>0.4</v>
      </c>
      <c r="S33" s="163" t="s">
        <v>294</v>
      </c>
      <c r="T33" s="169">
        <f ca="1">OFFSET('Miete, Cashflow, Steuern'!D42,,Cockpit!T10)</f>
        <v>0.4</v>
      </c>
      <c r="V33" s="173" t="s">
        <v>52</v>
      </c>
      <c r="W33" s="178">
        <f ca="1">W26</f>
        <v>-41447.446004385347</v>
      </c>
    </row>
    <row r="34" spans="2:23" ht="15.75" thickBot="1">
      <c r="B34" s="431" t="s">
        <v>9</v>
      </c>
      <c r="C34" s="435"/>
      <c r="D34" s="435"/>
      <c r="E34" s="432"/>
      <c r="J34" s="231" t="s">
        <v>337</v>
      </c>
      <c r="K34" s="228"/>
      <c r="M34" s="163" t="s">
        <v>23</v>
      </c>
      <c r="N34" s="232">
        <v>0.05</v>
      </c>
      <c r="P34" s="158" t="s">
        <v>40</v>
      </c>
      <c r="Q34" s="175">
        <f>Q33*Q32</f>
        <v>-52.732833333333318</v>
      </c>
      <c r="S34" s="158" t="s">
        <v>40</v>
      </c>
      <c r="T34" s="175">
        <f ca="1">T33*T32</f>
        <v>280.83927759660918</v>
      </c>
      <c r="V34" s="203" t="s">
        <v>378</v>
      </c>
      <c r="W34" s="175">
        <f ca="1">W32+W33</f>
        <v>132854.18354387564</v>
      </c>
    </row>
    <row r="35" spans="2:23" ht="15.75" thickBot="1">
      <c r="B35" s="464" t="s">
        <v>7</v>
      </c>
      <c r="C35" s="465"/>
      <c r="D35" s="465"/>
      <c r="E35" s="172">
        <f>D14+E22+C30</f>
        <v>126569</v>
      </c>
      <c r="J35" s="231" t="s">
        <v>338</v>
      </c>
      <c r="K35" s="228"/>
      <c r="M35" s="163" t="s">
        <v>385</v>
      </c>
      <c r="N35" s="178">
        <f>(N33+N34)*N32/12</f>
        <v>0</v>
      </c>
    </row>
    <row r="36" spans="2:23" ht="15.75" thickBot="1">
      <c r="J36" s="231" t="s">
        <v>339</v>
      </c>
      <c r="K36" s="228"/>
      <c r="M36" s="162" t="s">
        <v>98</v>
      </c>
      <c r="N36" s="179">
        <f>HLOOKUP(0,'Wert, AfA, Darlehen'!D84:BA105,22,FALSE)</f>
        <v>2024</v>
      </c>
      <c r="P36" s="436" t="s">
        <v>73</v>
      </c>
      <c r="Q36" s="437"/>
      <c r="V36" s="431" t="s">
        <v>379</v>
      </c>
      <c r="W36" s="432"/>
    </row>
    <row r="37" spans="2:23" ht="15.75" customHeight="1" thickBot="1">
      <c r="B37" s="460" t="s">
        <v>482</v>
      </c>
      <c r="C37" s="460"/>
      <c r="D37" s="460"/>
      <c r="E37" s="460"/>
      <c r="F37" s="460"/>
      <c r="G37" s="460"/>
      <c r="H37" s="460"/>
      <c r="J37" s="173" t="s">
        <v>128</v>
      </c>
      <c r="K37" s="214"/>
      <c r="L37"/>
      <c r="N37" s="27"/>
      <c r="P37" s="166" t="s">
        <v>33</v>
      </c>
      <c r="Q37" s="188">
        <f>IF(N10&gt;0,Q9/N10,"n/a")</f>
        <v>5.5776504961092321E-2</v>
      </c>
      <c r="V37" s="151" t="s">
        <v>381</v>
      </c>
      <c r="W37" s="181">
        <f>W27</f>
        <v>-34569</v>
      </c>
    </row>
    <row r="38" spans="2:23" ht="15.75" thickBot="1">
      <c r="B38" s="460"/>
      <c r="C38" s="460"/>
      <c r="D38" s="460"/>
      <c r="E38" s="460"/>
      <c r="F38" s="460"/>
      <c r="G38" s="460"/>
      <c r="H38" s="460"/>
      <c r="J38" s="174" t="s">
        <v>7</v>
      </c>
      <c r="K38" s="175">
        <f>SUM(K33:K37)</f>
        <v>0</v>
      </c>
      <c r="L38" s="6"/>
      <c r="M38" s="436" t="s">
        <v>246</v>
      </c>
      <c r="N38" s="437"/>
      <c r="P38" s="183" t="s">
        <v>93</v>
      </c>
      <c r="Q38" s="189">
        <f>Q10/N10</f>
        <v>-1.0757094506638885E-2</v>
      </c>
      <c r="V38" s="152" t="s">
        <v>278</v>
      </c>
      <c r="W38" s="178">
        <f ca="1">W28</f>
        <v>-10428.945086401221</v>
      </c>
    </row>
    <row r="39" spans="2:23" ht="15.75" thickBot="1">
      <c r="B39" s="460"/>
      <c r="C39" s="460"/>
      <c r="D39" s="460"/>
      <c r="E39" s="460"/>
      <c r="F39" s="460"/>
      <c r="G39" s="460"/>
      <c r="H39" s="460"/>
      <c r="L39" s="6"/>
      <c r="M39" s="166" t="s">
        <v>21</v>
      </c>
      <c r="N39" s="229">
        <v>0</v>
      </c>
      <c r="O39" s="6"/>
      <c r="V39" s="203" t="s">
        <v>380</v>
      </c>
      <c r="W39" s="175">
        <f ca="1">W37+W38</f>
        <v>-44997.945086401218</v>
      </c>
    </row>
    <row r="40" spans="2:23" ht="15.75" thickBot="1">
      <c r="B40" s="460"/>
      <c r="C40" s="460"/>
      <c r="D40" s="460"/>
      <c r="E40" s="460"/>
      <c r="F40" s="460"/>
      <c r="G40" s="460"/>
      <c r="H40" s="460"/>
      <c r="J40" s="431" t="s">
        <v>396</v>
      </c>
      <c r="K40" s="432"/>
      <c r="L40" s="6"/>
      <c r="M40" s="163" t="s">
        <v>22</v>
      </c>
      <c r="N40" s="232"/>
      <c r="O40" s="6"/>
      <c r="S40" s="5"/>
      <c r="T40" s="5"/>
    </row>
    <row r="41" spans="2:23">
      <c r="B41" s="460"/>
      <c r="C41" s="460"/>
      <c r="D41" s="460"/>
      <c r="E41" s="460"/>
      <c r="F41" s="460"/>
      <c r="G41" s="460"/>
      <c r="H41" s="460"/>
      <c r="J41" s="230" t="s">
        <v>336</v>
      </c>
      <c r="K41" s="227"/>
      <c r="L41" s="6"/>
      <c r="M41" s="163" t="s">
        <v>23</v>
      </c>
      <c r="N41" s="232"/>
      <c r="O41" s="6"/>
    </row>
    <row r="42" spans="2:23">
      <c r="B42" s="461" t="s">
        <v>466</v>
      </c>
      <c r="C42" s="461"/>
      <c r="D42" s="461"/>
      <c r="E42" s="461"/>
      <c r="F42" s="461"/>
      <c r="G42" s="461"/>
      <c r="H42" s="461"/>
      <c r="J42" s="231" t="s">
        <v>337</v>
      </c>
      <c r="K42" s="228"/>
      <c r="L42" s="6"/>
      <c r="M42" s="163" t="s">
        <v>385</v>
      </c>
      <c r="N42" s="178">
        <f>(N40+N41)*N39/12</f>
        <v>0</v>
      </c>
      <c r="O42" s="6"/>
    </row>
    <row r="43" spans="2:23" ht="15.75" thickBot="1">
      <c r="B43" s="410"/>
      <c r="C43" s="410"/>
      <c r="D43" s="410"/>
      <c r="E43" s="410"/>
      <c r="F43" s="410"/>
      <c r="G43" s="410"/>
      <c r="H43" s="410"/>
      <c r="J43" s="231" t="s">
        <v>338</v>
      </c>
      <c r="K43" s="228"/>
      <c r="L43" s="6"/>
      <c r="M43" s="162" t="s">
        <v>98</v>
      </c>
      <c r="N43" s="179">
        <f>HLOOKUP(0,'Wert, AfA, Darlehen'!D101:BA105,5,FALSE)</f>
        <v>2024</v>
      </c>
      <c r="O43" s="6"/>
    </row>
    <row r="44" spans="2:23">
      <c r="B44" s="410"/>
      <c r="C44" s="410"/>
      <c r="D44" s="410"/>
      <c r="E44" s="410"/>
      <c r="F44" s="410"/>
      <c r="G44" s="410"/>
      <c r="H44" s="410"/>
      <c r="J44" s="231" t="s">
        <v>339</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372</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 ref="B6:E6"/>
    <mergeCell ref="P8:Q8"/>
    <mergeCell ref="G6:H6"/>
    <mergeCell ref="P12:Q12"/>
    <mergeCell ref="S6:T6"/>
    <mergeCell ref="J6:K6"/>
    <mergeCell ref="M6:N6"/>
    <mergeCell ref="P6:Q6"/>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V6:W6"/>
    <mergeCell ref="V8:W8"/>
    <mergeCell ref="V1:W3"/>
    <mergeCell ref="S1:T3"/>
    <mergeCell ref="M8:N8"/>
    <mergeCell ref="S8:T8"/>
    <mergeCell ref="G24:H24"/>
    <mergeCell ref="B16:C16"/>
    <mergeCell ref="B21:C21"/>
    <mergeCell ref="B17:C17"/>
    <mergeCell ref="J15:K15"/>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4" t="s">
        <v>351</v>
      </c>
      <c r="D1" s="474"/>
      <c r="E1" s="475" t="s">
        <v>346</v>
      </c>
      <c r="F1" s="475"/>
      <c r="G1" s="475"/>
      <c r="H1" s="475"/>
      <c r="I1" s="474"/>
      <c r="J1" s="238"/>
      <c r="O1" s="237"/>
      <c r="S1" s="474"/>
      <c r="T1" s="424"/>
    </row>
    <row r="2" spans="1:24" s="150" customFormat="1" ht="15" customHeight="1">
      <c r="C2" s="474"/>
      <c r="D2" s="474"/>
      <c r="E2" s="475"/>
      <c r="F2" s="475"/>
      <c r="G2" s="475"/>
      <c r="H2" s="475"/>
      <c r="I2" s="474"/>
      <c r="J2" s="238"/>
      <c r="O2" s="237"/>
      <c r="S2" s="474"/>
      <c r="T2" s="424"/>
    </row>
    <row r="3" spans="1:24" s="150" customFormat="1" ht="12.75" customHeight="1">
      <c r="C3" s="474"/>
      <c r="D3" s="474"/>
      <c r="E3" s="475"/>
      <c r="F3" s="475"/>
      <c r="G3" s="475"/>
      <c r="H3" s="475"/>
      <c r="I3" s="474"/>
      <c r="J3" s="238"/>
      <c r="O3" s="237"/>
      <c r="S3" s="474"/>
      <c r="T3" s="424"/>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1" t="s">
        <v>113</v>
      </c>
      <c r="C6" s="472"/>
      <c r="D6" s="472"/>
      <c r="E6" s="472"/>
      <c r="F6" s="472"/>
      <c r="G6" s="472"/>
      <c r="H6" s="472"/>
      <c r="I6" s="472"/>
      <c r="J6" s="472"/>
      <c r="K6" s="473"/>
      <c r="N6" s="239" t="s">
        <v>211</v>
      </c>
      <c r="O6" s="240"/>
      <c r="P6" s="240"/>
      <c r="Q6" s="240"/>
    </row>
    <row r="7" spans="1:24" ht="15" customHeight="1">
      <c r="B7" s="141"/>
      <c r="C7"/>
      <c r="D7"/>
      <c r="E7"/>
      <c r="F7"/>
      <c r="G7"/>
      <c r="H7"/>
      <c r="I7"/>
      <c r="J7"/>
      <c r="K7" s="142"/>
      <c r="N7" s="240"/>
      <c r="O7" s="241"/>
      <c r="P7" s="241"/>
      <c r="Q7" s="240"/>
    </row>
    <row r="8" spans="1:24" ht="17.25" customHeight="1">
      <c r="B8" s="141"/>
      <c r="C8" s="11" t="str">
        <f>Cockpit!C9</f>
        <v>Musterstr. 11, 1234 Musterstadt</v>
      </c>
      <c r="D8"/>
      <c r="E8"/>
      <c r="F8"/>
      <c r="G8" s="2"/>
      <c r="H8" s="2"/>
      <c r="I8" s="478">
        <f>Cockpit!C10</f>
        <v>45413</v>
      </c>
      <c r="J8" s="478"/>
      <c r="K8" s="242"/>
      <c r="L8" s="9"/>
      <c r="M8" s="9"/>
      <c r="N8" s="470" t="s">
        <v>354</v>
      </c>
      <c r="O8" s="470"/>
      <c r="P8" s="470"/>
      <c r="Q8" s="470"/>
    </row>
    <row r="9" spans="1:24" ht="15" customHeight="1">
      <c r="B9" s="141"/>
      <c r="C9"/>
      <c r="D9"/>
      <c r="E9"/>
      <c r="F9"/>
      <c r="G9"/>
      <c r="H9"/>
      <c r="I9"/>
      <c r="J9"/>
      <c r="K9" s="142"/>
      <c r="N9" s="470"/>
      <c r="O9" s="470"/>
      <c r="P9" s="470"/>
      <c r="Q9" s="470"/>
    </row>
    <row r="10" spans="1:24" ht="15.75" customHeight="1">
      <c r="B10" s="141"/>
      <c r="C10"/>
      <c r="D10"/>
      <c r="E10"/>
      <c r="F10"/>
      <c r="G10"/>
      <c r="H10"/>
      <c r="I10"/>
      <c r="J10"/>
      <c r="K10" s="243"/>
      <c r="N10" s="470"/>
      <c r="O10" s="470"/>
      <c r="P10" s="470"/>
      <c r="Q10" s="470"/>
    </row>
    <row r="11" spans="1:24" ht="15.75" customHeight="1">
      <c r="B11" s="141"/>
      <c r="C11"/>
      <c r="D11"/>
      <c r="E11"/>
      <c r="F11"/>
      <c r="G11"/>
      <c r="H11"/>
      <c r="I11"/>
      <c r="J11"/>
      <c r="K11" s="243"/>
      <c r="N11" s="470"/>
      <c r="O11" s="470"/>
      <c r="P11" s="470"/>
      <c r="Q11" s="470"/>
    </row>
    <row r="12" spans="1:24" ht="15.75" customHeight="1">
      <c r="B12" s="141"/>
      <c r="C12"/>
      <c r="D12"/>
      <c r="E12"/>
      <c r="F12"/>
      <c r="G12"/>
      <c r="H12"/>
      <c r="I12"/>
      <c r="J12"/>
      <c r="K12" s="243"/>
      <c r="N12" s="470"/>
      <c r="O12" s="470"/>
      <c r="P12" s="470"/>
      <c r="Q12" s="470"/>
    </row>
    <row r="13" spans="1:24" ht="15.75" customHeight="1">
      <c r="B13" s="141"/>
      <c r="C13"/>
      <c r="D13"/>
      <c r="E13"/>
      <c r="F13"/>
      <c r="G13"/>
      <c r="H13"/>
      <c r="I13"/>
      <c r="J13"/>
      <c r="K13" s="243"/>
      <c r="N13" s="470"/>
      <c r="O13" s="470"/>
      <c r="P13" s="470"/>
      <c r="Q13" s="470"/>
    </row>
    <row r="14" spans="1:24" ht="15.75" customHeight="1">
      <c r="B14" s="141"/>
      <c r="C14"/>
      <c r="D14"/>
      <c r="E14"/>
      <c r="F14"/>
      <c r="G14"/>
      <c r="H14"/>
      <c r="I14"/>
      <c r="J14"/>
      <c r="K14" s="243"/>
      <c r="N14" s="470"/>
      <c r="O14" s="470"/>
      <c r="P14" s="470"/>
      <c r="Q14" s="470"/>
    </row>
    <row r="15" spans="1:24" ht="15.75" customHeight="1">
      <c r="B15" s="141"/>
      <c r="C15"/>
      <c r="D15"/>
      <c r="E15"/>
      <c r="F15"/>
      <c r="G15"/>
      <c r="H15"/>
      <c r="I15"/>
      <c r="J15"/>
      <c r="K15" s="243"/>
      <c r="N15" s="470"/>
      <c r="O15" s="470"/>
      <c r="P15" s="470"/>
      <c r="Q15" s="470"/>
    </row>
    <row r="16" spans="1:24" ht="15.75" customHeight="1">
      <c r="B16" s="141"/>
      <c r="C16"/>
      <c r="D16"/>
      <c r="E16"/>
      <c r="F16"/>
      <c r="G16"/>
      <c r="H16"/>
      <c r="I16"/>
      <c r="J16"/>
      <c r="K16" s="243"/>
      <c r="N16" s="470"/>
      <c r="O16" s="470"/>
      <c r="P16" s="470"/>
      <c r="Q16" s="470"/>
    </row>
    <row r="17" spans="2:17" ht="15.75" customHeight="1">
      <c r="B17" s="141"/>
      <c r="C17"/>
      <c r="D17"/>
      <c r="E17"/>
      <c r="F17"/>
      <c r="G17"/>
      <c r="H17"/>
      <c r="I17"/>
      <c r="J17"/>
      <c r="K17" s="243"/>
      <c r="N17" s="470"/>
      <c r="O17" s="470"/>
      <c r="P17" s="470"/>
      <c r="Q17" s="470"/>
    </row>
    <row r="18" spans="2:17" ht="15.75" customHeight="1">
      <c r="B18" s="141"/>
      <c r="C18"/>
      <c r="D18"/>
      <c r="E18"/>
      <c r="F18"/>
      <c r="G18"/>
      <c r="H18"/>
      <c r="I18"/>
      <c r="J18"/>
      <c r="K18" s="243"/>
      <c r="N18" s="470" t="s">
        <v>212</v>
      </c>
      <c r="O18" s="470"/>
      <c r="P18" s="470"/>
      <c r="Q18" s="470"/>
    </row>
    <row r="19" spans="2:17" ht="15.75" customHeight="1">
      <c r="B19" s="141"/>
      <c r="C19"/>
      <c r="D19"/>
      <c r="E19"/>
      <c r="F19"/>
      <c r="G19"/>
      <c r="H19"/>
      <c r="I19"/>
      <c r="J19"/>
      <c r="K19" s="243"/>
      <c r="N19" s="470"/>
      <c r="O19" s="470"/>
      <c r="P19" s="470"/>
      <c r="Q19" s="470"/>
    </row>
    <row r="20" spans="2:17" ht="15.75" customHeight="1">
      <c r="B20" s="141"/>
      <c r="C20"/>
      <c r="D20"/>
      <c r="E20"/>
      <c r="F20"/>
      <c r="G20"/>
      <c r="H20"/>
      <c r="I20"/>
      <c r="J20"/>
      <c r="K20" s="243"/>
      <c r="N20" s="470"/>
      <c r="O20" s="470"/>
      <c r="P20" s="470"/>
      <c r="Q20" s="470"/>
    </row>
    <row r="21" spans="2:17" ht="15.75" customHeight="1">
      <c r="B21" s="141"/>
      <c r="C21"/>
      <c r="D21"/>
      <c r="E21"/>
      <c r="F21"/>
      <c r="G21"/>
      <c r="H21"/>
      <c r="I21"/>
      <c r="J21"/>
      <c r="K21" s="243"/>
      <c r="N21" s="470"/>
      <c r="O21" s="470"/>
      <c r="P21" s="470"/>
      <c r="Q21" s="470"/>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68" t="s">
        <v>209</v>
      </c>
      <c r="O23" s="469"/>
      <c r="P23" s="469"/>
      <c r="Q23" s="469"/>
    </row>
    <row r="24" spans="2:17" ht="15.75" customHeight="1" thickBot="1">
      <c r="B24" s="141"/>
      <c r="C24"/>
      <c r="D24"/>
      <c r="E24"/>
      <c r="F24"/>
      <c r="G24"/>
      <c r="H24"/>
      <c r="I24"/>
      <c r="J24"/>
      <c r="K24" s="243"/>
      <c r="N24" s="468" t="s">
        <v>210</v>
      </c>
      <c r="O24" s="469"/>
      <c r="P24" s="469"/>
      <c r="Q24" s="469"/>
    </row>
    <row r="25" spans="2:17" ht="18" thickBot="1">
      <c r="B25" s="141"/>
      <c r="C25" s="442" t="s">
        <v>0</v>
      </c>
      <c r="D25" s="443"/>
      <c r="E25"/>
      <c r="F25" s="442" t="s">
        <v>19</v>
      </c>
      <c r="G25" s="443"/>
      <c r="H25"/>
      <c r="I25" s="442" t="s">
        <v>81</v>
      </c>
      <c r="J25" s="443"/>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76" t="s">
        <v>86</v>
      </c>
      <c r="D27" s="477"/>
      <c r="E27" s="12"/>
      <c r="F27" s="476" t="s">
        <v>248</v>
      </c>
      <c r="G27" s="477"/>
      <c r="H27" s="12"/>
      <c r="I27" s="476" t="s">
        <v>82</v>
      </c>
      <c r="J27" s="477"/>
      <c r="K27" s="245"/>
      <c r="N27" s="470" t="s">
        <v>208</v>
      </c>
      <c r="O27" s="470"/>
      <c r="P27" s="470"/>
      <c r="Q27" s="470"/>
    </row>
    <row r="28" spans="2:17">
      <c r="B28" s="244"/>
      <c r="C28" s="246" t="s">
        <v>11</v>
      </c>
      <c r="D28" s="247">
        <f>Cockpit!C11</f>
        <v>39</v>
      </c>
      <c r="E28" s="12"/>
      <c r="F28" s="246" t="s">
        <v>7</v>
      </c>
      <c r="G28" s="250">
        <f>Cockpit!N17</f>
        <v>92000</v>
      </c>
      <c r="H28" s="12"/>
      <c r="I28" s="246" t="s">
        <v>78</v>
      </c>
      <c r="J28" s="250">
        <f>Cockpit!H15</f>
        <v>313</v>
      </c>
      <c r="K28" s="245"/>
      <c r="N28" s="470"/>
      <c r="O28" s="470"/>
      <c r="P28" s="470"/>
      <c r="Q28" s="470"/>
    </row>
    <row r="29" spans="2:17" ht="15.75" thickBot="1">
      <c r="B29" s="244"/>
      <c r="C29" s="248" t="s">
        <v>13</v>
      </c>
      <c r="D29" s="249">
        <f>D33/D28</f>
        <v>2948.7179487179487</v>
      </c>
      <c r="E29" s="12"/>
      <c r="F29" s="251" t="s">
        <v>23</v>
      </c>
      <c r="G29" s="255">
        <f>Cockpit!N19</f>
        <v>1.7000000000000001E-2</v>
      </c>
      <c r="H29" s="12"/>
      <c r="I29" s="259" t="s">
        <v>16</v>
      </c>
      <c r="J29" s="260">
        <f>Cockpit!Q14</f>
        <v>3.2660869565217389E-2</v>
      </c>
      <c r="K29" s="245"/>
      <c r="N29" s="470"/>
      <c r="O29" s="470"/>
      <c r="P29" s="470"/>
      <c r="Q29" s="470"/>
    </row>
    <row r="30" spans="2:17" ht="15.75" thickBot="1">
      <c r="B30" s="244"/>
      <c r="C30" s="12"/>
      <c r="D30" s="12"/>
      <c r="E30" s="12"/>
      <c r="F30" s="248" t="s">
        <v>84</v>
      </c>
      <c r="G30" s="256">
        <f>Cockpit!N18</f>
        <v>4.1000000000000002E-2</v>
      </c>
      <c r="H30" s="12"/>
      <c r="I30" s="248" t="s">
        <v>83</v>
      </c>
      <c r="J30" s="261">
        <f>Cockpit!Q15</f>
        <v>30.617678381256656</v>
      </c>
      <c r="K30" s="245"/>
    </row>
    <row r="31" spans="2:17" ht="15.75" thickBot="1">
      <c r="B31" s="244"/>
      <c r="C31" s="12"/>
      <c r="D31" s="12"/>
      <c r="E31" s="12"/>
      <c r="F31" s="12"/>
      <c r="G31" s="12"/>
      <c r="H31" s="12"/>
      <c r="I31" s="12"/>
      <c r="J31" s="12"/>
      <c r="K31" s="245"/>
    </row>
    <row r="32" spans="2:17" ht="15.75" thickBot="1">
      <c r="B32" s="244"/>
      <c r="C32" s="476" t="s">
        <v>87</v>
      </c>
      <c r="D32" s="477"/>
      <c r="E32" s="12"/>
      <c r="F32" s="476" t="s">
        <v>247</v>
      </c>
      <c r="G32" s="477"/>
      <c r="H32" s="12"/>
      <c r="I32" s="476" t="s">
        <v>85</v>
      </c>
      <c r="J32" s="477"/>
      <c r="K32" s="245"/>
    </row>
    <row r="33" spans="2:11">
      <c r="B33" s="244"/>
      <c r="C33" s="246" t="s">
        <v>1</v>
      </c>
      <c r="D33" s="250">
        <f>Cockpit!D14</f>
        <v>115000</v>
      </c>
      <c r="E33" s="12"/>
      <c r="F33" s="246" t="s">
        <v>7</v>
      </c>
      <c r="G33" s="250">
        <f>Cockpit!N9-Cockpit!N17</f>
        <v>0</v>
      </c>
      <c r="H33" s="12"/>
      <c r="I33" s="246" t="s">
        <v>78</v>
      </c>
      <c r="J33" s="250">
        <f>Cockpit!H15</f>
        <v>313</v>
      </c>
      <c r="K33" s="245"/>
    </row>
    <row r="34" spans="2:11">
      <c r="B34" s="244"/>
      <c r="C34" s="251" t="s">
        <v>3</v>
      </c>
      <c r="D34" s="252">
        <f>Cockpit!E22</f>
        <v>11569</v>
      </c>
      <c r="E34" s="12"/>
      <c r="F34" s="251" t="s">
        <v>23</v>
      </c>
      <c r="G34" s="255" t="e">
        <f>(Cockpit!N12*Cockpit!N9-Cockpit!N19*Cockpit!N17)/(Cockpit!N9-Cockpit!N17)</f>
        <v>#DIV/0!</v>
      </c>
      <c r="H34" s="12"/>
      <c r="I34" s="262" t="str">
        <f>CONCATENATE("- Bewirtschaftungskosten (",TEXT(Cockpit!K11*100,"#"),"%)")</f>
        <v>- Bewirtschaftungskosten (26%)</v>
      </c>
      <c r="J34" s="252">
        <f>Cockpit!K10</f>
        <v>82.388000000000005</v>
      </c>
      <c r="K34" s="245"/>
    </row>
    <row r="35" spans="2:11" ht="15.75" thickBot="1">
      <c r="B35" s="244"/>
      <c r="C35" s="253" t="s">
        <v>77</v>
      </c>
      <c r="D35" s="254">
        <f>Cockpit!C30</f>
        <v>0</v>
      </c>
      <c r="E35" s="12"/>
      <c r="F35" s="248" t="s">
        <v>84</v>
      </c>
      <c r="G35" s="256" t="e">
        <f>(Cockpit!N11*Cockpit!N9-Cockpit!N18*Cockpit!N17)/(Cockpit!N9-Cockpit!N17)</f>
        <v>#DIV/0!</v>
      </c>
      <c r="H35" s="12"/>
      <c r="I35" s="262" t="s">
        <v>31</v>
      </c>
      <c r="J35" s="252">
        <f>-Cockpit!Q21</f>
        <v>314.33333333333331</v>
      </c>
      <c r="K35" s="245"/>
    </row>
    <row r="36" spans="2:11" ht="16.5" thickTop="1" thickBot="1">
      <c r="B36" s="244"/>
      <c r="C36" s="248" t="s">
        <v>9</v>
      </c>
      <c r="D36" s="249">
        <f>SUM(D33:D35)</f>
        <v>126569</v>
      </c>
      <c r="E36" s="12"/>
      <c r="F36" s="12"/>
      <c r="G36" s="12"/>
      <c r="H36" s="12"/>
      <c r="I36" s="263" t="s">
        <v>32</v>
      </c>
      <c r="J36" s="254">
        <f>-Cockpit!Q22</f>
        <v>130.33333333333334</v>
      </c>
      <c r="K36" s="245"/>
    </row>
    <row r="37" spans="2:11" ht="15.75" thickBot="1">
      <c r="B37" s="244"/>
      <c r="C37" s="12"/>
      <c r="D37" s="12"/>
      <c r="E37" s="12"/>
      <c r="F37" s="476" t="s">
        <v>26</v>
      </c>
      <c r="G37" s="477"/>
      <c r="H37" s="12"/>
      <c r="I37" s="264" t="s">
        <v>80</v>
      </c>
      <c r="J37" s="249">
        <f>J33-SUM(J34:J36)</f>
        <v>-214.05466666666666</v>
      </c>
      <c r="K37" s="245"/>
    </row>
    <row r="38" spans="2:11" ht="15.75" thickBot="1">
      <c r="B38" s="244"/>
      <c r="C38" s="12"/>
      <c r="D38" s="12"/>
      <c r="E38" s="12"/>
      <c r="F38" s="257" t="s">
        <v>7</v>
      </c>
      <c r="G38" s="258">
        <f>Cockpit!N10</f>
        <v>34569</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313</v>
      </c>
      <c r="J43" s="3"/>
      <c r="K43" s="142"/>
    </row>
    <row r="44" spans="2:11">
      <c r="B44" s="141"/>
      <c r="C44"/>
      <c r="D44"/>
      <c r="E44"/>
      <c r="F44"/>
      <c r="G44"/>
      <c r="H44" s="3" t="s">
        <v>362</v>
      </c>
      <c r="I44" s="3"/>
      <c r="J44" s="3">
        <f>Cockpit!K10</f>
        <v>82.388000000000005</v>
      </c>
      <c r="K44" s="142"/>
    </row>
    <row r="45" spans="2:11">
      <c r="B45" s="141"/>
      <c r="C45"/>
      <c r="D45"/>
      <c r="E45"/>
      <c r="F45"/>
      <c r="G45"/>
      <c r="H45" s="3" t="s">
        <v>43</v>
      </c>
      <c r="I45" s="3"/>
      <c r="J45" s="3">
        <f>-Cockpit!Q21</f>
        <v>314.33333333333331</v>
      </c>
      <c r="K45" s="142"/>
    </row>
    <row r="46" spans="2:11">
      <c r="B46" s="141"/>
      <c r="C46"/>
      <c r="D46"/>
      <c r="E46"/>
      <c r="F46"/>
      <c r="G46"/>
      <c r="H46" s="3" t="s">
        <v>44</v>
      </c>
      <c r="I46" s="3"/>
      <c r="J46" s="3">
        <f>-Cockpit!Q22</f>
        <v>130.33333333333334</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372</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C32:D32"/>
    <mergeCell ref="C27:D27"/>
    <mergeCell ref="F27:G27"/>
    <mergeCell ref="C25:D25"/>
    <mergeCell ref="F25:G25"/>
    <mergeCell ref="F32:G32"/>
    <mergeCell ref="F37:G37"/>
    <mergeCell ref="I8:J8"/>
    <mergeCell ref="I25:J25"/>
    <mergeCell ref="I32:J32"/>
    <mergeCell ref="I27:J27"/>
    <mergeCell ref="T1:T3"/>
    <mergeCell ref="I1:I3"/>
    <mergeCell ref="S1:S3"/>
    <mergeCell ref="E1:H3"/>
    <mergeCell ref="C1:D3"/>
    <mergeCell ref="N24:Q24"/>
    <mergeCell ref="N27:Q29"/>
    <mergeCell ref="N18:Q21"/>
    <mergeCell ref="N23:Q23"/>
    <mergeCell ref="B6:K6"/>
    <mergeCell ref="N8:Q17"/>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X10" sqref="X10"/>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351</v>
      </c>
      <c r="C1" s="425"/>
      <c r="E1" s="481" t="s">
        <v>468</v>
      </c>
      <c r="F1" s="481"/>
      <c r="G1" s="481"/>
      <c r="H1" s="481"/>
      <c r="I1" s="481"/>
      <c r="J1" s="425" t="s">
        <v>360</v>
      </c>
      <c r="K1" s="425"/>
      <c r="L1" s="425"/>
      <c r="M1" s="425"/>
      <c r="N1" s="425"/>
      <c r="O1" s="425"/>
      <c r="P1" s="425"/>
      <c r="Q1" s="147"/>
      <c r="R1" s="147"/>
      <c r="T1" s="147"/>
      <c r="U1" s="147"/>
    </row>
    <row r="2" spans="1:53" s="150" customFormat="1" ht="15" customHeight="1">
      <c r="B2" s="425"/>
      <c r="C2" s="425"/>
      <c r="E2" s="481"/>
      <c r="F2" s="481"/>
      <c r="G2" s="481"/>
      <c r="H2" s="481"/>
      <c r="I2" s="481"/>
      <c r="J2" s="425"/>
      <c r="K2" s="425"/>
      <c r="L2" s="425"/>
      <c r="M2" s="425"/>
      <c r="N2" s="425"/>
      <c r="O2" s="425"/>
      <c r="P2" s="425"/>
      <c r="Q2" s="147"/>
      <c r="R2" s="147"/>
      <c r="T2" s="147"/>
      <c r="U2" s="147"/>
    </row>
    <row r="3" spans="1:53" s="150" customFormat="1" ht="12.75" customHeight="1">
      <c r="B3" s="425"/>
      <c r="C3" s="425"/>
      <c r="E3" s="481"/>
      <c r="F3" s="481"/>
      <c r="G3" s="481"/>
      <c r="H3" s="481"/>
      <c r="I3" s="481"/>
      <c r="J3" s="425"/>
      <c r="K3" s="425"/>
      <c r="L3" s="425"/>
      <c r="M3" s="425"/>
      <c r="N3" s="425"/>
      <c r="O3" s="425"/>
      <c r="P3" s="425"/>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256</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4" t="s">
        <v>261</v>
      </c>
      <c r="C8" s="485"/>
      <c r="D8" s="281"/>
      <c r="E8" s="281">
        <f>D10</f>
        <v>313</v>
      </c>
      <c r="F8" s="281">
        <f t="shared" ref="F8:BA8" si="0">E10</f>
        <v>331.78000000000003</v>
      </c>
      <c r="G8" s="281">
        <f t="shared" si="0"/>
        <v>351.68680000000006</v>
      </c>
      <c r="H8" s="281">
        <f t="shared" si="0"/>
        <v>372.7880080000001</v>
      </c>
      <c r="I8" s="281">
        <f t="shared" si="0"/>
        <v>395.15528848000014</v>
      </c>
      <c r="J8" s="281">
        <f t="shared" si="0"/>
        <v>418.86460578880019</v>
      </c>
      <c r="K8" s="281">
        <f t="shared" si="0"/>
        <v>443.99648213612824</v>
      </c>
      <c r="L8" s="281">
        <f t="shared" si="0"/>
        <v>470.63627106429595</v>
      </c>
      <c r="M8" s="281">
        <f t="shared" si="0"/>
        <v>498.87444732815374</v>
      </c>
      <c r="N8" s="281">
        <f t="shared" si="0"/>
        <v>528.80691416784293</v>
      </c>
      <c r="O8" s="281">
        <f t="shared" si="0"/>
        <v>560.53532901791357</v>
      </c>
      <c r="P8" s="281">
        <f t="shared" si="0"/>
        <v>594.16744875898837</v>
      </c>
      <c r="Q8" s="281">
        <f t="shared" si="0"/>
        <v>629.81749568452767</v>
      </c>
      <c r="R8" s="281">
        <f t="shared" si="0"/>
        <v>667.60654542559939</v>
      </c>
      <c r="S8" s="281">
        <f t="shared" si="0"/>
        <v>707.66293815113534</v>
      </c>
      <c r="T8" s="281">
        <f t="shared" si="0"/>
        <v>750.12271444020348</v>
      </c>
      <c r="U8" s="281">
        <f t="shared" si="0"/>
        <v>795.1300773066157</v>
      </c>
      <c r="V8" s="281">
        <f t="shared" si="0"/>
        <v>842.83788194501267</v>
      </c>
      <c r="W8" s="281">
        <f t="shared" si="0"/>
        <v>893.40815486171346</v>
      </c>
      <c r="X8" s="281">
        <f t="shared" si="0"/>
        <v>947.01264415341632</v>
      </c>
      <c r="Y8" s="281">
        <f t="shared" si="0"/>
        <v>1003.8334028026213</v>
      </c>
      <c r="Z8" s="281">
        <f t="shared" si="0"/>
        <v>1033.9484048867</v>
      </c>
      <c r="AA8" s="281">
        <f t="shared" si="0"/>
        <v>1064.966857033301</v>
      </c>
      <c r="AB8" s="281">
        <f t="shared" si="0"/>
        <v>1096.9158627443001</v>
      </c>
      <c r="AC8" s="281">
        <f t="shared" si="0"/>
        <v>1129.823338626629</v>
      </c>
      <c r="AD8" s="281">
        <f t="shared" si="0"/>
        <v>1163.718038785428</v>
      </c>
      <c r="AE8" s="281">
        <f t="shared" si="0"/>
        <v>1198.6295799489908</v>
      </c>
      <c r="AF8" s="281">
        <f t="shared" si="0"/>
        <v>1234.5884673474607</v>
      </c>
      <c r="AG8" s="281">
        <f t="shared" si="0"/>
        <v>1271.6261213678845</v>
      </c>
      <c r="AH8" s="281">
        <f t="shared" si="0"/>
        <v>1309.774905008921</v>
      </c>
      <c r="AI8" s="281">
        <f t="shared" si="0"/>
        <v>1349.0681521591887</v>
      </c>
      <c r="AJ8" s="281">
        <f t="shared" si="0"/>
        <v>1389.5401967239643</v>
      </c>
      <c r="AK8" s="281">
        <f t="shared" si="0"/>
        <v>1431.2264026256832</v>
      </c>
      <c r="AL8" s="281">
        <f t="shared" si="0"/>
        <v>1474.1631947044539</v>
      </c>
      <c r="AM8" s="281">
        <f t="shared" si="0"/>
        <v>1518.3880905455876</v>
      </c>
      <c r="AN8" s="281">
        <f t="shared" si="0"/>
        <v>1563.9397332619553</v>
      </c>
      <c r="AO8" s="281">
        <f t="shared" si="0"/>
        <v>1610.857925259814</v>
      </c>
      <c r="AP8" s="281">
        <f t="shared" si="0"/>
        <v>1659.1836630176085</v>
      </c>
      <c r="AQ8" s="281">
        <f t="shared" si="0"/>
        <v>1708.9591729081369</v>
      </c>
      <c r="AR8" s="281">
        <f t="shared" si="0"/>
        <v>1760.227948095381</v>
      </c>
      <c r="AS8" s="281">
        <f t="shared" si="0"/>
        <v>1813.0347865382423</v>
      </c>
      <c r="AT8" s="281">
        <f t="shared" si="0"/>
        <v>1867.4258301343896</v>
      </c>
      <c r="AU8" s="281">
        <f t="shared" si="0"/>
        <v>1923.4486050384214</v>
      </c>
      <c r="AV8" s="281">
        <f t="shared" si="0"/>
        <v>1981.1520631895742</v>
      </c>
      <c r="AW8" s="281">
        <f t="shared" si="0"/>
        <v>2040.5866250852614</v>
      </c>
      <c r="AX8" s="281">
        <f t="shared" si="0"/>
        <v>2101.8042238378193</v>
      </c>
      <c r="AY8" s="281">
        <f t="shared" si="0"/>
        <v>2164.8583505529541</v>
      </c>
      <c r="AZ8" s="281">
        <f t="shared" si="0"/>
        <v>2229.8041010695429</v>
      </c>
      <c r="BA8" s="282">
        <f t="shared" si="0"/>
        <v>2296.6982241016294</v>
      </c>
    </row>
    <row r="9" spans="1:53">
      <c r="A9"/>
      <c r="B9" s="479" t="s">
        <v>99</v>
      </c>
      <c r="C9" s="480"/>
      <c r="D9" s="35"/>
      <c r="E9" s="289">
        <v>0.06</v>
      </c>
      <c r="F9" s="289">
        <v>0.06</v>
      </c>
      <c r="G9" s="289">
        <v>0.06</v>
      </c>
      <c r="H9" s="289">
        <v>0.06</v>
      </c>
      <c r="I9" s="289">
        <v>0.06</v>
      </c>
      <c r="J9" s="289">
        <v>0.06</v>
      </c>
      <c r="K9" s="289">
        <v>0.06</v>
      </c>
      <c r="L9" s="289">
        <v>0.06</v>
      </c>
      <c r="M9" s="289">
        <v>0.06</v>
      </c>
      <c r="N9" s="289">
        <v>0.06</v>
      </c>
      <c r="O9" s="289">
        <v>0.06</v>
      </c>
      <c r="P9" s="289">
        <v>0.06</v>
      </c>
      <c r="Q9" s="289">
        <v>0.06</v>
      </c>
      <c r="R9" s="289">
        <v>0.06</v>
      </c>
      <c r="S9" s="289">
        <v>0.06</v>
      </c>
      <c r="T9" s="289">
        <v>0.06</v>
      </c>
      <c r="U9" s="289">
        <v>0.06</v>
      </c>
      <c r="V9" s="289">
        <v>0.06</v>
      </c>
      <c r="W9" s="289">
        <v>0.06</v>
      </c>
      <c r="X9" s="289">
        <v>0.06</v>
      </c>
      <c r="Y9" s="289">
        <v>0.03</v>
      </c>
      <c r="Z9" s="289">
        <v>0.03</v>
      </c>
      <c r="AA9" s="289">
        <v>0.03</v>
      </c>
      <c r="AB9" s="289">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313</v>
      </c>
      <c r="E10" s="10">
        <f>E8*(1+E9)</f>
        <v>331.78000000000003</v>
      </c>
      <c r="F10" s="10">
        <f t="shared" ref="F10:BA10" si="1">F8*(1+F9)</f>
        <v>351.68680000000006</v>
      </c>
      <c r="G10" s="10">
        <f t="shared" si="1"/>
        <v>372.7880080000001</v>
      </c>
      <c r="H10" s="10">
        <f t="shared" si="1"/>
        <v>395.15528848000014</v>
      </c>
      <c r="I10" s="10">
        <f t="shared" si="1"/>
        <v>418.86460578880019</v>
      </c>
      <c r="J10" s="10">
        <f t="shared" si="1"/>
        <v>443.99648213612824</v>
      </c>
      <c r="K10" s="10">
        <f t="shared" si="1"/>
        <v>470.63627106429595</v>
      </c>
      <c r="L10" s="10">
        <f t="shared" si="1"/>
        <v>498.87444732815374</v>
      </c>
      <c r="M10" s="10">
        <f t="shared" si="1"/>
        <v>528.80691416784293</v>
      </c>
      <c r="N10" s="10">
        <f t="shared" si="1"/>
        <v>560.53532901791357</v>
      </c>
      <c r="O10" s="10">
        <f t="shared" si="1"/>
        <v>594.16744875898837</v>
      </c>
      <c r="P10" s="10">
        <f t="shared" si="1"/>
        <v>629.81749568452767</v>
      </c>
      <c r="Q10" s="10">
        <f t="shared" si="1"/>
        <v>667.60654542559939</v>
      </c>
      <c r="R10" s="10">
        <f t="shared" si="1"/>
        <v>707.66293815113534</v>
      </c>
      <c r="S10" s="10">
        <f t="shared" si="1"/>
        <v>750.12271444020348</v>
      </c>
      <c r="T10" s="10">
        <f t="shared" si="1"/>
        <v>795.1300773066157</v>
      </c>
      <c r="U10" s="10">
        <f t="shared" si="1"/>
        <v>842.83788194501267</v>
      </c>
      <c r="V10" s="10">
        <f t="shared" si="1"/>
        <v>893.40815486171346</v>
      </c>
      <c r="W10" s="10">
        <f t="shared" si="1"/>
        <v>947.01264415341632</v>
      </c>
      <c r="X10" s="10">
        <f t="shared" si="1"/>
        <v>1003.8334028026213</v>
      </c>
      <c r="Y10" s="10">
        <f t="shared" si="1"/>
        <v>1033.9484048867</v>
      </c>
      <c r="Z10" s="10">
        <f t="shared" si="1"/>
        <v>1064.966857033301</v>
      </c>
      <c r="AA10" s="10">
        <f t="shared" si="1"/>
        <v>1096.9158627443001</v>
      </c>
      <c r="AB10" s="10">
        <f t="shared" si="1"/>
        <v>1129.823338626629</v>
      </c>
      <c r="AC10" s="10">
        <f t="shared" si="1"/>
        <v>1163.718038785428</v>
      </c>
      <c r="AD10" s="10">
        <f t="shared" si="1"/>
        <v>1198.6295799489908</v>
      </c>
      <c r="AE10" s="10">
        <f t="shared" si="1"/>
        <v>1234.5884673474607</v>
      </c>
      <c r="AF10" s="10">
        <f t="shared" si="1"/>
        <v>1271.6261213678845</v>
      </c>
      <c r="AG10" s="10">
        <f t="shared" si="1"/>
        <v>1309.774905008921</v>
      </c>
      <c r="AH10" s="10">
        <f t="shared" si="1"/>
        <v>1349.0681521591887</v>
      </c>
      <c r="AI10" s="10">
        <f t="shared" si="1"/>
        <v>1389.5401967239643</v>
      </c>
      <c r="AJ10" s="10">
        <f t="shared" si="1"/>
        <v>1431.2264026256832</v>
      </c>
      <c r="AK10" s="10">
        <f t="shared" si="1"/>
        <v>1474.1631947044539</v>
      </c>
      <c r="AL10" s="10">
        <f t="shared" si="1"/>
        <v>1518.3880905455876</v>
      </c>
      <c r="AM10" s="10">
        <f t="shared" si="1"/>
        <v>1563.9397332619553</v>
      </c>
      <c r="AN10" s="10">
        <f t="shared" si="1"/>
        <v>1610.857925259814</v>
      </c>
      <c r="AO10" s="10">
        <f t="shared" si="1"/>
        <v>1659.1836630176085</v>
      </c>
      <c r="AP10" s="10">
        <f t="shared" si="1"/>
        <v>1708.9591729081369</v>
      </c>
      <c r="AQ10" s="10">
        <f t="shared" si="1"/>
        <v>1760.227948095381</v>
      </c>
      <c r="AR10" s="10">
        <f t="shared" si="1"/>
        <v>1813.0347865382423</v>
      </c>
      <c r="AS10" s="10">
        <f t="shared" si="1"/>
        <v>1867.4258301343896</v>
      </c>
      <c r="AT10" s="10">
        <f t="shared" si="1"/>
        <v>1923.4486050384214</v>
      </c>
      <c r="AU10" s="10">
        <f t="shared" si="1"/>
        <v>1981.1520631895742</v>
      </c>
      <c r="AV10" s="10">
        <f t="shared" si="1"/>
        <v>2040.5866250852614</v>
      </c>
      <c r="AW10" s="10">
        <f t="shared" si="1"/>
        <v>2101.8042238378193</v>
      </c>
      <c r="AX10" s="10">
        <f t="shared" si="1"/>
        <v>2164.8583505529541</v>
      </c>
      <c r="AY10" s="10">
        <f t="shared" si="1"/>
        <v>2229.8041010695429</v>
      </c>
      <c r="AZ10" s="10">
        <f t="shared" si="1"/>
        <v>2296.6982241016294</v>
      </c>
      <c r="BA10" s="283">
        <f t="shared" si="1"/>
        <v>2365.5991708246784</v>
      </c>
    </row>
    <row r="11" spans="1:53">
      <c r="A11"/>
      <c r="B11" s="479" t="s">
        <v>329</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327</v>
      </c>
      <c r="C12" s="480"/>
      <c r="D12" s="10">
        <f>IF('MFH-Kalkulator'!$C$6="Ein",'Miete, Cashflow, Steuern'!D11,'Miete, Cashflow, Steuern'!D10)</f>
        <v>313</v>
      </c>
      <c r="E12" s="10">
        <f>IF('MFH-Kalkulator'!$C$6="Ein",'Miete, Cashflow, Steuern'!E11,'Miete, Cashflow, Steuern'!E10)</f>
        <v>331.78000000000003</v>
      </c>
      <c r="F12" s="10">
        <f>IF('MFH-Kalkulator'!$C$6="Ein",'Miete, Cashflow, Steuern'!F11,'Miete, Cashflow, Steuern'!F10)</f>
        <v>351.68680000000006</v>
      </c>
      <c r="G12" s="10">
        <f>IF('MFH-Kalkulator'!$C$6="Ein",'Miete, Cashflow, Steuern'!G11,'Miete, Cashflow, Steuern'!G10)</f>
        <v>372.7880080000001</v>
      </c>
      <c r="H12" s="10">
        <f>IF('MFH-Kalkulator'!$C$6="Ein",'Miete, Cashflow, Steuern'!H11,'Miete, Cashflow, Steuern'!H10)</f>
        <v>395.15528848000014</v>
      </c>
      <c r="I12" s="10">
        <f>IF('MFH-Kalkulator'!$C$6="Ein",'Miete, Cashflow, Steuern'!I11,'Miete, Cashflow, Steuern'!I10)</f>
        <v>418.86460578880019</v>
      </c>
      <c r="J12" s="10">
        <f>IF('MFH-Kalkulator'!$C$6="Ein",'Miete, Cashflow, Steuern'!J11,'Miete, Cashflow, Steuern'!J10)</f>
        <v>443.99648213612824</v>
      </c>
      <c r="K12" s="10">
        <f>IF('MFH-Kalkulator'!$C$6="Ein",'Miete, Cashflow, Steuern'!K11,'Miete, Cashflow, Steuern'!K10)</f>
        <v>470.63627106429595</v>
      </c>
      <c r="L12" s="10">
        <f>IF('MFH-Kalkulator'!$C$6="Ein",'Miete, Cashflow, Steuern'!L11,'Miete, Cashflow, Steuern'!L10)</f>
        <v>498.87444732815374</v>
      </c>
      <c r="M12" s="10">
        <f>IF('MFH-Kalkulator'!$C$6="Ein",'Miete, Cashflow, Steuern'!M11,'Miete, Cashflow, Steuern'!M10)</f>
        <v>528.80691416784293</v>
      </c>
      <c r="N12" s="10">
        <f>IF('MFH-Kalkulator'!$C$6="Ein",'Miete, Cashflow, Steuern'!N11,'Miete, Cashflow, Steuern'!N10)</f>
        <v>560.53532901791357</v>
      </c>
      <c r="O12" s="10">
        <f>IF('MFH-Kalkulator'!$C$6="Ein",'Miete, Cashflow, Steuern'!O11,'Miete, Cashflow, Steuern'!O10)</f>
        <v>594.16744875898837</v>
      </c>
      <c r="P12" s="10">
        <f>IF('MFH-Kalkulator'!$C$6="Ein",'Miete, Cashflow, Steuern'!P11,'Miete, Cashflow, Steuern'!P10)</f>
        <v>629.81749568452767</v>
      </c>
      <c r="Q12" s="10">
        <f>IF('MFH-Kalkulator'!$C$6="Ein",'Miete, Cashflow, Steuern'!Q11,'Miete, Cashflow, Steuern'!Q10)</f>
        <v>667.60654542559939</v>
      </c>
      <c r="R12" s="10">
        <f>IF('MFH-Kalkulator'!$C$6="Ein",'Miete, Cashflow, Steuern'!R11,'Miete, Cashflow, Steuern'!R10)</f>
        <v>707.66293815113534</v>
      </c>
      <c r="S12" s="10">
        <f>IF('MFH-Kalkulator'!$C$6="Ein",'Miete, Cashflow, Steuern'!S11,'Miete, Cashflow, Steuern'!S10)</f>
        <v>750.12271444020348</v>
      </c>
      <c r="T12" s="10">
        <f>IF('MFH-Kalkulator'!$C$6="Ein",'Miete, Cashflow, Steuern'!T11,'Miete, Cashflow, Steuern'!T10)</f>
        <v>795.1300773066157</v>
      </c>
      <c r="U12" s="10">
        <f>IF('MFH-Kalkulator'!$C$6="Ein",'Miete, Cashflow, Steuern'!U11,'Miete, Cashflow, Steuern'!U10)</f>
        <v>842.83788194501267</v>
      </c>
      <c r="V12" s="10">
        <f>IF('MFH-Kalkulator'!$C$6="Ein",'Miete, Cashflow, Steuern'!V11,'Miete, Cashflow, Steuern'!V10)</f>
        <v>893.40815486171346</v>
      </c>
      <c r="W12" s="10">
        <f>IF('MFH-Kalkulator'!$C$6="Ein",'Miete, Cashflow, Steuern'!W11,'Miete, Cashflow, Steuern'!W10)</f>
        <v>947.01264415341632</v>
      </c>
      <c r="X12" s="10">
        <f>IF('MFH-Kalkulator'!$C$6="Ein",'Miete, Cashflow, Steuern'!X11,'Miete, Cashflow, Steuern'!X10)</f>
        <v>1003.8334028026213</v>
      </c>
      <c r="Y12" s="10">
        <f>IF('MFH-Kalkulator'!$C$6="Ein",'Miete, Cashflow, Steuern'!Y11,'Miete, Cashflow, Steuern'!Y10)</f>
        <v>1033.9484048867</v>
      </c>
      <c r="Z12" s="10">
        <f>IF('MFH-Kalkulator'!$C$6="Ein",'Miete, Cashflow, Steuern'!Z11,'Miete, Cashflow, Steuern'!Z10)</f>
        <v>1064.966857033301</v>
      </c>
      <c r="AA12" s="10">
        <f>IF('MFH-Kalkulator'!$C$6="Ein",'Miete, Cashflow, Steuern'!AA11,'Miete, Cashflow, Steuern'!AA10)</f>
        <v>1096.9158627443001</v>
      </c>
      <c r="AB12" s="10">
        <f>IF('MFH-Kalkulator'!$C$6="Ein",'Miete, Cashflow, Steuern'!AB11,'Miete, Cashflow, Steuern'!AB10)</f>
        <v>1129.823338626629</v>
      </c>
      <c r="AC12" s="10">
        <f>IF('MFH-Kalkulator'!$C$6="Ein",'Miete, Cashflow, Steuern'!AC11,'Miete, Cashflow, Steuern'!AC10)</f>
        <v>1163.718038785428</v>
      </c>
      <c r="AD12" s="10">
        <f>IF('MFH-Kalkulator'!$C$6="Ein",'Miete, Cashflow, Steuern'!AD11,'Miete, Cashflow, Steuern'!AD10)</f>
        <v>1198.6295799489908</v>
      </c>
      <c r="AE12" s="10">
        <f>IF('MFH-Kalkulator'!$C$6="Ein",'Miete, Cashflow, Steuern'!AE11,'Miete, Cashflow, Steuern'!AE10)</f>
        <v>1234.5884673474607</v>
      </c>
      <c r="AF12" s="10">
        <f>IF('MFH-Kalkulator'!$C$6="Ein",'Miete, Cashflow, Steuern'!AF11,'Miete, Cashflow, Steuern'!AF10)</f>
        <v>1271.6261213678845</v>
      </c>
      <c r="AG12" s="10">
        <f>IF('MFH-Kalkulator'!$C$6="Ein",'Miete, Cashflow, Steuern'!AG11,'Miete, Cashflow, Steuern'!AG10)</f>
        <v>1309.774905008921</v>
      </c>
      <c r="AH12" s="10">
        <f>IF('MFH-Kalkulator'!$C$6="Ein",'Miete, Cashflow, Steuern'!AH11,'Miete, Cashflow, Steuern'!AH10)</f>
        <v>1349.0681521591887</v>
      </c>
      <c r="AI12" s="10">
        <f>IF('MFH-Kalkulator'!$C$6="Ein",'Miete, Cashflow, Steuern'!AI11,'Miete, Cashflow, Steuern'!AI10)</f>
        <v>1389.5401967239643</v>
      </c>
      <c r="AJ12" s="10">
        <f>IF('MFH-Kalkulator'!$C$6="Ein",'Miete, Cashflow, Steuern'!AJ11,'Miete, Cashflow, Steuern'!AJ10)</f>
        <v>1431.2264026256832</v>
      </c>
      <c r="AK12" s="10">
        <f>IF('MFH-Kalkulator'!$C$6="Ein",'Miete, Cashflow, Steuern'!AK11,'Miete, Cashflow, Steuern'!AK10)</f>
        <v>1474.1631947044539</v>
      </c>
      <c r="AL12" s="10">
        <f>IF('MFH-Kalkulator'!$C$6="Ein",'Miete, Cashflow, Steuern'!AL11,'Miete, Cashflow, Steuern'!AL10)</f>
        <v>1518.3880905455876</v>
      </c>
      <c r="AM12" s="10">
        <f>IF('MFH-Kalkulator'!$C$6="Ein",'Miete, Cashflow, Steuern'!AM11,'Miete, Cashflow, Steuern'!AM10)</f>
        <v>1563.9397332619553</v>
      </c>
      <c r="AN12" s="10">
        <f>IF('MFH-Kalkulator'!$C$6="Ein",'Miete, Cashflow, Steuern'!AN11,'Miete, Cashflow, Steuern'!AN10)</f>
        <v>1610.857925259814</v>
      </c>
      <c r="AO12" s="10">
        <f>IF('MFH-Kalkulator'!$C$6="Ein",'Miete, Cashflow, Steuern'!AO11,'Miete, Cashflow, Steuern'!AO10)</f>
        <v>1659.1836630176085</v>
      </c>
      <c r="AP12" s="10">
        <f>IF('MFH-Kalkulator'!$C$6="Ein",'Miete, Cashflow, Steuern'!AP11,'Miete, Cashflow, Steuern'!AP10)</f>
        <v>1708.9591729081369</v>
      </c>
      <c r="AQ12" s="10">
        <f>IF('MFH-Kalkulator'!$C$6="Ein",'Miete, Cashflow, Steuern'!AQ11,'Miete, Cashflow, Steuern'!AQ10)</f>
        <v>1760.227948095381</v>
      </c>
      <c r="AR12" s="10">
        <f>IF('MFH-Kalkulator'!$C$6="Ein",'Miete, Cashflow, Steuern'!AR11,'Miete, Cashflow, Steuern'!AR10)</f>
        <v>1813.0347865382423</v>
      </c>
      <c r="AS12" s="10">
        <f>IF('MFH-Kalkulator'!$C$6="Ein",'Miete, Cashflow, Steuern'!AS11,'Miete, Cashflow, Steuern'!AS10)</f>
        <v>1867.4258301343896</v>
      </c>
      <c r="AT12" s="10">
        <f>IF('MFH-Kalkulator'!$C$6="Ein",'Miete, Cashflow, Steuern'!AT11,'Miete, Cashflow, Steuern'!AT10)</f>
        <v>1923.4486050384214</v>
      </c>
      <c r="AU12" s="10">
        <f>IF('MFH-Kalkulator'!$C$6="Ein",'Miete, Cashflow, Steuern'!AU11,'Miete, Cashflow, Steuern'!AU10)</f>
        <v>1981.1520631895742</v>
      </c>
      <c r="AV12" s="10">
        <f>IF('MFH-Kalkulator'!$C$6="Ein",'Miete, Cashflow, Steuern'!AV11,'Miete, Cashflow, Steuern'!AV10)</f>
        <v>2040.5866250852614</v>
      </c>
      <c r="AW12" s="10">
        <f>IF('MFH-Kalkulator'!$C$6="Ein",'Miete, Cashflow, Steuern'!AW11,'Miete, Cashflow, Steuern'!AW10)</f>
        <v>2101.8042238378193</v>
      </c>
      <c r="AX12" s="10">
        <f>IF('MFH-Kalkulator'!$C$6="Ein",'Miete, Cashflow, Steuern'!AX11,'Miete, Cashflow, Steuern'!AX10)</f>
        <v>2164.8583505529541</v>
      </c>
      <c r="AY12" s="10">
        <f>IF('MFH-Kalkulator'!$C$6="Ein",'Miete, Cashflow, Steuern'!AY11,'Miete, Cashflow, Steuern'!AY10)</f>
        <v>2229.8041010695429</v>
      </c>
      <c r="AZ12" s="10">
        <f>IF('MFH-Kalkulator'!$C$6="Ein",'Miete, Cashflow, Steuern'!AZ11,'Miete, Cashflow, Steuern'!AZ10)</f>
        <v>2296.6982241016294</v>
      </c>
      <c r="BA12" s="283">
        <f>IF('MFH-Kalkulator'!$C$6="Ein",'Miete, Cashflow, Steuern'!BA11,'Miete, Cashflow, Steuern'!BA10)</f>
        <v>2365.5991708246784</v>
      </c>
    </row>
    <row r="13" spans="1:53">
      <c r="B13" s="479" t="s">
        <v>252</v>
      </c>
      <c r="C13" s="480"/>
      <c r="D13" s="10">
        <f>Cockpit!K9</f>
        <v>136.6</v>
      </c>
      <c r="E13" s="10">
        <f>D13*(1+Cockpit!$H$30)</f>
        <v>139.33199999999999</v>
      </c>
      <c r="F13" s="10">
        <f>E13*(1+Cockpit!$H$30)</f>
        <v>142.11864</v>
      </c>
      <c r="G13" s="10">
        <f>F13*(1+Cockpit!$H$30)</f>
        <v>144.96101279999999</v>
      </c>
      <c r="H13" s="10">
        <f>G13*(1+Cockpit!$H$30)</f>
        <v>147.860233056</v>
      </c>
      <c r="I13" s="10">
        <f>H13*(1+Cockpit!$H$30)</f>
        <v>150.81743771712001</v>
      </c>
      <c r="J13" s="10">
        <f>I13*(1+Cockpit!$H$30)</f>
        <v>153.83378647146242</v>
      </c>
      <c r="K13" s="10">
        <f>J13*(1+Cockpit!$H$30)</f>
        <v>156.91046220089166</v>
      </c>
      <c r="L13" s="10">
        <f>K13*(1+Cockpit!$H$30)</f>
        <v>160.0486714449095</v>
      </c>
      <c r="M13" s="10">
        <f>L13*(1+Cockpit!$H$30)</f>
        <v>163.24964487380768</v>
      </c>
      <c r="N13" s="10">
        <f>M13*(1+Cockpit!$H$30)</f>
        <v>166.51463777128384</v>
      </c>
      <c r="O13" s="10">
        <f>N13*(1+Cockpit!$H$30)</f>
        <v>169.84493052670953</v>
      </c>
      <c r="P13" s="10">
        <f>O13*(1+Cockpit!$H$30)</f>
        <v>173.24182913724371</v>
      </c>
      <c r="Q13" s="10">
        <f>P13*(1+Cockpit!$H$30)</f>
        <v>176.70666571998859</v>
      </c>
      <c r="R13" s="10">
        <f>Q13*(1+Cockpit!$H$30)</f>
        <v>180.24079903438837</v>
      </c>
      <c r="S13" s="10">
        <f>R13*(1+Cockpit!$H$30)</f>
        <v>183.84561501507613</v>
      </c>
      <c r="T13" s="10">
        <f>S13*(1+Cockpit!$H$30)</f>
        <v>187.52252731537766</v>
      </c>
      <c r="U13" s="10">
        <f>T13*(1+Cockpit!$H$30)</f>
        <v>191.27297786168521</v>
      </c>
      <c r="V13" s="10">
        <f>U13*(1+Cockpit!$H$30)</f>
        <v>195.09843741891891</v>
      </c>
      <c r="W13" s="10">
        <f>V13*(1+Cockpit!$H$30)</f>
        <v>199.00040616729729</v>
      </c>
      <c r="X13" s="10">
        <f>W13*(1+Cockpit!$H$30)</f>
        <v>202.98041429064324</v>
      </c>
      <c r="Y13" s="10">
        <f>X13*(1+Cockpit!$H$30)</f>
        <v>207.0400225764561</v>
      </c>
      <c r="Z13" s="10">
        <f>Y13*(1+Cockpit!$H$30)</f>
        <v>211.18082302798521</v>
      </c>
      <c r="AA13" s="10">
        <f>Z13*(1+Cockpit!$H$30)</f>
        <v>215.40443948854491</v>
      </c>
      <c r="AB13" s="10">
        <f>AA13*(1+Cockpit!$H$30)</f>
        <v>219.7125282783158</v>
      </c>
      <c r="AC13" s="10">
        <f>AB13*(1+Cockpit!$H$30)</f>
        <v>224.10677884388213</v>
      </c>
      <c r="AD13" s="10">
        <f>AC13*(1+Cockpit!$H$30)</f>
        <v>228.58891442075978</v>
      </c>
      <c r="AE13" s="10">
        <f>AD13*(1+Cockpit!$H$30)</f>
        <v>233.16069270917498</v>
      </c>
      <c r="AF13" s="10">
        <f>AE13*(1+Cockpit!$H$30)</f>
        <v>237.82390656335849</v>
      </c>
      <c r="AG13" s="10">
        <f>AF13*(1+Cockpit!$H$30)</f>
        <v>242.58038469462568</v>
      </c>
      <c r="AH13" s="10">
        <f>AG13*(1+Cockpit!$H$30)</f>
        <v>247.43199238851818</v>
      </c>
      <c r="AI13" s="10">
        <f>AH13*(1+Cockpit!$H$30)</f>
        <v>252.38063223628856</v>
      </c>
      <c r="AJ13" s="10">
        <f>AI13*(1+Cockpit!$H$30)</f>
        <v>257.42824488101434</v>
      </c>
      <c r="AK13" s="10">
        <f>AJ13*(1+Cockpit!$H$30)</f>
        <v>262.57680977863464</v>
      </c>
      <c r="AL13" s="10">
        <f>AK13*(1+Cockpit!$H$30)</f>
        <v>267.82834597420737</v>
      </c>
      <c r="AM13" s="10">
        <f>AL13*(1+Cockpit!$H$30)</f>
        <v>273.18491289369155</v>
      </c>
      <c r="AN13" s="10">
        <f>AM13*(1+Cockpit!$H$30)</f>
        <v>278.64861115156538</v>
      </c>
      <c r="AO13" s="10">
        <f>AN13*(1+Cockpit!$H$30)</f>
        <v>284.22158337459666</v>
      </c>
      <c r="AP13" s="10">
        <f>AO13*(1+Cockpit!$H$30)</f>
        <v>289.9060150420886</v>
      </c>
      <c r="AQ13" s="10">
        <f>AP13*(1+Cockpit!$H$30)</f>
        <v>295.70413534293039</v>
      </c>
      <c r="AR13" s="10">
        <f>AQ13*(1+Cockpit!$H$30)</f>
        <v>301.61821804978899</v>
      </c>
      <c r="AS13" s="10">
        <f>AR13*(1+Cockpit!$H$30)</f>
        <v>307.65058241078475</v>
      </c>
      <c r="AT13" s="10">
        <f>AS13*(1+Cockpit!$H$30)</f>
        <v>313.80359405900043</v>
      </c>
      <c r="AU13" s="10">
        <f>AT13*(1+Cockpit!$H$30)</f>
        <v>320.07966594018046</v>
      </c>
      <c r="AV13" s="10">
        <f>AU13*(1+Cockpit!$H$30)</f>
        <v>326.4812592589841</v>
      </c>
      <c r="AW13" s="10">
        <f>AV13*(1+Cockpit!$H$30)</f>
        <v>333.01088444416376</v>
      </c>
      <c r="AX13" s="10">
        <f>AW13*(1+Cockpit!$H$30)</f>
        <v>339.67110213304704</v>
      </c>
      <c r="AY13" s="10">
        <f>AX13*(1+Cockpit!$H$30)</f>
        <v>346.46452417570799</v>
      </c>
      <c r="AZ13" s="10">
        <f>AY13*(1+Cockpit!$H$30)</f>
        <v>353.39381465922219</v>
      </c>
      <c r="BA13" s="283">
        <f>AZ13*(1+Cockpit!$H$30)</f>
        <v>360.46169095240663</v>
      </c>
    </row>
    <row r="14" spans="1:53" ht="15.75" thickBot="1">
      <c r="B14" s="482" t="s">
        <v>477</v>
      </c>
      <c r="C14" s="483"/>
      <c r="D14" s="284">
        <f t="shared" ref="D14:AI14" si="2">D12+D13</f>
        <v>449.6</v>
      </c>
      <c r="E14" s="284">
        <f t="shared" si="2"/>
        <v>471.11200000000002</v>
      </c>
      <c r="F14" s="284">
        <f t="shared" si="2"/>
        <v>493.80544000000009</v>
      </c>
      <c r="G14" s="284">
        <f t="shared" si="2"/>
        <v>517.74902080000015</v>
      </c>
      <c r="H14" s="284">
        <f t="shared" si="2"/>
        <v>543.01552153600016</v>
      </c>
      <c r="I14" s="284">
        <f t="shared" si="2"/>
        <v>569.68204350592021</v>
      </c>
      <c r="J14" s="284">
        <f t="shared" si="2"/>
        <v>597.8302686075906</v>
      </c>
      <c r="K14" s="284">
        <f t="shared" si="2"/>
        <v>627.54673326518764</v>
      </c>
      <c r="L14" s="284">
        <f t="shared" si="2"/>
        <v>658.92311877306327</v>
      </c>
      <c r="M14" s="284">
        <f t="shared" si="2"/>
        <v>692.05655904165064</v>
      </c>
      <c r="N14" s="284">
        <f t="shared" si="2"/>
        <v>727.04996678919747</v>
      </c>
      <c r="O14" s="284">
        <f t="shared" si="2"/>
        <v>764.01237928569788</v>
      </c>
      <c r="P14" s="284">
        <f t="shared" si="2"/>
        <v>803.05932482177138</v>
      </c>
      <c r="Q14" s="284">
        <f t="shared" si="2"/>
        <v>844.31321114558796</v>
      </c>
      <c r="R14" s="284">
        <f t="shared" si="2"/>
        <v>887.90373718552371</v>
      </c>
      <c r="S14" s="284">
        <f t="shared" si="2"/>
        <v>933.96832945527967</v>
      </c>
      <c r="T14" s="284">
        <f t="shared" si="2"/>
        <v>982.65260462199331</v>
      </c>
      <c r="U14" s="284">
        <f t="shared" si="2"/>
        <v>1034.1108598066978</v>
      </c>
      <c r="V14" s="284">
        <f t="shared" si="2"/>
        <v>1088.5065922806323</v>
      </c>
      <c r="W14" s="284">
        <f t="shared" si="2"/>
        <v>1146.0130503207135</v>
      </c>
      <c r="X14" s="284">
        <f t="shared" si="2"/>
        <v>1206.8138170932646</v>
      </c>
      <c r="Y14" s="284">
        <f t="shared" si="2"/>
        <v>1240.9884274631561</v>
      </c>
      <c r="Z14" s="284">
        <f t="shared" si="2"/>
        <v>1276.1476800612863</v>
      </c>
      <c r="AA14" s="284">
        <f t="shared" si="2"/>
        <v>1312.3203022328451</v>
      </c>
      <c r="AB14" s="284">
        <f t="shared" si="2"/>
        <v>1349.5358669049449</v>
      </c>
      <c r="AC14" s="284">
        <f t="shared" si="2"/>
        <v>1387.82481762931</v>
      </c>
      <c r="AD14" s="284">
        <f t="shared" si="2"/>
        <v>1427.2184943697505</v>
      </c>
      <c r="AE14" s="284">
        <f t="shared" si="2"/>
        <v>1467.7491600566357</v>
      </c>
      <c r="AF14" s="284">
        <f t="shared" si="2"/>
        <v>1509.4500279312429</v>
      </c>
      <c r="AG14" s="284">
        <f t="shared" si="2"/>
        <v>1552.3552897035468</v>
      </c>
      <c r="AH14" s="284">
        <f t="shared" si="2"/>
        <v>1596.5001445477069</v>
      </c>
      <c r="AI14" s="284">
        <f t="shared" si="2"/>
        <v>1641.9208289602529</v>
      </c>
      <c r="AJ14" s="284">
        <f t="shared" ref="AJ14:BA14" si="3">AJ12+AJ13</f>
        <v>1688.6546475066975</v>
      </c>
      <c r="AK14" s="284">
        <f t="shared" si="3"/>
        <v>1736.7400044830886</v>
      </c>
      <c r="AL14" s="284">
        <f t="shared" si="3"/>
        <v>1786.216436519795</v>
      </c>
      <c r="AM14" s="284">
        <f t="shared" si="3"/>
        <v>1837.1246461556468</v>
      </c>
      <c r="AN14" s="284">
        <f t="shared" si="3"/>
        <v>1889.5065364113793</v>
      </c>
      <c r="AO14" s="284">
        <f t="shared" si="3"/>
        <v>1943.4052463922053</v>
      </c>
      <c r="AP14" s="284">
        <f t="shared" si="3"/>
        <v>1998.8651879502254</v>
      </c>
      <c r="AQ14" s="284">
        <f t="shared" si="3"/>
        <v>2055.9320834383116</v>
      </c>
      <c r="AR14" s="284">
        <f t="shared" si="3"/>
        <v>2114.6530045880313</v>
      </c>
      <c r="AS14" s="284">
        <f t="shared" si="3"/>
        <v>2175.0764125451742</v>
      </c>
      <c r="AT14" s="284">
        <f t="shared" si="3"/>
        <v>2237.2521990974219</v>
      </c>
      <c r="AU14" s="284">
        <f t="shared" si="3"/>
        <v>2301.2317291297545</v>
      </c>
      <c r="AV14" s="284">
        <f t="shared" si="3"/>
        <v>2367.0678843442456</v>
      </c>
      <c r="AW14" s="284">
        <f t="shared" si="3"/>
        <v>2434.8151082819832</v>
      </c>
      <c r="AX14" s="284">
        <f t="shared" si="3"/>
        <v>2504.5294526860012</v>
      </c>
      <c r="AY14" s="284">
        <f t="shared" si="3"/>
        <v>2576.2686252452509</v>
      </c>
      <c r="AZ14" s="284">
        <f t="shared" si="3"/>
        <v>2650.0920387608517</v>
      </c>
      <c r="BA14" s="285">
        <f t="shared" si="3"/>
        <v>2726.0608617770849</v>
      </c>
    </row>
    <row r="15" spans="1:53" ht="15.75" thickBot="1"/>
    <row r="16" spans="1:53" ht="15.75" thickBot="1"/>
    <row r="17" spans="1:53" ht="18" thickBot="1">
      <c r="A17"/>
      <c r="B17" s="273" t="s">
        <v>257</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4" t="s">
        <v>478</v>
      </c>
      <c r="C19" s="485"/>
      <c r="D19" s="281">
        <f t="shared" ref="D19:AI19" si="6">D14</f>
        <v>449.6</v>
      </c>
      <c r="E19" s="281">
        <f t="shared" si="6"/>
        <v>471.11200000000002</v>
      </c>
      <c r="F19" s="281">
        <f t="shared" si="6"/>
        <v>493.80544000000009</v>
      </c>
      <c r="G19" s="281">
        <f t="shared" si="6"/>
        <v>517.74902080000015</v>
      </c>
      <c r="H19" s="281">
        <f t="shared" si="6"/>
        <v>543.01552153600016</v>
      </c>
      <c r="I19" s="281">
        <f t="shared" si="6"/>
        <v>569.68204350592021</v>
      </c>
      <c r="J19" s="281">
        <f t="shared" si="6"/>
        <v>597.8302686075906</v>
      </c>
      <c r="K19" s="281">
        <f t="shared" si="6"/>
        <v>627.54673326518764</v>
      </c>
      <c r="L19" s="281">
        <f t="shared" si="6"/>
        <v>658.92311877306327</v>
      </c>
      <c r="M19" s="281">
        <f t="shared" si="6"/>
        <v>692.05655904165064</v>
      </c>
      <c r="N19" s="281">
        <f t="shared" si="6"/>
        <v>727.04996678919747</v>
      </c>
      <c r="O19" s="281">
        <f t="shared" si="6"/>
        <v>764.01237928569788</v>
      </c>
      <c r="P19" s="281">
        <f t="shared" si="6"/>
        <v>803.05932482177138</v>
      </c>
      <c r="Q19" s="281">
        <f t="shared" si="6"/>
        <v>844.31321114558796</v>
      </c>
      <c r="R19" s="281">
        <f t="shared" si="6"/>
        <v>887.90373718552371</v>
      </c>
      <c r="S19" s="281">
        <f t="shared" si="6"/>
        <v>933.96832945527967</v>
      </c>
      <c r="T19" s="281">
        <f t="shared" si="6"/>
        <v>982.65260462199331</v>
      </c>
      <c r="U19" s="281">
        <f t="shared" si="6"/>
        <v>1034.1108598066978</v>
      </c>
      <c r="V19" s="281">
        <f t="shared" si="6"/>
        <v>1088.5065922806323</v>
      </c>
      <c r="W19" s="281">
        <f t="shared" si="6"/>
        <v>1146.0130503207135</v>
      </c>
      <c r="X19" s="281">
        <f t="shared" si="6"/>
        <v>1206.8138170932646</v>
      </c>
      <c r="Y19" s="281">
        <f t="shared" si="6"/>
        <v>1240.9884274631561</v>
      </c>
      <c r="Z19" s="281">
        <f t="shared" si="6"/>
        <v>1276.1476800612863</v>
      </c>
      <c r="AA19" s="281">
        <f t="shared" si="6"/>
        <v>1312.3203022328451</v>
      </c>
      <c r="AB19" s="281">
        <f t="shared" si="6"/>
        <v>1349.5358669049449</v>
      </c>
      <c r="AC19" s="281">
        <f t="shared" si="6"/>
        <v>1387.82481762931</v>
      </c>
      <c r="AD19" s="281">
        <f t="shared" si="6"/>
        <v>1427.2184943697505</v>
      </c>
      <c r="AE19" s="281">
        <f t="shared" si="6"/>
        <v>1467.7491600566357</v>
      </c>
      <c r="AF19" s="281">
        <f t="shared" si="6"/>
        <v>1509.4500279312429</v>
      </c>
      <c r="AG19" s="281">
        <f t="shared" si="6"/>
        <v>1552.3552897035468</v>
      </c>
      <c r="AH19" s="281">
        <f t="shared" si="6"/>
        <v>1596.5001445477069</v>
      </c>
      <c r="AI19" s="281">
        <f t="shared" si="6"/>
        <v>1641.9208289602529</v>
      </c>
      <c r="AJ19" s="281">
        <f t="shared" ref="AJ19:BA19" si="7">AJ14</f>
        <v>1688.6546475066975</v>
      </c>
      <c r="AK19" s="281">
        <f t="shared" si="7"/>
        <v>1736.7400044830886</v>
      </c>
      <c r="AL19" s="281">
        <f t="shared" si="7"/>
        <v>1786.216436519795</v>
      </c>
      <c r="AM19" s="281">
        <f t="shared" si="7"/>
        <v>1837.1246461556468</v>
      </c>
      <c r="AN19" s="281">
        <f t="shared" si="7"/>
        <v>1889.5065364113793</v>
      </c>
      <c r="AO19" s="281">
        <f t="shared" si="7"/>
        <v>1943.4052463922053</v>
      </c>
      <c r="AP19" s="281">
        <f t="shared" si="7"/>
        <v>1998.8651879502254</v>
      </c>
      <c r="AQ19" s="281">
        <f t="shared" si="7"/>
        <v>2055.9320834383116</v>
      </c>
      <c r="AR19" s="281">
        <f t="shared" si="7"/>
        <v>2114.6530045880313</v>
      </c>
      <c r="AS19" s="281">
        <f t="shared" si="7"/>
        <v>2175.0764125451742</v>
      </c>
      <c r="AT19" s="281">
        <f t="shared" si="7"/>
        <v>2237.2521990974219</v>
      </c>
      <c r="AU19" s="281">
        <f t="shared" si="7"/>
        <v>2301.2317291297545</v>
      </c>
      <c r="AV19" s="281">
        <f t="shared" si="7"/>
        <v>2367.0678843442456</v>
      </c>
      <c r="AW19" s="281">
        <f t="shared" si="7"/>
        <v>2434.8151082819832</v>
      </c>
      <c r="AX19" s="281">
        <f t="shared" si="7"/>
        <v>2504.5294526860012</v>
      </c>
      <c r="AY19" s="281">
        <f t="shared" si="7"/>
        <v>2576.2686252452509</v>
      </c>
      <c r="AZ19" s="281">
        <f t="shared" si="7"/>
        <v>2650.0920387608517</v>
      </c>
      <c r="BA19" s="282">
        <f t="shared" si="7"/>
        <v>2726.0608617770849</v>
      </c>
    </row>
    <row r="20" spans="1:53">
      <c r="A20"/>
      <c r="B20" s="479" t="s">
        <v>254</v>
      </c>
      <c r="C20" s="480"/>
      <c r="D20" s="10">
        <f>-(Cockpit!K12-Cockpit!K27-Cockpit!K28)</f>
        <v>-173</v>
      </c>
      <c r="E20" s="10">
        <f>D20*(1+Cockpit!$H$30)</f>
        <v>-176.46</v>
      </c>
      <c r="F20" s="10">
        <f>E20*(1+Cockpit!$H$30)</f>
        <v>-179.98920000000001</v>
      </c>
      <c r="G20" s="10">
        <f>F20*(1+Cockpit!$H$30)</f>
        <v>-183.58898400000001</v>
      </c>
      <c r="H20" s="10">
        <f>G20*(1+Cockpit!$H$30)</f>
        <v>-187.26076368000003</v>
      </c>
      <c r="I20" s="10">
        <f>H20*(1+Cockpit!$H$30)</f>
        <v>-191.00597895360002</v>
      </c>
      <c r="J20" s="10">
        <f>I20*(1+Cockpit!$H$30)</f>
        <v>-194.82609853267203</v>
      </c>
      <c r="K20" s="10">
        <f>J20*(1+Cockpit!$H$30)</f>
        <v>-198.72262050332549</v>
      </c>
      <c r="L20" s="10">
        <f>K20*(1+Cockpit!$H$30)</f>
        <v>-202.69707291339199</v>
      </c>
      <c r="M20" s="10">
        <f>L20*(1+Cockpit!$H$30)</f>
        <v>-206.75101437165983</v>
      </c>
      <c r="N20" s="10">
        <f>M20*(1+Cockpit!$H$30)</f>
        <v>-210.88603465909304</v>
      </c>
      <c r="O20" s="10">
        <f>N20*(1+Cockpit!$H$30)</f>
        <v>-215.1037553522749</v>
      </c>
      <c r="P20" s="10">
        <f>O20*(1+Cockpit!$H$30)</f>
        <v>-219.40583045932041</v>
      </c>
      <c r="Q20" s="10">
        <f>P20*(1+Cockpit!$H$30)</f>
        <v>-223.79394706850684</v>
      </c>
      <c r="R20" s="10">
        <f>Q20*(1+Cockpit!$H$30)</f>
        <v>-228.26982600987697</v>
      </c>
      <c r="S20" s="10">
        <f>R20*(1+Cockpit!$H$30)</f>
        <v>-232.8352225300745</v>
      </c>
      <c r="T20" s="10">
        <f>S20*(1+Cockpit!$H$30)</f>
        <v>-237.491926980676</v>
      </c>
      <c r="U20" s="10">
        <f>T20*(1+Cockpit!$H$30)</f>
        <v>-242.24176552028953</v>
      </c>
      <c r="V20" s="10">
        <f>U20*(1+Cockpit!$H$30)</f>
        <v>-247.08660083069532</v>
      </c>
      <c r="W20" s="10">
        <f>V20*(1+Cockpit!$H$30)</f>
        <v>-252.02833284730923</v>
      </c>
      <c r="X20" s="10">
        <f>W20*(1+Cockpit!$H$30)</f>
        <v>-257.0688995042554</v>
      </c>
      <c r="Y20" s="10">
        <f>X20*(1+Cockpit!$H$30)</f>
        <v>-262.21027749434052</v>
      </c>
      <c r="Z20" s="10">
        <f>Y20*(1+Cockpit!$H$30)</f>
        <v>-267.45448304422735</v>
      </c>
      <c r="AA20" s="10">
        <f>Z20*(1+Cockpit!$H$30)</f>
        <v>-272.80357270511189</v>
      </c>
      <c r="AB20" s="10">
        <f>AA20*(1+Cockpit!$H$30)</f>
        <v>-278.25964415921413</v>
      </c>
      <c r="AC20" s="10">
        <f>AB20*(1+Cockpit!$H$30)</f>
        <v>-283.82483704239843</v>
      </c>
      <c r="AD20" s="10">
        <f>AC20*(1+Cockpit!$H$30)</f>
        <v>-289.50133378324642</v>
      </c>
      <c r="AE20" s="10">
        <f>AD20*(1+Cockpit!$H$30)</f>
        <v>-295.29136045891136</v>
      </c>
      <c r="AF20" s="10">
        <f>AE20*(1+Cockpit!$H$30)</f>
        <v>-301.19718766808961</v>
      </c>
      <c r="AG20" s="10">
        <f>AF20*(1+Cockpit!$H$30)</f>
        <v>-307.22113142145139</v>
      </c>
      <c r="AH20" s="10">
        <f>AG20*(1+Cockpit!$H$30)</f>
        <v>-313.36555404988042</v>
      </c>
      <c r="AI20" s="10">
        <f>AH20*(1+Cockpit!$H$30)</f>
        <v>-319.63286513087803</v>
      </c>
      <c r="AJ20" s="10">
        <f>AI20*(1+Cockpit!$H$30)</f>
        <v>-326.02552243349561</v>
      </c>
      <c r="AK20" s="10">
        <f>AJ20*(1+Cockpit!$H$30)</f>
        <v>-332.54603288216555</v>
      </c>
      <c r="AL20" s="10">
        <f>AK20*(1+Cockpit!$H$30)</f>
        <v>-339.19695353980887</v>
      </c>
      <c r="AM20" s="10">
        <f>AL20*(1+Cockpit!$H$30)</f>
        <v>-345.98089261060505</v>
      </c>
      <c r="AN20" s="10">
        <f>AM20*(1+Cockpit!$H$30)</f>
        <v>-352.90051046281718</v>
      </c>
      <c r="AO20" s="10">
        <f>AN20*(1+Cockpit!$H$30)</f>
        <v>-359.95852067207352</v>
      </c>
      <c r="AP20" s="10">
        <f>AO20*(1+Cockpit!$H$30)</f>
        <v>-367.15769108551501</v>
      </c>
      <c r="AQ20" s="10">
        <f>AP20*(1+Cockpit!$H$30)</f>
        <v>-374.50084490722531</v>
      </c>
      <c r="AR20" s="10">
        <f>AQ20*(1+Cockpit!$H$30)</f>
        <v>-381.99086180536983</v>
      </c>
      <c r="AS20" s="10">
        <f>AR20*(1+Cockpit!$H$30)</f>
        <v>-389.63067904147721</v>
      </c>
      <c r="AT20" s="10">
        <f>AS20*(1+Cockpit!$H$30)</f>
        <v>-397.42329262230675</v>
      </c>
      <c r="AU20" s="10">
        <f>AT20*(1+Cockpit!$H$30)</f>
        <v>-405.37175847475288</v>
      </c>
      <c r="AV20" s="10">
        <f>AU20*(1+Cockpit!$H$30)</f>
        <v>-413.47919364424797</v>
      </c>
      <c r="AW20" s="10">
        <f>AV20*(1+Cockpit!$H$30)</f>
        <v>-421.74877751713296</v>
      </c>
      <c r="AX20" s="10">
        <f>AW20*(1+Cockpit!$H$30)</f>
        <v>-430.18375306747561</v>
      </c>
      <c r="AY20" s="10">
        <f>AX20*(1+Cockpit!$H$30)</f>
        <v>-438.78742812882513</v>
      </c>
      <c r="AZ20" s="10">
        <f>AY20*(1+Cockpit!$H$30)</f>
        <v>-447.56317669140162</v>
      </c>
      <c r="BA20" s="283">
        <f>AZ20*(1+Cockpit!$H$30)</f>
        <v>-456.51444022522969</v>
      </c>
    </row>
    <row r="21" spans="1:53">
      <c r="A21"/>
      <c r="B21" s="479" t="s">
        <v>255</v>
      </c>
      <c r="C21" s="480"/>
      <c r="D21" s="10">
        <f>-Cockpit!K27</f>
        <v>-32.5</v>
      </c>
      <c r="E21" s="10">
        <f>D21*(1+Cockpit!$H$30)</f>
        <v>-33.15</v>
      </c>
      <c r="F21" s="10">
        <f>E21*(1+Cockpit!$H$30)</f>
        <v>-33.813000000000002</v>
      </c>
      <c r="G21" s="10">
        <f>F21*(1+Cockpit!$H$30)</f>
        <v>-34.489260000000002</v>
      </c>
      <c r="H21" s="10">
        <f>G21*(1+Cockpit!$H$30)</f>
        <v>-35.179045200000004</v>
      </c>
      <c r="I21" s="10">
        <f>H21*(1+Cockpit!$H$30)</f>
        <v>-35.882626104000003</v>
      </c>
      <c r="J21" s="10">
        <f>I21*(1+Cockpit!$H$30)</f>
        <v>-36.600278626080005</v>
      </c>
      <c r="K21" s="10">
        <f>J21*(1+Cockpit!$H$30)</f>
        <v>-37.332284198601606</v>
      </c>
      <c r="L21" s="10">
        <f>K21*(1+Cockpit!$H$30)</f>
        <v>-38.07892988257364</v>
      </c>
      <c r="M21" s="10">
        <f>L21*(1+Cockpit!$H$30)</f>
        <v>-38.840508480225111</v>
      </c>
      <c r="N21" s="10">
        <f>M21*(1+Cockpit!$H$30)</f>
        <v>-39.617318649829613</v>
      </c>
      <c r="O21" s="10">
        <f>N21*(1+Cockpit!$H$30)</f>
        <v>-40.409665022826204</v>
      </c>
      <c r="P21" s="10">
        <f>O21*(1+Cockpit!$H$30)</f>
        <v>-41.217858323282726</v>
      </c>
      <c r="Q21" s="10">
        <f>P21*(1+Cockpit!$H$30)</f>
        <v>-42.042215489748379</v>
      </c>
      <c r="R21" s="10">
        <f>Q21*(1+Cockpit!$H$30)</f>
        <v>-42.883059799543346</v>
      </c>
      <c r="S21" s="10">
        <f>R21*(1+Cockpit!$H$30)</f>
        <v>-43.740720995534211</v>
      </c>
      <c r="T21" s="10">
        <f>S21*(1+Cockpit!$H$30)</f>
        <v>-44.615535415444896</v>
      </c>
      <c r="U21" s="10">
        <f>T21*(1+Cockpit!$H$30)</f>
        <v>-45.507846123753794</v>
      </c>
      <c r="V21" s="10">
        <f>U21*(1+Cockpit!$H$30)</f>
        <v>-46.418003046228868</v>
      </c>
      <c r="W21" s="10">
        <f>V21*(1+Cockpit!$H$30)</f>
        <v>-47.346363107153444</v>
      </c>
      <c r="X21" s="10">
        <f>W21*(1+Cockpit!$H$30)</f>
        <v>-48.293290369296514</v>
      </c>
      <c r="Y21" s="10">
        <f>X21*(1+Cockpit!$H$30)</f>
        <v>-49.259156176682446</v>
      </c>
      <c r="Z21" s="10">
        <f>Y21*(1+Cockpit!$H$30)</f>
        <v>-50.244339300216097</v>
      </c>
      <c r="AA21" s="10">
        <f>Z21*(1+Cockpit!$H$30)</f>
        <v>-51.249226086220418</v>
      </c>
      <c r="AB21" s="10">
        <f>AA21*(1+Cockpit!$H$30)</f>
        <v>-52.274210607944823</v>
      </c>
      <c r="AC21" s="10">
        <f>AB21*(1+Cockpit!$H$30)</f>
        <v>-53.31969482010372</v>
      </c>
      <c r="AD21" s="10">
        <f>AC21*(1+Cockpit!$H$30)</f>
        <v>-54.386088716505796</v>
      </c>
      <c r="AE21" s="10">
        <f>AD21*(1+Cockpit!$H$30)</f>
        <v>-55.473810490835916</v>
      </c>
      <c r="AF21" s="10">
        <f>AE21*(1+Cockpit!$H$30)</f>
        <v>-56.583286700652636</v>
      </c>
      <c r="AG21" s="10">
        <f>AF21*(1+Cockpit!$H$30)</f>
        <v>-57.71495243466569</v>
      </c>
      <c r="AH21" s="10">
        <f>AG21*(1+Cockpit!$H$30)</f>
        <v>-58.869251483359008</v>
      </c>
      <c r="AI21" s="10">
        <f>AH21*(1+Cockpit!$H$30)</f>
        <v>-60.046636513026186</v>
      </c>
      <c r="AJ21" s="10">
        <f>AI21*(1+Cockpit!$H$30)</f>
        <v>-61.247569243286712</v>
      </c>
      <c r="AK21" s="10">
        <f>AJ21*(1+Cockpit!$H$30)</f>
        <v>-62.472520628152445</v>
      </c>
      <c r="AL21" s="10">
        <f>AK21*(1+Cockpit!$H$30)</f>
        <v>-63.721971040715495</v>
      </c>
      <c r="AM21" s="10">
        <f>AL21*(1+Cockpit!$H$30)</f>
        <v>-64.996410461529806</v>
      </c>
      <c r="AN21" s="10">
        <f>AM21*(1+Cockpit!$H$30)</f>
        <v>-66.296338670760406</v>
      </c>
      <c r="AO21" s="10">
        <f>AN21*(1+Cockpit!$H$30)</f>
        <v>-67.622265444175611</v>
      </c>
      <c r="AP21" s="10">
        <f>AO21*(1+Cockpit!$H$30)</f>
        <v>-68.974710753059128</v>
      </c>
      <c r="AQ21" s="10">
        <f>AP21*(1+Cockpit!$H$30)</f>
        <v>-70.354204968120314</v>
      </c>
      <c r="AR21" s="10">
        <f>AQ21*(1+Cockpit!$H$30)</f>
        <v>-71.761289067482721</v>
      </c>
      <c r="AS21" s="10">
        <f>AR21*(1+Cockpit!$H$30)</f>
        <v>-73.196514848832379</v>
      </c>
      <c r="AT21" s="10">
        <f>AS21*(1+Cockpit!$H$30)</f>
        <v>-74.660445145809021</v>
      </c>
      <c r="AU21" s="10">
        <f>AT21*(1+Cockpit!$H$30)</f>
        <v>-76.153654048725201</v>
      </c>
      <c r="AV21" s="10">
        <f>AU21*(1+Cockpit!$H$30)</f>
        <v>-77.6767271296997</v>
      </c>
      <c r="AW21" s="10">
        <f>AV21*(1+Cockpit!$H$30)</f>
        <v>-79.230261672293693</v>
      </c>
      <c r="AX21" s="10">
        <f>AW21*(1+Cockpit!$H$30)</f>
        <v>-80.814866905739564</v>
      </c>
      <c r="AY21" s="10">
        <f>AX21*(1+Cockpit!$H$30)</f>
        <v>-82.431164243854354</v>
      </c>
      <c r="AZ21" s="10">
        <f>AY21*(1+Cockpit!$H$30)</f>
        <v>-84.079787528731444</v>
      </c>
      <c r="BA21" s="283">
        <f>AZ21*(1+Cockpit!$H$30)</f>
        <v>-85.761383279306074</v>
      </c>
    </row>
    <row r="22" spans="1:53">
      <c r="A22"/>
      <c r="B22" s="479" t="s">
        <v>253</v>
      </c>
      <c r="C22" s="480"/>
      <c r="D22" s="10">
        <f>-Cockpit!K28</f>
        <v>-13.488</v>
      </c>
      <c r="E22" s="10">
        <f>-Cockpit!$H$25*'Miete, Cashflow, Steuern'!E14</f>
        <v>-14.13336</v>
      </c>
      <c r="F22" s="10">
        <f>-Cockpit!$H$25*'Miete, Cashflow, Steuern'!F14</f>
        <v>-14.814163200000003</v>
      </c>
      <c r="G22" s="10">
        <f>-Cockpit!$H$25*'Miete, Cashflow, Steuern'!G14</f>
        <v>-15.532470624000004</v>
      </c>
      <c r="H22" s="10">
        <f>-Cockpit!$H$25*'Miete, Cashflow, Steuern'!H14</f>
        <v>-16.290465646080005</v>
      </c>
      <c r="I22" s="10">
        <f>-Cockpit!$H$25*'Miete, Cashflow, Steuern'!I14</f>
        <v>-17.090461305177605</v>
      </c>
      <c r="J22" s="10">
        <f>-Cockpit!$H$25*'Miete, Cashflow, Steuern'!J14</f>
        <v>-17.934908058227716</v>
      </c>
      <c r="K22" s="10">
        <f>-Cockpit!$H$25*'Miete, Cashflow, Steuern'!K14</f>
        <v>-18.826401997955628</v>
      </c>
      <c r="L22" s="10">
        <f>-Cockpit!$H$25*'Miete, Cashflow, Steuern'!L14</f>
        <v>-19.767693563191898</v>
      </c>
      <c r="M22" s="10">
        <f>-Cockpit!$H$25*'Miete, Cashflow, Steuern'!M14</f>
        <v>-20.761696771249518</v>
      </c>
      <c r="N22" s="10">
        <f>-Cockpit!$H$25*'Miete, Cashflow, Steuern'!N14</f>
        <v>-21.811499003675923</v>
      </c>
      <c r="O22" s="10">
        <f>-Cockpit!$H$25*'Miete, Cashflow, Steuern'!O14</f>
        <v>-22.920371378570934</v>
      </c>
      <c r="P22" s="10">
        <f>-Cockpit!$H$25*'Miete, Cashflow, Steuern'!P14</f>
        <v>-24.091779744653142</v>
      </c>
      <c r="Q22" s="10">
        <f>-Cockpit!$H$25*'Miete, Cashflow, Steuern'!Q14</f>
        <v>-25.329396334367637</v>
      </c>
      <c r="R22" s="10">
        <f>-Cockpit!$H$25*'Miete, Cashflow, Steuern'!R14</f>
        <v>-26.63711211556571</v>
      </c>
      <c r="S22" s="10">
        <f>-Cockpit!$H$25*'Miete, Cashflow, Steuern'!S14</f>
        <v>-28.01904988365839</v>
      </c>
      <c r="T22" s="10">
        <f>-Cockpit!$H$25*'Miete, Cashflow, Steuern'!T14</f>
        <v>-29.479578138659797</v>
      </c>
      <c r="U22" s="10">
        <f>-Cockpit!$H$25*'Miete, Cashflow, Steuern'!U14</f>
        <v>-31.023325794200932</v>
      </c>
      <c r="V22" s="10">
        <f>-Cockpit!$H$25*'Miete, Cashflow, Steuern'!V14</f>
        <v>-32.655197768418965</v>
      </c>
      <c r="W22" s="10">
        <f>-Cockpit!$H$25*'Miete, Cashflow, Steuern'!W14</f>
        <v>-34.380391509621404</v>
      </c>
      <c r="X22" s="10">
        <f>-Cockpit!$H$25*'Miete, Cashflow, Steuern'!X14</f>
        <v>-36.204414512797932</v>
      </c>
      <c r="Y22" s="10">
        <f>-Cockpit!$H$25*'Miete, Cashflow, Steuern'!Y14</f>
        <v>-37.229652823894682</v>
      </c>
      <c r="Z22" s="10">
        <f>-Cockpit!$H$25*'Miete, Cashflow, Steuern'!Z14</f>
        <v>-38.284430401838591</v>
      </c>
      <c r="AA22" s="10">
        <f>-Cockpit!$H$25*'Miete, Cashflow, Steuern'!AA14</f>
        <v>-39.369609066985348</v>
      </c>
      <c r="AB22" s="10">
        <f>-Cockpit!$H$25*'Miete, Cashflow, Steuern'!AB14</f>
        <v>-40.486076007148348</v>
      </c>
      <c r="AC22" s="10">
        <f>-Cockpit!$H$25*'Miete, Cashflow, Steuern'!AC14</f>
        <v>-41.634744528879303</v>
      </c>
      <c r="AD22" s="10">
        <f>-Cockpit!$H$25*'Miete, Cashflow, Steuern'!AD14</f>
        <v>-42.81655483109251</v>
      </c>
      <c r="AE22" s="10">
        <f>-Cockpit!$H$25*'Miete, Cashflow, Steuern'!AE14</f>
        <v>-44.032474801699067</v>
      </c>
      <c r="AF22" s="10">
        <f>-Cockpit!$H$25*'Miete, Cashflow, Steuern'!AF14</f>
        <v>-45.283500837937282</v>
      </c>
      <c r="AG22" s="10">
        <f>-Cockpit!$H$25*'Miete, Cashflow, Steuern'!AG14</f>
        <v>-46.570658691106402</v>
      </c>
      <c r="AH22" s="10">
        <f>-Cockpit!$H$25*'Miete, Cashflow, Steuern'!AH14</f>
        <v>-47.895004336431207</v>
      </c>
      <c r="AI22" s="10">
        <f>-Cockpit!$H$25*'Miete, Cashflow, Steuern'!AI14</f>
        <v>-49.257624868807589</v>
      </c>
      <c r="AJ22" s="10">
        <f>-Cockpit!$H$25*'Miete, Cashflow, Steuern'!AJ14</f>
        <v>-50.659639425200922</v>
      </c>
      <c r="AK22" s="10">
        <f>-Cockpit!$H$25*'Miete, Cashflow, Steuern'!AK14</f>
        <v>-52.102200134492655</v>
      </c>
      <c r="AL22" s="10">
        <f>-Cockpit!$H$25*'Miete, Cashflow, Steuern'!AL14</f>
        <v>-53.586493095593852</v>
      </c>
      <c r="AM22" s="10">
        <f>-Cockpit!$H$25*'Miete, Cashflow, Steuern'!AM14</f>
        <v>-55.113739384669401</v>
      </c>
      <c r="AN22" s="10">
        <f>-Cockpit!$H$25*'Miete, Cashflow, Steuern'!AN14</f>
        <v>-56.685196092341378</v>
      </c>
      <c r="AO22" s="10">
        <f>-Cockpit!$H$25*'Miete, Cashflow, Steuern'!AO14</f>
        <v>-58.302157391766158</v>
      </c>
      <c r="AP22" s="10">
        <f>-Cockpit!$H$25*'Miete, Cashflow, Steuern'!AP14</f>
        <v>-59.965955638506756</v>
      </c>
      <c r="AQ22" s="10">
        <f>-Cockpit!$H$25*'Miete, Cashflow, Steuern'!AQ14</f>
        <v>-61.677962503149345</v>
      </c>
      <c r="AR22" s="10">
        <f>-Cockpit!$H$25*'Miete, Cashflow, Steuern'!AR14</f>
        <v>-63.439590137640934</v>
      </c>
      <c r="AS22" s="10">
        <f>-Cockpit!$H$25*'Miete, Cashflow, Steuern'!AS14</f>
        <v>-65.252292376355228</v>
      </c>
      <c r="AT22" s="10">
        <f>-Cockpit!$H$25*'Miete, Cashflow, Steuern'!AT14</f>
        <v>-67.117565972922648</v>
      </c>
      <c r="AU22" s="10">
        <f>-Cockpit!$H$25*'Miete, Cashflow, Steuern'!AU14</f>
        <v>-69.036951873892633</v>
      </c>
      <c r="AV22" s="10">
        <f>-Cockpit!$H$25*'Miete, Cashflow, Steuern'!AV14</f>
        <v>-71.012036530327364</v>
      </c>
      <c r="AW22" s="10">
        <f>-Cockpit!$H$25*'Miete, Cashflow, Steuern'!AW14</f>
        <v>-73.04445324845949</v>
      </c>
      <c r="AX22" s="10">
        <f>-Cockpit!$H$25*'Miete, Cashflow, Steuern'!AX14</f>
        <v>-75.135883580580028</v>
      </c>
      <c r="AY22" s="10">
        <f>-Cockpit!$H$25*'Miete, Cashflow, Steuern'!AY14</f>
        <v>-77.288058757357518</v>
      </c>
      <c r="AZ22" s="10">
        <f>-Cockpit!$H$25*'Miete, Cashflow, Steuern'!AZ14</f>
        <v>-79.50276116282555</v>
      </c>
      <c r="BA22" s="283">
        <f>-Cockpit!$H$25*'Miete, Cashflow, Steuern'!BA14</f>
        <v>-81.78182585331254</v>
      </c>
    </row>
    <row r="23" spans="1:53">
      <c r="A23"/>
      <c r="B23" s="486" t="s">
        <v>282</v>
      </c>
      <c r="C23" s="487"/>
      <c r="D23" s="10">
        <f t="shared" ref="D23:AI23" si="8">D20+D21+D22</f>
        <v>-218.988</v>
      </c>
      <c r="E23" s="10">
        <f t="shared" si="8"/>
        <v>-223.74336000000002</v>
      </c>
      <c r="F23" s="10">
        <f t="shared" si="8"/>
        <v>-228.61636320000002</v>
      </c>
      <c r="G23" s="10">
        <f t="shared" si="8"/>
        <v>-233.61071462400002</v>
      </c>
      <c r="H23" s="10">
        <f t="shared" si="8"/>
        <v>-238.73027452608005</v>
      </c>
      <c r="I23" s="10">
        <f t="shared" si="8"/>
        <v>-243.97906636277762</v>
      </c>
      <c r="J23" s="10">
        <f t="shared" si="8"/>
        <v>-249.36128521697975</v>
      </c>
      <c r="K23" s="10">
        <f t="shared" si="8"/>
        <v>-254.88130669988271</v>
      </c>
      <c r="L23" s="10">
        <f t="shared" si="8"/>
        <v>-260.54369635915754</v>
      </c>
      <c r="M23" s="10">
        <f t="shared" si="8"/>
        <v>-266.35321962313446</v>
      </c>
      <c r="N23" s="10">
        <f t="shared" si="8"/>
        <v>-272.31485231259859</v>
      </c>
      <c r="O23" s="10">
        <f t="shared" si="8"/>
        <v>-278.43379175367204</v>
      </c>
      <c r="P23" s="10">
        <f t="shared" si="8"/>
        <v>-284.71546852725629</v>
      </c>
      <c r="Q23" s="10">
        <f t="shared" si="8"/>
        <v>-291.16555889262287</v>
      </c>
      <c r="R23" s="10">
        <f t="shared" si="8"/>
        <v>-297.78999792498598</v>
      </c>
      <c r="S23" s="10">
        <f t="shared" si="8"/>
        <v>-304.59499340926709</v>
      </c>
      <c r="T23" s="10">
        <f t="shared" si="8"/>
        <v>-311.58704053478073</v>
      </c>
      <c r="U23" s="10">
        <f t="shared" si="8"/>
        <v>-318.7729374382443</v>
      </c>
      <c r="V23" s="10">
        <f t="shared" si="8"/>
        <v>-326.15980164534318</v>
      </c>
      <c r="W23" s="10">
        <f t="shared" si="8"/>
        <v>-333.75508746408406</v>
      </c>
      <c r="X23" s="10">
        <f t="shared" si="8"/>
        <v>-341.56660438634987</v>
      </c>
      <c r="Y23" s="10">
        <f t="shared" si="8"/>
        <v>-348.69908649491765</v>
      </c>
      <c r="Z23" s="10">
        <f t="shared" si="8"/>
        <v>-355.98325274628201</v>
      </c>
      <c r="AA23" s="10">
        <f t="shared" si="8"/>
        <v>-363.42240785831763</v>
      </c>
      <c r="AB23" s="10">
        <f t="shared" si="8"/>
        <v>-371.01993077430734</v>
      </c>
      <c r="AC23" s="10">
        <f t="shared" si="8"/>
        <v>-378.77927639138147</v>
      </c>
      <c r="AD23" s="10">
        <f t="shared" si="8"/>
        <v>-386.70397733084474</v>
      </c>
      <c r="AE23" s="10">
        <f t="shared" si="8"/>
        <v>-394.79764575144634</v>
      </c>
      <c r="AF23" s="10">
        <f t="shared" si="8"/>
        <v>-403.06397520667952</v>
      </c>
      <c r="AG23" s="10">
        <f t="shared" si="8"/>
        <v>-411.5067425472235</v>
      </c>
      <c r="AH23" s="10">
        <f t="shared" si="8"/>
        <v>-420.12980986967062</v>
      </c>
      <c r="AI23" s="10">
        <f t="shared" si="8"/>
        <v>-428.93712651271181</v>
      </c>
      <c r="AJ23" s="10">
        <f t="shared" ref="AJ23:BA23" si="9">AJ20+AJ21+AJ22</f>
        <v>-437.93273110198322</v>
      </c>
      <c r="AK23" s="10">
        <f t="shared" si="9"/>
        <v>-447.12075364481063</v>
      </c>
      <c r="AL23" s="10">
        <f t="shared" si="9"/>
        <v>-456.50541767611821</v>
      </c>
      <c r="AM23" s="10">
        <f t="shared" si="9"/>
        <v>-466.0910424568043</v>
      </c>
      <c r="AN23" s="10">
        <f t="shared" si="9"/>
        <v>-475.88204522591894</v>
      </c>
      <c r="AO23" s="10">
        <f t="shared" si="9"/>
        <v>-485.88294350801527</v>
      </c>
      <c r="AP23" s="10">
        <f t="shared" si="9"/>
        <v>-496.09835747708087</v>
      </c>
      <c r="AQ23" s="10">
        <f t="shared" si="9"/>
        <v>-506.53301237849496</v>
      </c>
      <c r="AR23" s="10">
        <f t="shared" si="9"/>
        <v>-517.1917410104935</v>
      </c>
      <c r="AS23" s="10">
        <f t="shared" si="9"/>
        <v>-528.07948626666484</v>
      </c>
      <c r="AT23" s="10">
        <f t="shared" si="9"/>
        <v>-539.20130374103837</v>
      </c>
      <c r="AU23" s="10">
        <f t="shared" si="9"/>
        <v>-550.56236439737063</v>
      </c>
      <c r="AV23" s="10">
        <f t="shared" si="9"/>
        <v>-562.16795730427509</v>
      </c>
      <c r="AW23" s="10">
        <f t="shared" si="9"/>
        <v>-574.02349243788615</v>
      </c>
      <c r="AX23" s="10">
        <f t="shared" si="9"/>
        <v>-586.13450355379518</v>
      </c>
      <c r="AY23" s="10">
        <f t="shared" si="9"/>
        <v>-598.50665113003697</v>
      </c>
      <c r="AZ23" s="10">
        <f t="shared" si="9"/>
        <v>-611.14572538295863</v>
      </c>
      <c r="BA23" s="283">
        <f t="shared" si="9"/>
        <v>-624.05764935784828</v>
      </c>
    </row>
    <row r="24" spans="1:53">
      <c r="A24"/>
      <c r="B24" s="479" t="s">
        <v>31</v>
      </c>
      <c r="C24" s="480"/>
      <c r="D24" s="10">
        <f>-'Wert, AfA, Darlehen'!D110/12</f>
        <v>-314.33333333333331</v>
      </c>
      <c r="E24" s="10">
        <f>-'Wert, AfA, Darlehen'!E110/12</f>
        <v>-308.98966666666666</v>
      </c>
      <c r="F24" s="10">
        <f>-'Wert, AfA, Darlehen'!F110/12</f>
        <v>-303.42690966666669</v>
      </c>
      <c r="G24" s="10">
        <f>-'Wert, AfA, Darlehen'!G110/12</f>
        <v>-297.63607962966671</v>
      </c>
      <c r="H24" s="10">
        <f>-'Wert, AfA, Darlehen'!H110/12</f>
        <v>-291.60782556114975</v>
      </c>
      <c r="I24" s="10">
        <f>-'Wert, AfA, Darlehen'!I110/12</f>
        <v>-285.33241307582358</v>
      </c>
      <c r="J24" s="10">
        <f>-'Wert, AfA, Darlehen'!J110/12</f>
        <v>-278.79970867859902</v>
      </c>
      <c r="K24" s="10">
        <f>-'Wert, AfA, Darlehen'!K110/12</f>
        <v>-271.99916340108825</v>
      </c>
      <c r="L24" s="10">
        <f>-'Wert, AfA, Darlehen'!L110/12</f>
        <v>-264.91979576719956</v>
      </c>
      <c r="M24" s="10">
        <f>-'Wert, AfA, Darlehen'!M110/12</f>
        <v>-257.55017406032141</v>
      </c>
      <c r="N24" s="10">
        <f>-'Wert, AfA, Darlehen'!N110/12</f>
        <v>-249.87839786346123</v>
      </c>
      <c r="O24" s="10">
        <f>-'Wert, AfA, Darlehen'!O110/12</f>
        <v>-241.89207884252983</v>
      </c>
      <c r="P24" s="10">
        <f>-'Wert, AfA, Darlehen'!P110/12</f>
        <v>-233.57832074174021</v>
      </c>
      <c r="Q24" s="10">
        <f>-'Wert, AfA, Darlehen'!Q110/12</f>
        <v>-224.92369855881824</v>
      </c>
      <c r="R24" s="10">
        <f>-'Wert, AfA, Darlehen'!R110/12</f>
        <v>-215.91423686639646</v>
      </c>
      <c r="S24" s="10">
        <f>-'Wert, AfA, Darlehen'!S110/12</f>
        <v>-206.53538724458539</v>
      </c>
      <c r="T24" s="10">
        <f>-'Wert, AfA, Darlehen'!T110/12</f>
        <v>-196.77200478828004</v>
      </c>
      <c r="U24" s="10">
        <f>-'Wert, AfA, Darlehen'!U110/12</f>
        <v>-186.60832365126623</v>
      </c>
      <c r="V24" s="10">
        <f>-'Wert, AfA, Darlehen'!V110/12</f>
        <v>-176.02793158763481</v>
      </c>
      <c r="W24" s="10">
        <f>-'Wert, AfA, Darlehen'!W110/12</f>
        <v>-165.0137434493945</v>
      </c>
      <c r="X24" s="10">
        <f>-'Wert, AfA, Darlehen'!X110/12</f>
        <v>-153.54797359748633</v>
      </c>
      <c r="Y24" s="10">
        <f>-'Wert, AfA, Darlehen'!Y110/12</f>
        <v>-141.61210718164995</v>
      </c>
      <c r="Z24" s="10">
        <f>-'Wert, AfA, Darlehen'!Z110/12</f>
        <v>-129.18687024276426</v>
      </c>
      <c r="AA24" s="10">
        <f>-'Wert, AfA, Darlehen'!AA110/12</f>
        <v>-116.25219858938425</v>
      </c>
      <c r="AB24" s="10">
        <f>-'Wert, AfA, Darlehen'!AB110/12</f>
        <v>-102.78720539821568</v>
      </c>
      <c r="AC24" s="10">
        <f>-'Wert, AfA, Darlehen'!AC110/12</f>
        <v>-88.770147486209183</v>
      </c>
      <c r="AD24" s="10">
        <f>-'Wert, AfA, Darlehen'!AD110/12</f>
        <v>-74.178390199810423</v>
      </c>
      <c r="AE24" s="10">
        <f>-'Wert, AfA, Darlehen'!AE110/12</f>
        <v>-58.988370864669299</v>
      </c>
      <c r="AF24" s="10">
        <f>-'Wert, AfA, Darlehen'!AF110/12</f>
        <v>-43.175560736787418</v>
      </c>
      <c r="AG24" s="10">
        <f>-'Wert, AfA, Darlehen'!AG110/12</f>
        <v>-26.714425393662367</v>
      </c>
      <c r="AH24" s="10">
        <f>-'Wert, AfA, Darlehen'!AH110/12</f>
        <v>-9.5783835014691885</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-130.33333333333334</v>
      </c>
      <c r="E25" s="10">
        <f>-'Wert, AfA, Darlehen'!E114/12</f>
        <v>-135.67699999999999</v>
      </c>
      <c r="F25" s="10">
        <f>-'Wert, AfA, Darlehen'!F114/12</f>
        <v>-141.23975699999997</v>
      </c>
      <c r="G25" s="10">
        <f>-'Wert, AfA, Darlehen'!G114/12</f>
        <v>-147.03058703699995</v>
      </c>
      <c r="H25" s="10">
        <f>-'Wert, AfA, Darlehen'!H114/12</f>
        <v>-153.0588411055169</v>
      </c>
      <c r="I25" s="10">
        <f>-'Wert, AfA, Darlehen'!I114/12</f>
        <v>-159.3342535908431</v>
      </c>
      <c r="J25" s="10">
        <f>-'Wert, AfA, Darlehen'!J114/12</f>
        <v>-165.86695798806764</v>
      </c>
      <c r="K25" s="10">
        <f>-'Wert, AfA, Darlehen'!K114/12</f>
        <v>-172.6675032655784</v>
      </c>
      <c r="L25" s="10">
        <f>-'Wert, AfA, Darlehen'!L114/12</f>
        <v>-179.7468708994671</v>
      </c>
      <c r="M25" s="10">
        <f>-'Wert, AfA, Darlehen'!M114/12</f>
        <v>-187.11649260634525</v>
      </c>
      <c r="N25" s="10">
        <f>-'Wert, AfA, Darlehen'!N114/12</f>
        <v>-194.78826880320545</v>
      </c>
      <c r="O25" s="10">
        <f>-'Wert, AfA, Darlehen'!O114/12</f>
        <v>-202.77458782413683</v>
      </c>
      <c r="P25" s="10">
        <f>-'Wert, AfA, Darlehen'!P114/12</f>
        <v>-211.08834592492644</v>
      </c>
      <c r="Q25" s="10">
        <f>-'Wert, AfA, Darlehen'!Q114/12</f>
        <v>-219.74296810784844</v>
      </c>
      <c r="R25" s="10">
        <f>-'Wert, AfA, Darlehen'!R114/12</f>
        <v>-228.75242980027019</v>
      </c>
      <c r="S25" s="10">
        <f>-'Wert, AfA, Darlehen'!S114/12</f>
        <v>-238.13127942208129</v>
      </c>
      <c r="T25" s="10">
        <f>-'Wert, AfA, Darlehen'!T114/12</f>
        <v>-247.89466187838661</v>
      </c>
      <c r="U25" s="10">
        <f>-'Wert, AfA, Darlehen'!U114/12</f>
        <v>-258.05834301540045</v>
      </c>
      <c r="V25" s="10">
        <f>-'Wert, AfA, Darlehen'!V114/12</f>
        <v>-268.63873507903185</v>
      </c>
      <c r="W25" s="10">
        <f>-'Wert, AfA, Darlehen'!W114/12</f>
        <v>-279.65292321727219</v>
      </c>
      <c r="X25" s="10">
        <f>-'Wert, AfA, Darlehen'!X114/12</f>
        <v>-291.11869306918032</v>
      </c>
      <c r="Y25" s="10">
        <f>-'Wert, AfA, Darlehen'!Y114/12</f>
        <v>-303.05455948501668</v>
      </c>
      <c r="Z25" s="10">
        <f>-'Wert, AfA, Darlehen'!Z114/12</f>
        <v>-315.47979642390243</v>
      </c>
      <c r="AA25" s="10">
        <f>-'Wert, AfA, Darlehen'!AA114/12</f>
        <v>-328.41446807728244</v>
      </c>
      <c r="AB25" s="10">
        <f>-'Wert, AfA, Darlehen'!AB114/12</f>
        <v>-341.879461268451</v>
      </c>
      <c r="AC25" s="10">
        <f>-'Wert, AfA, Darlehen'!AC114/12</f>
        <v>-355.89651918045746</v>
      </c>
      <c r="AD25" s="10">
        <f>-'Wert, AfA, Darlehen'!AD114/12</f>
        <v>-370.48827646685623</v>
      </c>
      <c r="AE25" s="10">
        <f>-'Wert, AfA, Darlehen'!AE114/12</f>
        <v>-385.67829580199736</v>
      </c>
      <c r="AF25" s="10">
        <f>-'Wert, AfA, Darlehen'!AF114/12</f>
        <v>-401.49110592987927</v>
      </c>
      <c r="AG25" s="10">
        <f>-'Wert, AfA, Darlehen'!AG114/12</f>
        <v>-417.95224127300429</v>
      </c>
      <c r="AH25" s="10">
        <f>-'Wert, AfA, Darlehen'!AH114/12</f>
        <v>-233.61910979193144</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-214.05466666666663</v>
      </c>
      <c r="E26" s="136">
        <f t="shared" si="10"/>
        <v>-197.29802666666666</v>
      </c>
      <c r="F26" s="136">
        <f t="shared" si="10"/>
        <v>-179.47758986666659</v>
      </c>
      <c r="G26" s="136">
        <f t="shared" si="10"/>
        <v>-160.52836049066653</v>
      </c>
      <c r="H26" s="136">
        <f t="shared" si="10"/>
        <v>-140.38141965674654</v>
      </c>
      <c r="I26" s="136">
        <f t="shared" si="10"/>
        <v>-118.96368952352412</v>
      </c>
      <c r="J26" s="136">
        <f t="shared" si="10"/>
        <v>-96.197683276055812</v>
      </c>
      <c r="K26" s="136">
        <f t="shared" si="10"/>
        <v>-72.001240101361731</v>
      </c>
      <c r="L26" s="136">
        <f t="shared" si="10"/>
        <v>-46.287244252760928</v>
      </c>
      <c r="M26" s="136">
        <f t="shared" si="10"/>
        <v>-18.963327248150478</v>
      </c>
      <c r="N26" s="136">
        <f t="shared" si="10"/>
        <v>10.068447809932195</v>
      </c>
      <c r="O26" s="136">
        <f t="shared" si="10"/>
        <v>40.911920865359178</v>
      </c>
      <c r="P26" s="136">
        <f t="shared" si="10"/>
        <v>73.677189627848406</v>
      </c>
      <c r="Q26" s="136">
        <f t="shared" si="10"/>
        <v>108.48098558629843</v>
      </c>
      <c r="R26" s="136">
        <f t="shared" si="10"/>
        <v>145.4470725938711</v>
      </c>
      <c r="S26" s="136">
        <f t="shared" si="10"/>
        <v>184.70666937934587</v>
      </c>
      <c r="T26" s="136">
        <f t="shared" si="10"/>
        <v>226.39889742054595</v>
      </c>
      <c r="U26" s="136">
        <f t="shared" si="10"/>
        <v>270.67125570178683</v>
      </c>
      <c r="V26" s="136">
        <f t="shared" si="10"/>
        <v>317.68012396862247</v>
      </c>
      <c r="W26" s="136">
        <f t="shared" si="10"/>
        <v>367.59129618996286</v>
      </c>
      <c r="X26" s="136">
        <f t="shared" si="10"/>
        <v>420.58054604024807</v>
      </c>
      <c r="Y26" s="136">
        <f t="shared" si="10"/>
        <v>447.62267430157175</v>
      </c>
      <c r="Z26" s="136">
        <f t="shared" si="10"/>
        <v>475.49776064833765</v>
      </c>
      <c r="AA26" s="136">
        <f t="shared" si="10"/>
        <v>504.23122770786063</v>
      </c>
      <c r="AB26" s="136">
        <f t="shared" si="10"/>
        <v>533.84926946397093</v>
      </c>
      <c r="AC26" s="136">
        <f t="shared" si="10"/>
        <v>564.3788745712618</v>
      </c>
      <c r="AD26" s="136">
        <f t="shared" si="10"/>
        <v>595.84785037223901</v>
      </c>
      <c r="AE26" s="136">
        <f t="shared" si="10"/>
        <v>628.28484763852282</v>
      </c>
      <c r="AF26" s="136">
        <f t="shared" si="10"/>
        <v>661.7193860578966</v>
      </c>
      <c r="AG26" s="136">
        <f t="shared" si="10"/>
        <v>696.18188048965658</v>
      </c>
      <c r="AH26" s="136">
        <f t="shared" si="10"/>
        <v>933.17284138463549</v>
      </c>
      <c r="AI26" s="136">
        <f t="shared" si="10"/>
        <v>1212.9837024475412</v>
      </c>
      <c r="AJ26" s="136">
        <f t="shared" ref="AJ26:BA26" si="11">AJ19+AJ23+AJ24+AJ25</f>
        <v>1250.7219164047142</v>
      </c>
      <c r="AK26" s="136">
        <f t="shared" si="11"/>
        <v>1289.6192508382778</v>
      </c>
      <c r="AL26" s="136">
        <f t="shared" si="11"/>
        <v>1329.7110188436768</v>
      </c>
      <c r="AM26" s="136">
        <f t="shared" si="11"/>
        <v>1371.0336036988424</v>
      </c>
      <c r="AN26" s="136">
        <f t="shared" si="11"/>
        <v>1413.6244911854603</v>
      </c>
      <c r="AO26" s="136">
        <f t="shared" si="11"/>
        <v>1457.5223028841901</v>
      </c>
      <c r="AP26" s="136">
        <f t="shared" si="11"/>
        <v>1502.7668304731446</v>
      </c>
      <c r="AQ26" s="136">
        <f t="shared" si="11"/>
        <v>1549.3990710598166</v>
      </c>
      <c r="AR26" s="136">
        <f t="shared" si="11"/>
        <v>1597.4612635775379</v>
      </c>
      <c r="AS26" s="136">
        <f t="shared" si="11"/>
        <v>1646.9969262785094</v>
      </c>
      <c r="AT26" s="136">
        <f t="shared" si="11"/>
        <v>1698.0508953563835</v>
      </c>
      <c r="AU26" s="136">
        <f t="shared" si="11"/>
        <v>1750.6693647323839</v>
      </c>
      <c r="AV26" s="136">
        <f t="shared" si="11"/>
        <v>1804.8999270399704</v>
      </c>
      <c r="AW26" s="136">
        <f t="shared" si="11"/>
        <v>1860.7916158440971</v>
      </c>
      <c r="AX26" s="136">
        <f t="shared" si="11"/>
        <v>1918.394949132206</v>
      </c>
      <c r="AY26" s="136">
        <f t="shared" si="11"/>
        <v>1977.7619741152139</v>
      </c>
      <c r="AZ26" s="136">
        <f t="shared" si="11"/>
        <v>2038.9463133778931</v>
      </c>
      <c r="BA26" s="286">
        <f t="shared" si="11"/>
        <v>2102.0032124192367</v>
      </c>
    </row>
    <row r="27" spans="1:53">
      <c r="B27" s="479" t="s">
        <v>39</v>
      </c>
      <c r="C27" s="480" t="s">
        <v>39</v>
      </c>
      <c r="D27" s="10">
        <f t="shared" ref="D27:AI27" si="12">-D43</f>
        <v>52.732833333333318</v>
      </c>
      <c r="E27" s="10">
        <f t="shared" si="12"/>
        <v>43.374566666666652</v>
      </c>
      <c r="F27" s="10">
        <f t="shared" si="12"/>
        <v>33.483767866666653</v>
      </c>
      <c r="G27" s="10">
        <f t="shared" si="12"/>
        <v>23.029917131866615</v>
      </c>
      <c r="H27" s="10">
        <f t="shared" si="12"/>
        <v>11.980727082059843</v>
      </c>
      <c r="I27" s="10">
        <f t="shared" si="12"/>
        <v>0.30203940940134544</v>
      </c>
      <c r="J27" s="10">
        <f t="shared" si="12"/>
        <v>-12.042284558527809</v>
      </c>
      <c r="K27" s="10">
        <f t="shared" si="12"/>
        <v>-25.090479744309551</v>
      </c>
      <c r="L27" s="10">
        <f t="shared" si="12"/>
        <v>-38.88300003698869</v>
      </c>
      <c r="M27" s="10">
        <f t="shared" si="12"/>
        <v>-53.462648243867761</v>
      </c>
      <c r="N27" s="10">
        <f t="shared" si="12"/>
        <v>-68.874713706657261</v>
      </c>
      <c r="O27" s="10">
        <f t="shared" si="12"/>
        <v>-85.167118036357266</v>
      </c>
      <c r="P27" s="10">
        <f t="shared" si="12"/>
        <v>-102.39056944828431</v>
      </c>
      <c r="Q27" s="10">
        <f t="shared" si="12"/>
        <v>-120.59872620730512</v>
      </c>
      <c r="R27" s="10">
        <f t="shared" si="12"/>
        <v>-139.84836972370013</v>
      </c>
      <c r="S27" s="10">
        <f t="shared" si="12"/>
        <v>-160.19958787224792</v>
      </c>
      <c r="T27" s="10">
        <f t="shared" si="12"/>
        <v>-181.71596914121494</v>
      </c>
      <c r="U27" s="10">
        <f t="shared" si="12"/>
        <v>-204.46480825405681</v>
      </c>
      <c r="V27" s="10">
        <f t="shared" si="12"/>
        <v>-228.51732394492083</v>
      </c>
      <c r="W27" s="10">
        <f t="shared" si="12"/>
        <v>-253.94888960960395</v>
      </c>
      <c r="X27" s="10">
        <f t="shared" si="12"/>
        <v>-280.83927759660918</v>
      </c>
      <c r="Y27" s="10">
        <f t="shared" si="12"/>
        <v>-297.2269171148663</v>
      </c>
      <c r="Z27" s="10">
        <f t="shared" si="12"/>
        <v>-314.16303070971793</v>
      </c>
      <c r="AA27" s="10">
        <f t="shared" si="12"/>
        <v>-331.66631237533954</v>
      </c>
      <c r="AB27" s="10">
        <f t="shared" si="12"/>
        <v>-349.75610693900609</v>
      </c>
      <c r="AC27" s="10">
        <f t="shared" si="12"/>
        <v>-368.45243324028093</v>
      </c>
      <c r="AD27" s="10">
        <f t="shared" si="12"/>
        <v>-387.77600815467758</v>
      </c>
      <c r="AE27" s="10">
        <f t="shared" si="12"/>
        <v>-407.74827149322198</v>
      </c>
      <c r="AF27" s="10">
        <f t="shared" si="12"/>
        <v>-428.3914118105464</v>
      </c>
      <c r="AG27" s="10">
        <f t="shared" si="12"/>
        <v>-449.72839315537317</v>
      </c>
      <c r="AH27" s="10">
        <f t="shared" si="12"/>
        <v>-471.782982798543</v>
      </c>
      <c r="AI27" s="10">
        <f t="shared" si="12"/>
        <v>-491.2756855317499</v>
      </c>
      <c r="AJ27" s="10">
        <f t="shared" ref="AJ27:BA27" si="13">-AJ43</f>
        <v>-507.41215002928078</v>
      </c>
      <c r="AK27" s="10">
        <f t="shared" si="13"/>
        <v>-524.03808864036932</v>
      </c>
      <c r="AL27" s="10">
        <f t="shared" si="13"/>
        <v>-541.16829319199439</v>
      </c>
      <c r="AM27" s="10">
        <f t="shared" si="13"/>
        <v>-558.81800141801671</v>
      </c>
      <c r="AN27" s="10">
        <f t="shared" si="13"/>
        <v>-577.00291037942486</v>
      </c>
      <c r="AO27" s="10">
        <f t="shared" si="13"/>
        <v>-595.73919028805267</v>
      </c>
      <c r="AP27" s="10">
        <f t="shared" si="13"/>
        <v>-615.04349874588411</v>
      </c>
      <c r="AQ27" s="10">
        <f t="shared" si="13"/>
        <v>-634.93299541243459</v>
      </c>
      <c r="AR27" s="10">
        <f t="shared" si="13"/>
        <v>-655.42535711306471</v>
      </c>
      <c r="AS27" s="10">
        <f t="shared" si="13"/>
        <v>-676.53879340147887</v>
      </c>
      <c r="AT27" s="10">
        <f t="shared" si="13"/>
        <v>-698.29206259004604</v>
      </c>
      <c r="AU27" s="10">
        <f t="shared" si="13"/>
        <v>-720.70448826200072</v>
      </c>
      <c r="AV27" s="10">
        <f t="shared" si="13"/>
        <v>-743.79597627999908</v>
      </c>
      <c r="AW27" s="10">
        <f t="shared" si="13"/>
        <v>-767.58703230594006</v>
      </c>
      <c r="AX27" s="10">
        <f t="shared" si="13"/>
        <v>-792.09877984741024</v>
      </c>
      <c r="AY27" s="10">
        <f t="shared" si="13"/>
        <v>-817.35297884657029</v>
      </c>
      <c r="AZ27" s="10">
        <f t="shared" si="13"/>
        <v>-843.37204482777997</v>
      </c>
      <c r="BA27" s="283">
        <f t="shared" si="13"/>
        <v>-870.17906862074199</v>
      </c>
    </row>
    <row r="28" spans="1:53" ht="15.75" thickBot="1">
      <c r="B28" s="488" t="s">
        <v>41</v>
      </c>
      <c r="C28" s="489"/>
      <c r="D28" s="287">
        <f t="shared" ref="D28:AI28" si="14">D26+D27</f>
        <v>-161.3218333333333</v>
      </c>
      <c r="E28" s="287">
        <f t="shared" si="14"/>
        <v>-153.92346000000001</v>
      </c>
      <c r="F28" s="287">
        <f t="shared" si="14"/>
        <v>-145.99382199999994</v>
      </c>
      <c r="G28" s="287">
        <f t="shared" si="14"/>
        <v>-137.4984433587999</v>
      </c>
      <c r="H28" s="287">
        <f t="shared" si="14"/>
        <v>-128.4006925746867</v>
      </c>
      <c r="I28" s="287">
        <f t="shared" si="14"/>
        <v>-118.66165011412278</v>
      </c>
      <c r="J28" s="287">
        <f t="shared" si="14"/>
        <v>-108.23996783458362</v>
      </c>
      <c r="K28" s="287">
        <f t="shared" si="14"/>
        <v>-97.091719845671278</v>
      </c>
      <c r="L28" s="287">
        <f t="shared" si="14"/>
        <v>-85.170244289749618</v>
      </c>
      <c r="M28" s="287">
        <f t="shared" si="14"/>
        <v>-72.425975492018239</v>
      </c>
      <c r="N28" s="287">
        <f t="shared" si="14"/>
        <v>-58.806265896725066</v>
      </c>
      <c r="O28" s="287">
        <f t="shared" si="14"/>
        <v>-44.255197170998088</v>
      </c>
      <c r="P28" s="287">
        <f t="shared" si="14"/>
        <v>-28.713379820435904</v>
      </c>
      <c r="Q28" s="287">
        <f t="shared" si="14"/>
        <v>-12.117740621006689</v>
      </c>
      <c r="R28" s="287">
        <f t="shared" si="14"/>
        <v>5.5987028701709676</v>
      </c>
      <c r="S28" s="287">
        <f t="shared" si="14"/>
        <v>24.507081507097951</v>
      </c>
      <c r="T28" s="287">
        <f t="shared" si="14"/>
        <v>44.682928279331009</v>
      </c>
      <c r="U28" s="287">
        <f t="shared" si="14"/>
        <v>66.206447447730028</v>
      </c>
      <c r="V28" s="287">
        <f t="shared" si="14"/>
        <v>89.162800023701635</v>
      </c>
      <c r="W28" s="287">
        <f t="shared" si="14"/>
        <v>113.64240658035891</v>
      </c>
      <c r="X28" s="287">
        <f t="shared" si="14"/>
        <v>139.74126844363889</v>
      </c>
      <c r="Y28" s="287">
        <f t="shared" si="14"/>
        <v>150.39575718670545</v>
      </c>
      <c r="Z28" s="287">
        <f t="shared" si="14"/>
        <v>161.33472993861972</v>
      </c>
      <c r="AA28" s="287">
        <f t="shared" si="14"/>
        <v>172.56491533252108</v>
      </c>
      <c r="AB28" s="287">
        <f t="shared" si="14"/>
        <v>184.09316252496484</v>
      </c>
      <c r="AC28" s="287">
        <f t="shared" si="14"/>
        <v>195.92644133098088</v>
      </c>
      <c r="AD28" s="287">
        <f t="shared" si="14"/>
        <v>208.07184221756143</v>
      </c>
      <c r="AE28" s="287">
        <f t="shared" si="14"/>
        <v>220.53657614530084</v>
      </c>
      <c r="AF28" s="287">
        <f t="shared" si="14"/>
        <v>233.3279742473502</v>
      </c>
      <c r="AG28" s="287">
        <f t="shared" si="14"/>
        <v>246.45348733428341</v>
      </c>
      <c r="AH28" s="287">
        <f t="shared" si="14"/>
        <v>461.38985858609249</v>
      </c>
      <c r="AI28" s="287">
        <f t="shared" si="14"/>
        <v>721.70801691579129</v>
      </c>
      <c r="AJ28" s="287">
        <f t="shared" ref="AJ28:BA28" si="15">AJ26+AJ27</f>
        <v>743.30976637543336</v>
      </c>
      <c r="AK28" s="287">
        <f t="shared" si="15"/>
        <v>765.5811621979085</v>
      </c>
      <c r="AL28" s="287">
        <f t="shared" si="15"/>
        <v>788.54272565168242</v>
      </c>
      <c r="AM28" s="287">
        <f t="shared" si="15"/>
        <v>812.21560228082569</v>
      </c>
      <c r="AN28" s="287">
        <f t="shared" si="15"/>
        <v>836.62158080603547</v>
      </c>
      <c r="AO28" s="287">
        <f t="shared" si="15"/>
        <v>861.78311259613747</v>
      </c>
      <c r="AP28" s="287">
        <f t="shared" si="15"/>
        <v>887.72333172726053</v>
      </c>
      <c r="AQ28" s="287">
        <f t="shared" si="15"/>
        <v>914.46607564738201</v>
      </c>
      <c r="AR28" s="287">
        <f t="shared" si="15"/>
        <v>942.03590646447321</v>
      </c>
      <c r="AS28" s="287">
        <f t="shared" si="15"/>
        <v>970.45813287703049</v>
      </c>
      <c r="AT28" s="287">
        <f t="shared" si="15"/>
        <v>999.75883276633749</v>
      </c>
      <c r="AU28" s="287">
        <f t="shared" si="15"/>
        <v>1029.9648764703832</v>
      </c>
      <c r="AV28" s="287">
        <f t="shared" si="15"/>
        <v>1061.1039507599712</v>
      </c>
      <c r="AW28" s="287">
        <f t="shared" si="15"/>
        <v>1093.2045835381571</v>
      </c>
      <c r="AX28" s="287">
        <f t="shared" si="15"/>
        <v>1126.2961692847957</v>
      </c>
      <c r="AY28" s="287">
        <f t="shared" si="15"/>
        <v>1160.4089952686436</v>
      </c>
      <c r="AZ28" s="287">
        <f t="shared" si="15"/>
        <v>1195.5742685501132</v>
      </c>
      <c r="BA28" s="288">
        <f t="shared" si="15"/>
        <v>1231.8241437984948</v>
      </c>
    </row>
    <row r="29" spans="1:53" ht="15.75" thickBot="1">
      <c r="I29" s="6"/>
      <c r="J29" s="6"/>
      <c r="K29" s="6"/>
      <c r="L29" s="6"/>
    </row>
    <row r="30" spans="1:53" ht="18" thickBot="1">
      <c r="A30"/>
      <c r="B30" s="273" t="s">
        <v>272</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90" t="s">
        <v>268</v>
      </c>
      <c r="C32" s="491"/>
      <c r="D32" s="281">
        <f>12*D28</f>
        <v>-1935.8619999999996</v>
      </c>
      <c r="E32" s="281">
        <f t="shared" ref="E32:AJ32" si="18">D32+12*E28</f>
        <v>-3782.9435199999998</v>
      </c>
      <c r="F32" s="281">
        <f t="shared" si="18"/>
        <v>-5534.8693839999996</v>
      </c>
      <c r="G32" s="281">
        <f t="shared" si="18"/>
        <v>-7184.8507043055979</v>
      </c>
      <c r="H32" s="281">
        <f t="shared" si="18"/>
        <v>-8725.659015201838</v>
      </c>
      <c r="I32" s="281">
        <f t="shared" si="18"/>
        <v>-10149.598816571312</v>
      </c>
      <c r="J32" s="281">
        <f t="shared" si="18"/>
        <v>-11448.478430586314</v>
      </c>
      <c r="K32" s="281">
        <f t="shared" si="18"/>
        <v>-12613.579068734369</v>
      </c>
      <c r="L32" s="281">
        <f t="shared" si="18"/>
        <v>-13635.622000211364</v>
      </c>
      <c r="M32" s="281">
        <f t="shared" si="18"/>
        <v>-14504.733706115583</v>
      </c>
      <c r="N32" s="281">
        <f t="shared" si="18"/>
        <v>-15210.408896876284</v>
      </c>
      <c r="O32" s="281">
        <f t="shared" si="18"/>
        <v>-15741.471262928262</v>
      </c>
      <c r="P32" s="281">
        <f t="shared" si="18"/>
        <v>-16086.031820773493</v>
      </c>
      <c r="Q32" s="281">
        <f t="shared" si="18"/>
        <v>-16231.444708225574</v>
      </c>
      <c r="R32" s="281">
        <f t="shared" si="18"/>
        <v>-16164.260273783522</v>
      </c>
      <c r="S32" s="281">
        <f t="shared" si="18"/>
        <v>-15870.175295698347</v>
      </c>
      <c r="T32" s="281">
        <f t="shared" si="18"/>
        <v>-15333.980156346375</v>
      </c>
      <c r="U32" s="281">
        <f t="shared" si="18"/>
        <v>-14539.502786973615</v>
      </c>
      <c r="V32" s="281">
        <f t="shared" si="18"/>
        <v>-13469.549186689195</v>
      </c>
      <c r="W32" s="281">
        <f t="shared" si="18"/>
        <v>-12105.840307724888</v>
      </c>
      <c r="X32" s="281">
        <f t="shared" si="18"/>
        <v>-10428.945086401221</v>
      </c>
      <c r="Y32" s="281">
        <f t="shared" si="18"/>
        <v>-8624.1960001607567</v>
      </c>
      <c r="Z32" s="281">
        <f t="shared" si="18"/>
        <v>-6688.1792408973197</v>
      </c>
      <c r="AA32" s="281">
        <f t="shared" si="18"/>
        <v>-4617.4002569070672</v>
      </c>
      <c r="AB32" s="281">
        <f t="shared" si="18"/>
        <v>-2408.2823066074889</v>
      </c>
      <c r="AC32" s="281">
        <f t="shared" si="18"/>
        <v>-57.165010635718318</v>
      </c>
      <c r="AD32" s="281">
        <f t="shared" si="18"/>
        <v>2439.6970959750188</v>
      </c>
      <c r="AE32" s="281">
        <f t="shared" si="18"/>
        <v>5086.1360097186289</v>
      </c>
      <c r="AF32" s="281">
        <f t="shared" si="18"/>
        <v>7886.0717006868308</v>
      </c>
      <c r="AG32" s="281">
        <f t="shared" si="18"/>
        <v>10843.513548698233</v>
      </c>
      <c r="AH32" s="281">
        <f t="shared" si="18"/>
        <v>16380.191851731342</v>
      </c>
      <c r="AI32" s="281">
        <f t="shared" si="18"/>
        <v>25040.688054720838</v>
      </c>
      <c r="AJ32" s="281">
        <f t="shared" si="18"/>
        <v>33960.405251226039</v>
      </c>
      <c r="AK32" s="281">
        <f t="shared" ref="AK32:BA32" si="19">AJ32+12*AK28</f>
        <v>43147.379197600938</v>
      </c>
      <c r="AL32" s="281">
        <f t="shared" si="19"/>
        <v>52609.891905421129</v>
      </c>
      <c r="AM32" s="281">
        <f t="shared" si="19"/>
        <v>62356.479132791035</v>
      </c>
      <c r="AN32" s="281">
        <f t="shared" si="19"/>
        <v>72395.938102463464</v>
      </c>
      <c r="AO32" s="281">
        <f t="shared" si="19"/>
        <v>82737.33545361711</v>
      </c>
      <c r="AP32" s="281">
        <f t="shared" si="19"/>
        <v>93390.015434344241</v>
      </c>
      <c r="AQ32" s="281">
        <f t="shared" si="19"/>
        <v>104363.60834211283</v>
      </c>
      <c r="AR32" s="281">
        <f t="shared" si="19"/>
        <v>115668.0392196865</v>
      </c>
      <c r="AS32" s="281">
        <f t="shared" si="19"/>
        <v>127313.53681421086</v>
      </c>
      <c r="AT32" s="281">
        <f t="shared" si="19"/>
        <v>139310.64280740693</v>
      </c>
      <c r="AU32" s="281">
        <f t="shared" si="19"/>
        <v>151670.22132505153</v>
      </c>
      <c r="AV32" s="281">
        <f t="shared" si="19"/>
        <v>164403.46873417118</v>
      </c>
      <c r="AW32" s="281">
        <f t="shared" si="19"/>
        <v>177521.92373662908</v>
      </c>
      <c r="AX32" s="281">
        <f t="shared" si="19"/>
        <v>191037.47776804664</v>
      </c>
      <c r="AY32" s="281">
        <f t="shared" si="19"/>
        <v>204962.38571127036</v>
      </c>
      <c r="AZ32" s="281">
        <f t="shared" si="19"/>
        <v>219309.2769338717</v>
      </c>
      <c r="BA32" s="282">
        <f t="shared" si="19"/>
        <v>234091.16665945365</v>
      </c>
    </row>
    <row r="33" spans="1:53" ht="15.75" thickBot="1">
      <c r="A33"/>
      <c r="B33" s="488" t="s">
        <v>274</v>
      </c>
      <c r="C33" s="489"/>
      <c r="D33" s="284">
        <f>-Cockpit!$N$10+D32</f>
        <v>-36504.862000000001</v>
      </c>
      <c r="E33" s="284">
        <f>-Cockpit!$N$10+E32</f>
        <v>-38351.943520000001</v>
      </c>
      <c r="F33" s="284">
        <f>-Cockpit!$N$10+F32</f>
        <v>-40103.869383999998</v>
      </c>
      <c r="G33" s="284">
        <f>-Cockpit!$N$10+G32</f>
        <v>-41753.850704305602</v>
      </c>
      <c r="H33" s="284">
        <f>-Cockpit!$N$10+H32</f>
        <v>-43294.65901520184</v>
      </c>
      <c r="I33" s="284">
        <f>-Cockpit!$N$10+I32</f>
        <v>-44718.598816571313</v>
      </c>
      <c r="J33" s="284">
        <f>-Cockpit!$N$10+J32</f>
        <v>-46017.478430586314</v>
      </c>
      <c r="K33" s="284">
        <f>-Cockpit!$N$10+K32</f>
        <v>-47182.579068734369</v>
      </c>
      <c r="L33" s="284">
        <f>-Cockpit!$N$10+L32</f>
        <v>-48204.622000211362</v>
      </c>
      <c r="M33" s="284">
        <f>-Cockpit!$N$10+M32</f>
        <v>-49073.733706115585</v>
      </c>
      <c r="N33" s="284">
        <f>-Cockpit!$N$10+N32</f>
        <v>-49779.408896876281</v>
      </c>
      <c r="O33" s="284">
        <f>-Cockpit!$N$10+O32</f>
        <v>-50310.471262928259</v>
      </c>
      <c r="P33" s="284">
        <f>-Cockpit!$N$10+P32</f>
        <v>-50655.031820773496</v>
      </c>
      <c r="Q33" s="284">
        <f>-Cockpit!$N$10+Q32</f>
        <v>-50800.444708225572</v>
      </c>
      <c r="R33" s="284">
        <f>-Cockpit!$N$10+R32</f>
        <v>-50733.260273783526</v>
      </c>
      <c r="S33" s="284">
        <f>-Cockpit!$N$10+S32</f>
        <v>-50439.175295698347</v>
      </c>
      <c r="T33" s="284">
        <f>-Cockpit!$N$10+T32</f>
        <v>-49902.980156346377</v>
      </c>
      <c r="U33" s="284">
        <f>-Cockpit!$N$10+U32</f>
        <v>-49108.502786973615</v>
      </c>
      <c r="V33" s="284">
        <f>-Cockpit!$N$10+V32</f>
        <v>-48038.549186689197</v>
      </c>
      <c r="W33" s="284">
        <f>-Cockpit!$N$10+W32</f>
        <v>-46674.840307724888</v>
      </c>
      <c r="X33" s="284">
        <f>-Cockpit!$N$10+X32</f>
        <v>-44997.945086401218</v>
      </c>
      <c r="Y33" s="284">
        <f>-Cockpit!$N$10+Y32</f>
        <v>-43193.196000160759</v>
      </c>
      <c r="Z33" s="284">
        <f>-Cockpit!$N$10+Z32</f>
        <v>-41257.17924089732</v>
      </c>
      <c r="AA33" s="284">
        <f>-Cockpit!$N$10+AA32</f>
        <v>-39186.400256907065</v>
      </c>
      <c r="AB33" s="284">
        <f>-Cockpit!$N$10+AB32</f>
        <v>-36977.282306607493</v>
      </c>
      <c r="AC33" s="284">
        <f>-Cockpit!$N$10+AC32</f>
        <v>-34626.165010635719</v>
      </c>
      <c r="AD33" s="284">
        <f>-Cockpit!$N$10+AD32</f>
        <v>-32129.302904024982</v>
      </c>
      <c r="AE33" s="284">
        <f>-Cockpit!$N$10+AE32</f>
        <v>-29482.86399028137</v>
      </c>
      <c r="AF33" s="284">
        <f>-Cockpit!$N$10+AF32</f>
        <v>-26682.928299313171</v>
      </c>
      <c r="AG33" s="284">
        <f>-Cockpit!$N$10+AG32</f>
        <v>-23725.486451301767</v>
      </c>
      <c r="AH33" s="284">
        <f>-Cockpit!$N$10+AH32</f>
        <v>-18188.808148268658</v>
      </c>
      <c r="AI33" s="284">
        <f>-Cockpit!$N$10+AI32</f>
        <v>-9528.3119452791616</v>
      </c>
      <c r="AJ33" s="284">
        <f>-Cockpit!$N$10+AJ32</f>
        <v>-608.59474877396133</v>
      </c>
      <c r="AK33" s="284">
        <f>-Cockpit!$N$10+AK32</f>
        <v>8578.3791976009379</v>
      </c>
      <c r="AL33" s="284">
        <f>-Cockpit!$N$10+AL32</f>
        <v>18040.891905421129</v>
      </c>
      <c r="AM33" s="284">
        <f>-Cockpit!$N$10+AM32</f>
        <v>27787.479132791035</v>
      </c>
      <c r="AN33" s="284">
        <f>-Cockpit!$N$10+AN32</f>
        <v>37826.938102463464</v>
      </c>
      <c r="AO33" s="284">
        <f>-Cockpit!$N$10+AO32</f>
        <v>48168.33545361711</v>
      </c>
      <c r="AP33" s="284">
        <f>-Cockpit!$N$10+AP32</f>
        <v>58821.015434344241</v>
      </c>
      <c r="AQ33" s="284">
        <f>-Cockpit!$N$10+AQ32</f>
        <v>69794.608342112828</v>
      </c>
      <c r="AR33" s="284">
        <f>-Cockpit!$N$10+AR32</f>
        <v>81099.0392196865</v>
      </c>
      <c r="AS33" s="284">
        <f>-Cockpit!$N$10+AS32</f>
        <v>92744.536814210864</v>
      </c>
      <c r="AT33" s="284">
        <f>-Cockpit!$N$10+AT32</f>
        <v>104741.64280740693</v>
      </c>
      <c r="AU33" s="284">
        <f>-Cockpit!$N$10+AU32</f>
        <v>117101.22132505153</v>
      </c>
      <c r="AV33" s="284">
        <f>-Cockpit!$N$10+AV32</f>
        <v>129834.46873417118</v>
      </c>
      <c r="AW33" s="284">
        <f>-Cockpit!$N$10+AW32</f>
        <v>142952.92373662908</v>
      </c>
      <c r="AX33" s="284">
        <f>-Cockpit!$N$10+AX32</f>
        <v>156468.47776804664</v>
      </c>
      <c r="AY33" s="284">
        <f>-Cockpit!$N$10+AY32</f>
        <v>170393.38571127036</v>
      </c>
      <c r="AZ33" s="284">
        <f>-Cockpit!$N$10+AZ32</f>
        <v>184740.2769338717</v>
      </c>
      <c r="BA33" s="285">
        <f>-Cockpit!$N$10+BA32</f>
        <v>199522.16665945365</v>
      </c>
    </row>
    <row r="34" spans="1:53" ht="30.75" customHeight="1" thickBot="1"/>
    <row r="35" spans="1:53" ht="18" thickBot="1">
      <c r="B35" s="273" t="s">
        <v>273</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4" t="s">
        <v>478</v>
      </c>
      <c r="C37" s="485"/>
      <c r="D37" s="281">
        <f t="shared" ref="D37:AI37" si="22">D14</f>
        <v>449.6</v>
      </c>
      <c r="E37" s="281">
        <f t="shared" si="22"/>
        <v>471.11200000000002</v>
      </c>
      <c r="F37" s="281">
        <f t="shared" si="22"/>
        <v>493.80544000000009</v>
      </c>
      <c r="G37" s="281">
        <f t="shared" si="22"/>
        <v>517.74902080000015</v>
      </c>
      <c r="H37" s="281">
        <f t="shared" si="22"/>
        <v>543.01552153600016</v>
      </c>
      <c r="I37" s="281">
        <f t="shared" si="22"/>
        <v>569.68204350592021</v>
      </c>
      <c r="J37" s="281">
        <f t="shared" si="22"/>
        <v>597.8302686075906</v>
      </c>
      <c r="K37" s="281">
        <f t="shared" si="22"/>
        <v>627.54673326518764</v>
      </c>
      <c r="L37" s="281">
        <f t="shared" si="22"/>
        <v>658.92311877306327</v>
      </c>
      <c r="M37" s="281">
        <f t="shared" si="22"/>
        <v>692.05655904165064</v>
      </c>
      <c r="N37" s="281">
        <f t="shared" si="22"/>
        <v>727.04996678919747</v>
      </c>
      <c r="O37" s="281">
        <f t="shared" si="22"/>
        <v>764.01237928569788</v>
      </c>
      <c r="P37" s="281">
        <f t="shared" si="22"/>
        <v>803.05932482177138</v>
      </c>
      <c r="Q37" s="281">
        <f t="shared" si="22"/>
        <v>844.31321114558796</v>
      </c>
      <c r="R37" s="281">
        <f t="shared" si="22"/>
        <v>887.90373718552371</v>
      </c>
      <c r="S37" s="281">
        <f t="shared" si="22"/>
        <v>933.96832945527967</v>
      </c>
      <c r="T37" s="281">
        <f t="shared" si="22"/>
        <v>982.65260462199331</v>
      </c>
      <c r="U37" s="281">
        <f t="shared" si="22"/>
        <v>1034.1108598066978</v>
      </c>
      <c r="V37" s="281">
        <f t="shared" si="22"/>
        <v>1088.5065922806323</v>
      </c>
      <c r="W37" s="281">
        <f t="shared" si="22"/>
        <v>1146.0130503207135</v>
      </c>
      <c r="X37" s="281">
        <f t="shared" si="22"/>
        <v>1206.8138170932646</v>
      </c>
      <c r="Y37" s="281">
        <f t="shared" si="22"/>
        <v>1240.9884274631561</v>
      </c>
      <c r="Z37" s="281">
        <f t="shared" si="22"/>
        <v>1276.1476800612863</v>
      </c>
      <c r="AA37" s="281">
        <f t="shared" si="22"/>
        <v>1312.3203022328451</v>
      </c>
      <c r="AB37" s="281">
        <f t="shared" si="22"/>
        <v>1349.5358669049449</v>
      </c>
      <c r="AC37" s="281">
        <f t="shared" si="22"/>
        <v>1387.82481762931</v>
      </c>
      <c r="AD37" s="281">
        <f t="shared" si="22"/>
        <v>1427.2184943697505</v>
      </c>
      <c r="AE37" s="281">
        <f t="shared" si="22"/>
        <v>1467.7491600566357</v>
      </c>
      <c r="AF37" s="281">
        <f t="shared" si="22"/>
        <v>1509.4500279312429</v>
      </c>
      <c r="AG37" s="281">
        <f t="shared" si="22"/>
        <v>1552.3552897035468</v>
      </c>
      <c r="AH37" s="281">
        <f t="shared" si="22"/>
        <v>1596.5001445477069</v>
      </c>
      <c r="AI37" s="281">
        <f t="shared" si="22"/>
        <v>1641.9208289602529</v>
      </c>
      <c r="AJ37" s="281">
        <f t="shared" ref="AJ37:BA37" si="23">AJ14</f>
        <v>1688.6546475066975</v>
      </c>
      <c r="AK37" s="281">
        <f t="shared" si="23"/>
        <v>1736.7400044830886</v>
      </c>
      <c r="AL37" s="281">
        <f t="shared" si="23"/>
        <v>1786.216436519795</v>
      </c>
      <c r="AM37" s="281">
        <f t="shared" si="23"/>
        <v>1837.1246461556468</v>
      </c>
      <c r="AN37" s="281">
        <f t="shared" si="23"/>
        <v>1889.5065364113793</v>
      </c>
      <c r="AO37" s="281">
        <f t="shared" si="23"/>
        <v>1943.4052463922053</v>
      </c>
      <c r="AP37" s="281">
        <f t="shared" si="23"/>
        <v>1998.8651879502254</v>
      </c>
      <c r="AQ37" s="281">
        <f t="shared" si="23"/>
        <v>2055.9320834383116</v>
      </c>
      <c r="AR37" s="281">
        <f t="shared" si="23"/>
        <v>2114.6530045880313</v>
      </c>
      <c r="AS37" s="281">
        <f t="shared" si="23"/>
        <v>2175.0764125451742</v>
      </c>
      <c r="AT37" s="281">
        <f t="shared" si="23"/>
        <v>2237.2521990974219</v>
      </c>
      <c r="AU37" s="281">
        <f t="shared" si="23"/>
        <v>2301.2317291297545</v>
      </c>
      <c r="AV37" s="281">
        <f t="shared" si="23"/>
        <v>2367.0678843442456</v>
      </c>
      <c r="AW37" s="281">
        <f t="shared" si="23"/>
        <v>2434.8151082819832</v>
      </c>
      <c r="AX37" s="281">
        <f t="shared" si="23"/>
        <v>2504.5294526860012</v>
      </c>
      <c r="AY37" s="281">
        <f t="shared" si="23"/>
        <v>2576.2686252452509</v>
      </c>
      <c r="AZ37" s="281">
        <f t="shared" si="23"/>
        <v>2650.0920387608517</v>
      </c>
      <c r="BA37" s="282">
        <f t="shared" si="23"/>
        <v>2726.0608617770849</v>
      </c>
    </row>
    <row r="38" spans="1:53">
      <c r="B38" s="479" t="s">
        <v>254</v>
      </c>
      <c r="C38" s="480"/>
      <c r="D38" s="10">
        <f t="shared" ref="D38:AI38" si="24">D23-D21-D22</f>
        <v>-173</v>
      </c>
      <c r="E38" s="10">
        <f t="shared" si="24"/>
        <v>-176.46</v>
      </c>
      <c r="F38" s="10">
        <f t="shared" si="24"/>
        <v>-179.98920000000004</v>
      </c>
      <c r="G38" s="10">
        <f t="shared" si="24"/>
        <v>-183.58898400000001</v>
      </c>
      <c r="H38" s="10">
        <f t="shared" si="24"/>
        <v>-187.26076368000003</v>
      </c>
      <c r="I38" s="10">
        <f t="shared" si="24"/>
        <v>-191.00597895360002</v>
      </c>
      <c r="J38" s="10">
        <f t="shared" si="24"/>
        <v>-194.82609853267203</v>
      </c>
      <c r="K38" s="10">
        <f t="shared" si="24"/>
        <v>-198.72262050332549</v>
      </c>
      <c r="L38" s="10">
        <f t="shared" si="24"/>
        <v>-202.69707291339199</v>
      </c>
      <c r="M38" s="10">
        <f t="shared" si="24"/>
        <v>-206.75101437165983</v>
      </c>
      <c r="N38" s="10">
        <f t="shared" si="24"/>
        <v>-210.88603465909307</v>
      </c>
      <c r="O38" s="10">
        <f t="shared" si="24"/>
        <v>-215.1037553522749</v>
      </c>
      <c r="P38" s="10">
        <f t="shared" si="24"/>
        <v>-219.40583045932044</v>
      </c>
      <c r="Q38" s="10">
        <f t="shared" si="24"/>
        <v>-223.79394706850687</v>
      </c>
      <c r="R38" s="10">
        <f t="shared" si="24"/>
        <v>-228.26982600987694</v>
      </c>
      <c r="S38" s="10">
        <f t="shared" si="24"/>
        <v>-232.83522253007447</v>
      </c>
      <c r="T38" s="10">
        <f t="shared" si="24"/>
        <v>-237.491926980676</v>
      </c>
      <c r="U38" s="10">
        <f t="shared" si="24"/>
        <v>-242.24176552028959</v>
      </c>
      <c r="V38" s="10">
        <f t="shared" si="24"/>
        <v>-247.08660083069535</v>
      </c>
      <c r="W38" s="10">
        <f t="shared" si="24"/>
        <v>-252.02833284730923</v>
      </c>
      <c r="X38" s="10">
        <f t="shared" si="24"/>
        <v>-257.0688995042554</v>
      </c>
      <c r="Y38" s="10">
        <f t="shared" si="24"/>
        <v>-262.21027749434052</v>
      </c>
      <c r="Z38" s="10">
        <f t="shared" si="24"/>
        <v>-267.45448304422735</v>
      </c>
      <c r="AA38" s="10">
        <f t="shared" si="24"/>
        <v>-272.80357270511189</v>
      </c>
      <c r="AB38" s="10">
        <f t="shared" si="24"/>
        <v>-278.25964415921413</v>
      </c>
      <c r="AC38" s="10">
        <f t="shared" si="24"/>
        <v>-283.82483704239843</v>
      </c>
      <c r="AD38" s="10">
        <f t="shared" si="24"/>
        <v>-289.50133378324642</v>
      </c>
      <c r="AE38" s="10">
        <f t="shared" si="24"/>
        <v>-295.2913604589113</v>
      </c>
      <c r="AF38" s="10">
        <f t="shared" si="24"/>
        <v>-301.19718766808955</v>
      </c>
      <c r="AG38" s="10">
        <f t="shared" si="24"/>
        <v>-307.22113142145139</v>
      </c>
      <c r="AH38" s="10">
        <f t="shared" si="24"/>
        <v>-313.36555404988042</v>
      </c>
      <c r="AI38" s="10">
        <f t="shared" si="24"/>
        <v>-319.63286513087809</v>
      </c>
      <c r="AJ38" s="10">
        <f t="shared" ref="AJ38:BA38" si="25">AJ23-AJ21-AJ22</f>
        <v>-326.02552243349561</v>
      </c>
      <c r="AK38" s="10">
        <f t="shared" si="25"/>
        <v>-332.54603288216555</v>
      </c>
      <c r="AL38" s="10">
        <f t="shared" si="25"/>
        <v>-339.19695353980887</v>
      </c>
      <c r="AM38" s="10">
        <f t="shared" si="25"/>
        <v>-345.98089261060511</v>
      </c>
      <c r="AN38" s="10">
        <f t="shared" si="25"/>
        <v>-352.90051046281718</v>
      </c>
      <c r="AO38" s="10">
        <f t="shared" si="25"/>
        <v>-359.95852067207352</v>
      </c>
      <c r="AP38" s="10">
        <f t="shared" si="25"/>
        <v>-367.15769108551501</v>
      </c>
      <c r="AQ38" s="10">
        <f t="shared" si="25"/>
        <v>-374.50084490722531</v>
      </c>
      <c r="AR38" s="10">
        <f t="shared" si="25"/>
        <v>-381.99086180536983</v>
      </c>
      <c r="AS38" s="10">
        <f t="shared" si="25"/>
        <v>-389.63067904147721</v>
      </c>
      <c r="AT38" s="10">
        <f t="shared" si="25"/>
        <v>-397.42329262230669</v>
      </c>
      <c r="AU38" s="10">
        <f t="shared" si="25"/>
        <v>-405.37175847475277</v>
      </c>
      <c r="AV38" s="10">
        <f t="shared" si="25"/>
        <v>-413.47919364424803</v>
      </c>
      <c r="AW38" s="10">
        <f t="shared" si="25"/>
        <v>-421.74877751713296</v>
      </c>
      <c r="AX38" s="10">
        <f t="shared" si="25"/>
        <v>-430.18375306747561</v>
      </c>
      <c r="AY38" s="10">
        <f t="shared" si="25"/>
        <v>-438.78742812882507</v>
      </c>
      <c r="AZ38" s="10">
        <f t="shared" si="25"/>
        <v>-447.56317669140162</v>
      </c>
      <c r="BA38" s="283">
        <f t="shared" si="25"/>
        <v>-456.51444022522969</v>
      </c>
    </row>
    <row r="39" spans="1:53">
      <c r="B39" s="479" t="s">
        <v>31</v>
      </c>
      <c r="C39" s="480"/>
      <c r="D39" s="10">
        <f>-'Wert, AfA, Darlehen'!D110/12</f>
        <v>-314.33333333333331</v>
      </c>
      <c r="E39" s="10">
        <f>-'Wert, AfA, Darlehen'!E110/12</f>
        <v>-308.98966666666666</v>
      </c>
      <c r="F39" s="10">
        <f>-'Wert, AfA, Darlehen'!F110/12</f>
        <v>-303.42690966666669</v>
      </c>
      <c r="G39" s="10">
        <f>-'Wert, AfA, Darlehen'!G110/12</f>
        <v>-297.63607962966671</v>
      </c>
      <c r="H39" s="10">
        <f>-'Wert, AfA, Darlehen'!H110/12</f>
        <v>-291.60782556114975</v>
      </c>
      <c r="I39" s="10">
        <f>-'Wert, AfA, Darlehen'!I110/12</f>
        <v>-285.33241307582358</v>
      </c>
      <c r="J39" s="10">
        <f>-'Wert, AfA, Darlehen'!J110/12</f>
        <v>-278.79970867859902</v>
      </c>
      <c r="K39" s="10">
        <f>-'Wert, AfA, Darlehen'!K110/12</f>
        <v>-271.99916340108825</v>
      </c>
      <c r="L39" s="10">
        <f>-'Wert, AfA, Darlehen'!L110/12</f>
        <v>-264.91979576719956</v>
      </c>
      <c r="M39" s="10">
        <f>-'Wert, AfA, Darlehen'!M110/12</f>
        <v>-257.55017406032141</v>
      </c>
      <c r="N39" s="10">
        <f>-'Wert, AfA, Darlehen'!N110/12</f>
        <v>-249.87839786346123</v>
      </c>
      <c r="O39" s="10">
        <f>-'Wert, AfA, Darlehen'!O110/12</f>
        <v>-241.89207884252983</v>
      </c>
      <c r="P39" s="10">
        <f>-'Wert, AfA, Darlehen'!P110/12</f>
        <v>-233.57832074174021</v>
      </c>
      <c r="Q39" s="10">
        <f>-'Wert, AfA, Darlehen'!Q110/12</f>
        <v>-224.92369855881824</v>
      </c>
      <c r="R39" s="10">
        <f>-'Wert, AfA, Darlehen'!R110/12</f>
        <v>-215.91423686639646</v>
      </c>
      <c r="S39" s="10">
        <f>-'Wert, AfA, Darlehen'!S110/12</f>
        <v>-206.53538724458539</v>
      </c>
      <c r="T39" s="10">
        <f>-'Wert, AfA, Darlehen'!T110/12</f>
        <v>-196.77200478828004</v>
      </c>
      <c r="U39" s="10">
        <f>-'Wert, AfA, Darlehen'!U110/12</f>
        <v>-186.60832365126623</v>
      </c>
      <c r="V39" s="10">
        <f>-'Wert, AfA, Darlehen'!V110/12</f>
        <v>-176.02793158763481</v>
      </c>
      <c r="W39" s="10">
        <f>-'Wert, AfA, Darlehen'!W110/12</f>
        <v>-165.0137434493945</v>
      </c>
      <c r="X39" s="10">
        <f>-'Wert, AfA, Darlehen'!X110/12</f>
        <v>-153.54797359748633</v>
      </c>
      <c r="Y39" s="10">
        <f>-'Wert, AfA, Darlehen'!Y110/12</f>
        <v>-141.61210718164995</v>
      </c>
      <c r="Z39" s="10">
        <f>-'Wert, AfA, Darlehen'!Z110/12</f>
        <v>-129.18687024276426</v>
      </c>
      <c r="AA39" s="10">
        <f>-'Wert, AfA, Darlehen'!AA110/12</f>
        <v>-116.25219858938425</v>
      </c>
      <c r="AB39" s="10">
        <f>-'Wert, AfA, Darlehen'!AB110/12</f>
        <v>-102.78720539821568</v>
      </c>
      <c r="AC39" s="10">
        <f>-'Wert, AfA, Darlehen'!AC110/12</f>
        <v>-88.770147486209183</v>
      </c>
      <c r="AD39" s="10">
        <f>-'Wert, AfA, Darlehen'!AD110/12</f>
        <v>-74.178390199810423</v>
      </c>
      <c r="AE39" s="10">
        <f>-'Wert, AfA, Darlehen'!AE110/12</f>
        <v>-58.988370864669299</v>
      </c>
      <c r="AF39" s="10">
        <f>-'Wert, AfA, Darlehen'!AF110/12</f>
        <v>-43.175560736787418</v>
      </c>
      <c r="AG39" s="10">
        <f>-'Wert, AfA, Darlehen'!AG110/12</f>
        <v>-26.714425393662367</v>
      </c>
      <c r="AH39" s="10">
        <f>-'Wert, AfA, Darlehen'!AH110/12</f>
        <v>-9.5783835014691885</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-94.098749999999995</v>
      </c>
      <c r="E40" s="10">
        <f>-'Wert, AfA, Darlehen'!E19-'Wert, AfA, Darlehen'!E24-'Wert, AfA, Darlehen'!E34</f>
        <v>-94.098749999999995</v>
      </c>
      <c r="F40" s="10">
        <f>-'Wert, AfA, Darlehen'!F19-'Wert, AfA, Darlehen'!F24-'Wert, AfA, Darlehen'!F34</f>
        <v>-94.098749999999995</v>
      </c>
      <c r="G40" s="10">
        <f>-'Wert, AfA, Darlehen'!G19-'Wert, AfA, Darlehen'!G24-'Wert, AfA, Darlehen'!G34</f>
        <v>-94.098749999999995</v>
      </c>
      <c r="H40" s="10">
        <f>-'Wert, AfA, Darlehen'!H19-'Wert, AfA, Darlehen'!H24-'Wert, AfA, Darlehen'!H34</f>
        <v>-94.098749999999995</v>
      </c>
      <c r="I40" s="10">
        <f>-'Wert, AfA, Darlehen'!I19-'Wert, AfA, Darlehen'!I24-'Wert, AfA, Darlehen'!I34</f>
        <v>-94.098749999999995</v>
      </c>
      <c r="J40" s="10">
        <f>-'Wert, AfA, Darlehen'!J19-'Wert, AfA, Darlehen'!J24-'Wert, AfA, Darlehen'!J34</f>
        <v>-94.098749999999995</v>
      </c>
      <c r="K40" s="10">
        <f>-'Wert, AfA, Darlehen'!K19-'Wert, AfA, Darlehen'!K24-'Wert, AfA, Darlehen'!K34</f>
        <v>-94.098749999999995</v>
      </c>
      <c r="L40" s="10">
        <f>-'Wert, AfA, Darlehen'!L19-'Wert, AfA, Darlehen'!L24-'Wert, AfA, Darlehen'!L34</f>
        <v>-94.098749999999995</v>
      </c>
      <c r="M40" s="10">
        <f>-'Wert, AfA, Darlehen'!M19-'Wert, AfA, Darlehen'!M24-'Wert, AfA, Darlehen'!M34</f>
        <v>-94.098749999999995</v>
      </c>
      <c r="N40" s="10">
        <f>-'Wert, AfA, Darlehen'!N19-'Wert, AfA, Darlehen'!N24-'Wert, AfA, Darlehen'!N34</f>
        <v>-94.098749999999995</v>
      </c>
      <c r="O40" s="10">
        <f>-'Wert, AfA, Darlehen'!O19-'Wert, AfA, Darlehen'!O24-'Wert, AfA, Darlehen'!O34</f>
        <v>-94.098749999999995</v>
      </c>
      <c r="P40" s="10">
        <f>-'Wert, AfA, Darlehen'!P19-'Wert, AfA, Darlehen'!P24-'Wert, AfA, Darlehen'!P34</f>
        <v>-94.098749999999995</v>
      </c>
      <c r="Q40" s="10">
        <f>-'Wert, AfA, Darlehen'!Q19-'Wert, AfA, Darlehen'!Q24-'Wert, AfA, Darlehen'!Q34</f>
        <v>-94.098749999999995</v>
      </c>
      <c r="R40" s="10">
        <f>-'Wert, AfA, Darlehen'!R19-'Wert, AfA, Darlehen'!R24-'Wert, AfA, Darlehen'!R34</f>
        <v>-94.098749999999995</v>
      </c>
      <c r="S40" s="10">
        <f>-'Wert, AfA, Darlehen'!S19-'Wert, AfA, Darlehen'!S24-'Wert, AfA, Darlehen'!S34</f>
        <v>-94.098749999999995</v>
      </c>
      <c r="T40" s="10">
        <f>-'Wert, AfA, Darlehen'!T19-'Wert, AfA, Darlehen'!T24-'Wert, AfA, Darlehen'!T34</f>
        <v>-94.098749999999995</v>
      </c>
      <c r="U40" s="10">
        <f>-'Wert, AfA, Darlehen'!U19-'Wert, AfA, Darlehen'!U24-'Wert, AfA, Darlehen'!U34</f>
        <v>-94.098749999999995</v>
      </c>
      <c r="V40" s="10">
        <f>-'Wert, AfA, Darlehen'!V19-'Wert, AfA, Darlehen'!V24-'Wert, AfA, Darlehen'!V34</f>
        <v>-94.098749999999995</v>
      </c>
      <c r="W40" s="10">
        <f>-'Wert, AfA, Darlehen'!W19-'Wert, AfA, Darlehen'!W24-'Wert, AfA, Darlehen'!W34</f>
        <v>-94.098749999999995</v>
      </c>
      <c r="X40" s="10">
        <f>-'Wert, AfA, Darlehen'!X19-'Wert, AfA, Darlehen'!X24-'Wert, AfA, Darlehen'!X34</f>
        <v>-94.098749999999995</v>
      </c>
      <c r="Y40" s="10">
        <f>-'Wert, AfA, Darlehen'!Y19-'Wert, AfA, Darlehen'!Y24-'Wert, AfA, Darlehen'!Y34</f>
        <v>-94.098749999999995</v>
      </c>
      <c r="Z40" s="10">
        <f>-'Wert, AfA, Darlehen'!Z19-'Wert, AfA, Darlehen'!Z24-'Wert, AfA, Darlehen'!Z34</f>
        <v>-94.098749999999995</v>
      </c>
      <c r="AA40" s="10">
        <f>-'Wert, AfA, Darlehen'!AA19-'Wert, AfA, Darlehen'!AA24-'Wert, AfA, Darlehen'!AA34</f>
        <v>-94.098749999999995</v>
      </c>
      <c r="AB40" s="10">
        <f>-'Wert, AfA, Darlehen'!AB19-'Wert, AfA, Darlehen'!AB24-'Wert, AfA, Darlehen'!AB34</f>
        <v>-94.098749999999995</v>
      </c>
      <c r="AC40" s="10">
        <f>-'Wert, AfA, Darlehen'!AC19-'Wert, AfA, Darlehen'!AC24-'Wert, AfA, Darlehen'!AC34</f>
        <v>-94.098749999999995</v>
      </c>
      <c r="AD40" s="10">
        <f>-'Wert, AfA, Darlehen'!AD19-'Wert, AfA, Darlehen'!AD24-'Wert, AfA, Darlehen'!AD34</f>
        <v>-94.098749999999995</v>
      </c>
      <c r="AE40" s="10">
        <f>-'Wert, AfA, Darlehen'!AE19-'Wert, AfA, Darlehen'!AE24-'Wert, AfA, Darlehen'!AE34</f>
        <v>-94.098749999999995</v>
      </c>
      <c r="AF40" s="10">
        <f>-'Wert, AfA, Darlehen'!AF19-'Wert, AfA, Darlehen'!AF24-'Wert, AfA, Darlehen'!AF34</f>
        <v>-94.098749999999995</v>
      </c>
      <c r="AG40" s="10">
        <f>-'Wert, AfA, Darlehen'!AG19-'Wert, AfA, Darlehen'!AG24-'Wert, AfA, Darlehen'!AG34</f>
        <v>-94.098749999999995</v>
      </c>
      <c r="AH40" s="10">
        <f>-'Wert, AfA, Darlehen'!AH19-'Wert, AfA, Darlehen'!AH24-'Wert, AfA, Darlehen'!AH34</f>
        <v>-94.098749999999995</v>
      </c>
      <c r="AI40" s="10">
        <f>-'Wert, AfA, Darlehen'!AI19-'Wert, AfA, Darlehen'!AI24-'Wert, AfA, Darlehen'!AI34</f>
        <v>-94.098749999999995</v>
      </c>
      <c r="AJ40" s="10">
        <f>-'Wert, AfA, Darlehen'!AJ19-'Wert, AfA, Darlehen'!AJ24-'Wert, AfA, Darlehen'!AJ34</f>
        <v>-94.098749999999995</v>
      </c>
      <c r="AK40" s="10">
        <f>-'Wert, AfA, Darlehen'!AK19-'Wert, AfA, Darlehen'!AK24-'Wert, AfA, Darlehen'!AK34</f>
        <v>-94.098749999999995</v>
      </c>
      <c r="AL40" s="10">
        <f>-'Wert, AfA, Darlehen'!AL19-'Wert, AfA, Darlehen'!AL24-'Wert, AfA, Darlehen'!AL34</f>
        <v>-94.098749999999995</v>
      </c>
      <c r="AM40" s="10">
        <f>-'Wert, AfA, Darlehen'!AM19-'Wert, AfA, Darlehen'!AM24-'Wert, AfA, Darlehen'!AM34</f>
        <v>-94.098749999999995</v>
      </c>
      <c r="AN40" s="10">
        <f>-'Wert, AfA, Darlehen'!AN19-'Wert, AfA, Darlehen'!AN24-'Wert, AfA, Darlehen'!AN34</f>
        <v>-94.098749999999995</v>
      </c>
      <c r="AO40" s="10">
        <f>-'Wert, AfA, Darlehen'!AO19-'Wert, AfA, Darlehen'!AO24-'Wert, AfA, Darlehen'!AO34</f>
        <v>-94.098749999999995</v>
      </c>
      <c r="AP40" s="10">
        <f>-'Wert, AfA, Darlehen'!AP19-'Wert, AfA, Darlehen'!AP24-'Wert, AfA, Darlehen'!AP34</f>
        <v>-94.098749999999995</v>
      </c>
      <c r="AQ40" s="10">
        <f>-'Wert, AfA, Darlehen'!AQ19-'Wert, AfA, Darlehen'!AQ24-'Wert, AfA, Darlehen'!AQ34</f>
        <v>-94.098749999999995</v>
      </c>
      <c r="AR40" s="10">
        <f>-'Wert, AfA, Darlehen'!AR19-'Wert, AfA, Darlehen'!AR24-'Wert, AfA, Darlehen'!AR34</f>
        <v>-94.098749999999995</v>
      </c>
      <c r="AS40" s="10">
        <f>-'Wert, AfA, Darlehen'!AS19-'Wert, AfA, Darlehen'!AS24-'Wert, AfA, Darlehen'!AS34</f>
        <v>-94.098749999999995</v>
      </c>
      <c r="AT40" s="10">
        <f>-'Wert, AfA, Darlehen'!AT19-'Wert, AfA, Darlehen'!AT24-'Wert, AfA, Darlehen'!AT34</f>
        <v>-94.098749999999995</v>
      </c>
      <c r="AU40" s="10">
        <f>-'Wert, AfA, Darlehen'!AU19-'Wert, AfA, Darlehen'!AU24-'Wert, AfA, Darlehen'!AU34</f>
        <v>-94.098749999999995</v>
      </c>
      <c r="AV40" s="10">
        <f>-'Wert, AfA, Darlehen'!AV19-'Wert, AfA, Darlehen'!AV24-'Wert, AfA, Darlehen'!AV34</f>
        <v>-94.098749999999995</v>
      </c>
      <c r="AW40" s="10">
        <f>-'Wert, AfA, Darlehen'!AW19-'Wert, AfA, Darlehen'!AW24-'Wert, AfA, Darlehen'!AW34</f>
        <v>-94.098749999999995</v>
      </c>
      <c r="AX40" s="10">
        <f>-'Wert, AfA, Darlehen'!AX19-'Wert, AfA, Darlehen'!AX24-'Wert, AfA, Darlehen'!AX34</f>
        <v>-94.098749999999995</v>
      </c>
      <c r="AY40" s="10">
        <f>-'Wert, AfA, Darlehen'!AY19-'Wert, AfA, Darlehen'!AY24-'Wert, AfA, Darlehen'!AY34</f>
        <v>-94.098749999999995</v>
      </c>
      <c r="AZ40" s="10">
        <f>-'Wert, AfA, Darlehen'!AZ19-'Wert, AfA, Darlehen'!AZ24-'Wert, AfA, Darlehen'!AZ34</f>
        <v>-94.098749999999995</v>
      </c>
      <c r="BA40" s="283">
        <f>-'Wert, AfA, Darlehen'!BA19-'Wert, AfA, Darlehen'!BA24-'Wert, AfA, Darlehen'!BA34</f>
        <v>-94.098749999999995</v>
      </c>
    </row>
    <row r="41" spans="1:53">
      <c r="B41" s="479" t="s">
        <v>37</v>
      </c>
      <c r="C41" s="480"/>
      <c r="D41" s="10">
        <f t="shared" ref="D41:AI41" si="26">SUM(D37:D40)</f>
        <v>-131.83208333333329</v>
      </c>
      <c r="E41" s="10">
        <f t="shared" si="26"/>
        <v>-108.43641666666662</v>
      </c>
      <c r="F41" s="10">
        <f t="shared" si="26"/>
        <v>-83.709419666666633</v>
      </c>
      <c r="G41" s="10">
        <f t="shared" si="26"/>
        <v>-57.574792829666535</v>
      </c>
      <c r="H41" s="10">
        <f t="shared" si="26"/>
        <v>-29.951817705149608</v>
      </c>
      <c r="I41" s="10">
        <f t="shared" si="26"/>
        <v>-0.75509852350336359</v>
      </c>
      <c r="J41" s="10">
        <f t="shared" si="26"/>
        <v>30.105711396319521</v>
      </c>
      <c r="K41" s="10">
        <f t="shared" si="26"/>
        <v>62.726199360773876</v>
      </c>
      <c r="L41" s="10">
        <f t="shared" si="26"/>
        <v>97.207500092471719</v>
      </c>
      <c r="M41" s="10">
        <f t="shared" si="26"/>
        <v>133.6566206096694</v>
      </c>
      <c r="N41" s="10">
        <f t="shared" si="26"/>
        <v>172.18678426664314</v>
      </c>
      <c r="O41" s="10">
        <f t="shared" si="26"/>
        <v>212.91779509089315</v>
      </c>
      <c r="P41" s="10">
        <f t="shared" si="26"/>
        <v>255.97642362071076</v>
      </c>
      <c r="Q41" s="10">
        <f t="shared" si="26"/>
        <v>301.49681551826279</v>
      </c>
      <c r="R41" s="10">
        <f t="shared" si="26"/>
        <v>349.62092430925031</v>
      </c>
      <c r="S41" s="10">
        <f t="shared" si="26"/>
        <v>400.49896968061978</v>
      </c>
      <c r="T41" s="10">
        <f t="shared" si="26"/>
        <v>454.2899228530373</v>
      </c>
      <c r="U41" s="10">
        <f t="shared" si="26"/>
        <v>511.16202063514197</v>
      </c>
      <c r="V41" s="10">
        <f t="shared" si="26"/>
        <v>571.29330986230207</v>
      </c>
      <c r="W41" s="10">
        <f t="shared" si="26"/>
        <v>634.87222402400982</v>
      </c>
      <c r="X41" s="10">
        <f t="shared" si="26"/>
        <v>702.09819399152286</v>
      </c>
      <c r="Y41" s="10">
        <f t="shared" si="26"/>
        <v>743.06729278716568</v>
      </c>
      <c r="Z41" s="10">
        <f t="shared" si="26"/>
        <v>785.40757677429474</v>
      </c>
      <c r="AA41" s="10">
        <f t="shared" si="26"/>
        <v>829.1657809383488</v>
      </c>
      <c r="AB41" s="10">
        <f t="shared" si="26"/>
        <v>874.39026734751519</v>
      </c>
      <c r="AC41" s="10">
        <f t="shared" si="26"/>
        <v>921.13108310070231</v>
      </c>
      <c r="AD41" s="10">
        <f t="shared" si="26"/>
        <v>969.44002038669385</v>
      </c>
      <c r="AE41" s="10">
        <f t="shared" si="26"/>
        <v>1019.3706787330549</v>
      </c>
      <c r="AF41" s="10">
        <f t="shared" si="26"/>
        <v>1070.9785295263659</v>
      </c>
      <c r="AG41" s="10">
        <f t="shared" si="26"/>
        <v>1124.3209828884328</v>
      </c>
      <c r="AH41" s="10">
        <f t="shared" si="26"/>
        <v>1179.4574569963575</v>
      </c>
      <c r="AI41" s="10">
        <f t="shared" si="26"/>
        <v>1228.1892138293747</v>
      </c>
      <c r="AJ41" s="10">
        <f t="shared" ref="AJ41:BA41" si="27">SUM(AJ37:AJ40)</f>
        <v>1268.5303750732019</v>
      </c>
      <c r="AK41" s="10">
        <f t="shared" si="27"/>
        <v>1310.0952216009232</v>
      </c>
      <c r="AL41" s="10">
        <f t="shared" si="27"/>
        <v>1352.920732979986</v>
      </c>
      <c r="AM41" s="10">
        <f t="shared" si="27"/>
        <v>1397.0450035450417</v>
      </c>
      <c r="AN41" s="10">
        <f t="shared" si="27"/>
        <v>1442.507275948562</v>
      </c>
      <c r="AO41" s="10">
        <f t="shared" si="27"/>
        <v>1489.3479757201317</v>
      </c>
      <c r="AP41" s="10">
        <f t="shared" si="27"/>
        <v>1537.6087468647102</v>
      </c>
      <c r="AQ41" s="10">
        <f t="shared" si="27"/>
        <v>1587.3324885310863</v>
      </c>
      <c r="AR41" s="10">
        <f t="shared" si="27"/>
        <v>1638.5633927826616</v>
      </c>
      <c r="AS41" s="10">
        <f t="shared" si="27"/>
        <v>1691.3469835036972</v>
      </c>
      <c r="AT41" s="10">
        <f t="shared" si="27"/>
        <v>1745.7301564751151</v>
      </c>
      <c r="AU41" s="10">
        <f t="shared" si="27"/>
        <v>1801.7612206550016</v>
      </c>
      <c r="AV41" s="10">
        <f t="shared" si="27"/>
        <v>1859.4899406999975</v>
      </c>
      <c r="AW41" s="10">
        <f t="shared" si="27"/>
        <v>1918.96758076485</v>
      </c>
      <c r="AX41" s="10">
        <f t="shared" si="27"/>
        <v>1980.2469496185254</v>
      </c>
      <c r="AY41" s="10">
        <f t="shared" si="27"/>
        <v>2043.3824471164257</v>
      </c>
      <c r="AZ41" s="10">
        <f t="shared" si="27"/>
        <v>2108.4301120694499</v>
      </c>
      <c r="BA41" s="283">
        <f t="shared" si="27"/>
        <v>2175.4476715518549</v>
      </c>
    </row>
    <row r="42" spans="1:53">
      <c r="B42" s="479" t="s">
        <v>294</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2" t="s">
        <v>40</v>
      </c>
      <c r="C43" s="483"/>
      <c r="D43" s="284">
        <f t="shared" ref="D43:AI43" si="30">D42*D41</f>
        <v>-52.732833333333318</v>
      </c>
      <c r="E43" s="284">
        <f t="shared" si="30"/>
        <v>-43.374566666666652</v>
      </c>
      <c r="F43" s="284">
        <f t="shared" si="30"/>
        <v>-33.483767866666653</v>
      </c>
      <c r="G43" s="284">
        <f t="shared" si="30"/>
        <v>-23.029917131866615</v>
      </c>
      <c r="H43" s="284">
        <f t="shared" si="30"/>
        <v>-11.980727082059843</v>
      </c>
      <c r="I43" s="284">
        <f t="shared" si="30"/>
        <v>-0.30203940940134544</v>
      </c>
      <c r="J43" s="284">
        <f t="shared" si="30"/>
        <v>12.042284558527809</v>
      </c>
      <c r="K43" s="284">
        <f t="shared" si="30"/>
        <v>25.090479744309551</v>
      </c>
      <c r="L43" s="284">
        <f t="shared" si="30"/>
        <v>38.88300003698869</v>
      </c>
      <c r="M43" s="284">
        <f t="shared" si="30"/>
        <v>53.462648243867761</v>
      </c>
      <c r="N43" s="284">
        <f t="shared" si="30"/>
        <v>68.874713706657261</v>
      </c>
      <c r="O43" s="284">
        <f t="shared" si="30"/>
        <v>85.167118036357266</v>
      </c>
      <c r="P43" s="284">
        <f t="shared" si="30"/>
        <v>102.39056944828431</v>
      </c>
      <c r="Q43" s="284">
        <f t="shared" si="30"/>
        <v>120.59872620730512</v>
      </c>
      <c r="R43" s="284">
        <f t="shared" si="30"/>
        <v>139.84836972370013</v>
      </c>
      <c r="S43" s="284">
        <f t="shared" si="30"/>
        <v>160.19958787224792</v>
      </c>
      <c r="T43" s="284">
        <f t="shared" si="30"/>
        <v>181.71596914121494</v>
      </c>
      <c r="U43" s="284">
        <f t="shared" si="30"/>
        <v>204.46480825405681</v>
      </c>
      <c r="V43" s="284">
        <f t="shared" si="30"/>
        <v>228.51732394492083</v>
      </c>
      <c r="W43" s="284">
        <f t="shared" si="30"/>
        <v>253.94888960960395</v>
      </c>
      <c r="X43" s="284">
        <f t="shared" si="30"/>
        <v>280.83927759660918</v>
      </c>
      <c r="Y43" s="284">
        <f t="shared" si="30"/>
        <v>297.2269171148663</v>
      </c>
      <c r="Z43" s="284">
        <f t="shared" si="30"/>
        <v>314.16303070971793</v>
      </c>
      <c r="AA43" s="284">
        <f t="shared" si="30"/>
        <v>331.66631237533954</v>
      </c>
      <c r="AB43" s="284">
        <f t="shared" si="30"/>
        <v>349.75610693900609</v>
      </c>
      <c r="AC43" s="284">
        <f t="shared" si="30"/>
        <v>368.45243324028093</v>
      </c>
      <c r="AD43" s="284">
        <f t="shared" si="30"/>
        <v>387.77600815467758</v>
      </c>
      <c r="AE43" s="284">
        <f t="shared" si="30"/>
        <v>407.74827149322198</v>
      </c>
      <c r="AF43" s="284">
        <f t="shared" si="30"/>
        <v>428.3914118105464</v>
      </c>
      <c r="AG43" s="284">
        <f t="shared" si="30"/>
        <v>449.72839315537317</v>
      </c>
      <c r="AH43" s="284">
        <f t="shared" si="30"/>
        <v>471.782982798543</v>
      </c>
      <c r="AI43" s="284">
        <f t="shared" si="30"/>
        <v>491.2756855317499</v>
      </c>
      <c r="AJ43" s="284">
        <f t="shared" ref="AJ43:BA43" si="31">AJ42*AJ41</f>
        <v>507.41215002928078</v>
      </c>
      <c r="AK43" s="284">
        <f t="shared" si="31"/>
        <v>524.03808864036932</v>
      </c>
      <c r="AL43" s="284">
        <f t="shared" si="31"/>
        <v>541.16829319199439</v>
      </c>
      <c r="AM43" s="284">
        <f t="shared" si="31"/>
        <v>558.81800141801671</v>
      </c>
      <c r="AN43" s="284">
        <f t="shared" si="31"/>
        <v>577.00291037942486</v>
      </c>
      <c r="AO43" s="284">
        <f t="shared" si="31"/>
        <v>595.73919028805267</v>
      </c>
      <c r="AP43" s="284">
        <f t="shared" si="31"/>
        <v>615.04349874588411</v>
      </c>
      <c r="AQ43" s="284">
        <f t="shared" si="31"/>
        <v>634.93299541243459</v>
      </c>
      <c r="AR43" s="284">
        <f t="shared" si="31"/>
        <v>655.42535711306471</v>
      </c>
      <c r="AS43" s="284">
        <f t="shared" si="31"/>
        <v>676.53879340147887</v>
      </c>
      <c r="AT43" s="284">
        <f t="shared" si="31"/>
        <v>698.29206259004604</v>
      </c>
      <c r="AU43" s="284">
        <f t="shared" si="31"/>
        <v>720.70448826200072</v>
      </c>
      <c r="AV43" s="284">
        <f t="shared" si="31"/>
        <v>743.79597627999908</v>
      </c>
      <c r="AW43" s="284">
        <f t="shared" si="31"/>
        <v>767.58703230594006</v>
      </c>
      <c r="AX43" s="284">
        <f t="shared" si="31"/>
        <v>792.09877984741024</v>
      </c>
      <c r="AY43" s="284">
        <f t="shared" si="31"/>
        <v>817.35297884657029</v>
      </c>
      <c r="AZ43" s="284">
        <f t="shared" si="31"/>
        <v>843.37204482777997</v>
      </c>
      <c r="BA43" s="285">
        <f t="shared" si="31"/>
        <v>870.17906862074199</v>
      </c>
    </row>
    <row r="45" spans="1:53">
      <c r="B45" s="135" t="s">
        <v>372</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39:C39"/>
    <mergeCell ref="B40:C40"/>
    <mergeCell ref="B41:C41"/>
    <mergeCell ref="B42:C42"/>
    <mergeCell ref="B43:C43"/>
    <mergeCell ref="B28:C28"/>
    <mergeCell ref="B37:C37"/>
    <mergeCell ref="B38:C38"/>
    <mergeCell ref="B32:C32"/>
    <mergeCell ref="B33:C33"/>
    <mergeCell ref="B24:C24"/>
    <mergeCell ref="B25:C25"/>
    <mergeCell ref="B23:C23"/>
    <mergeCell ref="B26:C26"/>
    <mergeCell ref="B27:C27"/>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AC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351</v>
      </c>
      <c r="C1" s="425"/>
      <c r="E1" s="481" t="s">
        <v>359</v>
      </c>
      <c r="F1" s="481"/>
      <c r="G1" s="481"/>
      <c r="H1" s="481"/>
      <c r="I1" s="481"/>
      <c r="J1" s="425" t="s">
        <v>469</v>
      </c>
      <c r="K1" s="425"/>
      <c r="L1" s="425"/>
      <c r="M1" s="425"/>
      <c r="N1" s="425"/>
      <c r="O1" s="425"/>
      <c r="P1" s="425"/>
      <c r="Q1" s="425"/>
      <c r="R1" s="425"/>
      <c r="T1" s="425"/>
      <c r="U1" s="425"/>
    </row>
    <row r="2" spans="1:53" s="150" customFormat="1" ht="15" customHeight="1">
      <c r="B2" s="425"/>
      <c r="C2" s="425"/>
      <c r="E2" s="481"/>
      <c r="F2" s="481"/>
      <c r="G2" s="481"/>
      <c r="H2" s="481"/>
      <c r="I2" s="481"/>
      <c r="J2" s="425"/>
      <c r="K2" s="425"/>
      <c r="L2" s="425"/>
      <c r="M2" s="425"/>
      <c r="N2" s="425"/>
      <c r="O2" s="425"/>
      <c r="P2" s="425"/>
      <c r="Q2" s="425"/>
      <c r="R2" s="425"/>
      <c r="T2" s="425"/>
      <c r="U2" s="425"/>
    </row>
    <row r="3" spans="1:53" s="150" customFormat="1" ht="12.75" customHeight="1">
      <c r="B3" s="425"/>
      <c r="C3" s="425"/>
      <c r="E3" s="481"/>
      <c r="F3" s="481"/>
      <c r="G3" s="481"/>
      <c r="H3" s="481"/>
      <c r="I3" s="481"/>
      <c r="J3" s="425"/>
      <c r="K3" s="425"/>
      <c r="L3" s="425"/>
      <c r="M3" s="425"/>
      <c r="N3" s="425"/>
      <c r="O3" s="425"/>
      <c r="P3" s="425"/>
      <c r="Q3" s="425"/>
      <c r="R3" s="425"/>
      <c r="T3" s="425"/>
      <c r="U3" s="425"/>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4" t="s">
        <v>65</v>
      </c>
      <c r="C8" s="485"/>
      <c r="D8" s="291">
        <f>Cockpit!D14+Cockpit!E30</f>
        <v>115000</v>
      </c>
      <c r="E8" s="291">
        <f>D12</f>
        <v>117300</v>
      </c>
      <c r="F8" s="291">
        <f t="shared" ref="F8:BA8" si="1">E12</f>
        <v>119646</v>
      </c>
      <c r="G8" s="291">
        <f t="shared" si="1"/>
        <v>122038.92</v>
      </c>
      <c r="H8" s="291">
        <f t="shared" si="1"/>
        <v>124479.69839999999</v>
      </c>
      <c r="I8" s="291">
        <f t="shared" si="1"/>
        <v>126969.29236799999</v>
      </c>
      <c r="J8" s="291">
        <f t="shared" si="1"/>
        <v>129508.67821535999</v>
      </c>
      <c r="K8" s="291">
        <f t="shared" si="1"/>
        <v>132098.85177966719</v>
      </c>
      <c r="L8" s="291">
        <f t="shared" si="1"/>
        <v>134740.82881526055</v>
      </c>
      <c r="M8" s="291">
        <f t="shared" si="1"/>
        <v>137435.64539156578</v>
      </c>
      <c r="N8" s="291">
        <f t="shared" si="1"/>
        <v>140184.35829939711</v>
      </c>
      <c r="O8" s="291">
        <f t="shared" si="1"/>
        <v>142988.04546538505</v>
      </c>
      <c r="P8" s="291">
        <f t="shared" si="1"/>
        <v>145847.80637469274</v>
      </c>
      <c r="Q8" s="291">
        <f t="shared" si="1"/>
        <v>148764.76250218658</v>
      </c>
      <c r="R8" s="291">
        <f t="shared" si="1"/>
        <v>151740.05775223032</v>
      </c>
      <c r="S8" s="291">
        <f t="shared" si="1"/>
        <v>154774.85890727493</v>
      </c>
      <c r="T8" s="291">
        <f t="shared" si="1"/>
        <v>157870.35608542044</v>
      </c>
      <c r="U8" s="291">
        <f t="shared" si="1"/>
        <v>161027.76320712885</v>
      </c>
      <c r="V8" s="291">
        <f t="shared" si="1"/>
        <v>164248.31847127143</v>
      </c>
      <c r="W8" s="291">
        <f t="shared" si="1"/>
        <v>167533.28484069687</v>
      </c>
      <c r="X8" s="291">
        <f t="shared" si="1"/>
        <v>170883.9505375108</v>
      </c>
      <c r="Y8" s="291">
        <f t="shared" si="1"/>
        <v>174301.629548261</v>
      </c>
      <c r="Z8" s="291">
        <f t="shared" si="1"/>
        <v>177787.66213922622</v>
      </c>
      <c r="AA8" s="291">
        <f t="shared" si="1"/>
        <v>181343.41538201075</v>
      </c>
      <c r="AB8" s="291">
        <f t="shared" si="1"/>
        <v>184970.28368965097</v>
      </c>
      <c r="AC8" s="291">
        <f t="shared" si="1"/>
        <v>188669.68936344399</v>
      </c>
      <c r="AD8" s="291">
        <f t="shared" si="1"/>
        <v>192443.08315071286</v>
      </c>
      <c r="AE8" s="291">
        <f t="shared" si="1"/>
        <v>196291.94481372711</v>
      </c>
      <c r="AF8" s="291">
        <f t="shared" si="1"/>
        <v>200217.78371000165</v>
      </c>
      <c r="AG8" s="291">
        <f t="shared" si="1"/>
        <v>204222.13938420167</v>
      </c>
      <c r="AH8" s="291">
        <f t="shared" si="1"/>
        <v>208306.5821718857</v>
      </c>
      <c r="AI8" s="291">
        <f t="shared" si="1"/>
        <v>212472.71381532343</v>
      </c>
      <c r="AJ8" s="291">
        <f t="shared" si="1"/>
        <v>216722.16809162989</v>
      </c>
      <c r="AK8" s="291">
        <f t="shared" si="1"/>
        <v>221056.61145346248</v>
      </c>
      <c r="AL8" s="291">
        <f t="shared" si="1"/>
        <v>225477.74368253173</v>
      </c>
      <c r="AM8" s="291">
        <f t="shared" si="1"/>
        <v>229987.29855618236</v>
      </c>
      <c r="AN8" s="291">
        <f t="shared" si="1"/>
        <v>234587.04452730602</v>
      </c>
      <c r="AO8" s="291">
        <f t="shared" si="1"/>
        <v>239278.78541785214</v>
      </c>
      <c r="AP8" s="291">
        <f t="shared" si="1"/>
        <v>244064.36112620917</v>
      </c>
      <c r="AQ8" s="291">
        <f t="shared" si="1"/>
        <v>248945.64834873335</v>
      </c>
      <c r="AR8" s="291">
        <f t="shared" si="1"/>
        <v>253924.56131570801</v>
      </c>
      <c r="AS8" s="291">
        <f t="shared" si="1"/>
        <v>259003.05254202217</v>
      </c>
      <c r="AT8" s="291">
        <f t="shared" si="1"/>
        <v>264183.11359286262</v>
      </c>
      <c r="AU8" s="291">
        <f t="shared" si="1"/>
        <v>269466.77586471988</v>
      </c>
      <c r="AV8" s="291">
        <f t="shared" si="1"/>
        <v>274856.11138201429</v>
      </c>
      <c r="AW8" s="291">
        <f t="shared" si="1"/>
        <v>280353.23360965459</v>
      </c>
      <c r="AX8" s="291">
        <f t="shared" si="1"/>
        <v>285960.29828184767</v>
      </c>
      <c r="AY8" s="291">
        <f t="shared" si="1"/>
        <v>291679.50424748461</v>
      </c>
      <c r="AZ8" s="291">
        <f t="shared" si="1"/>
        <v>297513.0943324343</v>
      </c>
      <c r="BA8" s="292">
        <f t="shared" si="1"/>
        <v>303463.35621908295</v>
      </c>
    </row>
    <row r="9" spans="1:53">
      <c r="A9"/>
      <c r="B9" s="440" t="s">
        <v>66</v>
      </c>
      <c r="C9" s="441"/>
      <c r="D9" s="4">
        <f>D8-'Wert, AfA, Darlehen'!D106</f>
        <v>23000</v>
      </c>
      <c r="E9" s="4">
        <f>E8-'Wert, AfA, Darlehen'!E106</f>
        <v>26864</v>
      </c>
      <c r="F9" s="4">
        <f>F8-'Wert, AfA, Darlehen'!F106</f>
        <v>30838.123999999996</v>
      </c>
      <c r="G9" s="4">
        <f>G8-'Wert, AfA, Darlehen'!G106</f>
        <v>34925.921083999987</v>
      </c>
      <c r="H9" s="4">
        <f>H8-'Wert, AfA, Darlehen'!H106</f>
        <v>39131.066528443975</v>
      </c>
      <c r="I9" s="4">
        <f>I8-'Wert, AfA, Darlehen'!I106</f>
        <v>43457.366589710175</v>
      </c>
      <c r="J9" s="4">
        <f>J8-'Wert, AfA, Darlehen'!J106</f>
        <v>47908.763480160284</v>
      </c>
      <c r="K9" s="4">
        <f>K8-'Wert, AfA, Darlehen'!K106</f>
        <v>52489.340540324294</v>
      </c>
      <c r="L9" s="4">
        <f>L8-'Wert, AfA, Darlehen'!L106</f>
        <v>57203.327615104587</v>
      </c>
      <c r="M9" s="4">
        <f>M8-'Wert, AfA, Darlehen'!M106</f>
        <v>62055.10664220342</v>
      </c>
      <c r="N9" s="4">
        <f>N8-'Wert, AfA, Darlehen'!N106</f>
        <v>67049.217461310895</v>
      </c>
      <c r="O9" s="4">
        <f>O8-'Wert, AfA, Darlehen'!O106</f>
        <v>72190.363852937298</v>
      </c>
      <c r="P9" s="4">
        <f>P8-'Wert, AfA, Darlehen'!P106</f>
        <v>77483.419816134628</v>
      </c>
      <c r="Q9" s="4">
        <f>Q8-'Wert, AfA, Darlehen'!Q106</f>
        <v>82933.436094727585</v>
      </c>
      <c r="R9" s="4">
        <f>R8-'Wert, AfA, Darlehen'!R106</f>
        <v>88545.646962065512</v>
      </c>
      <c r="S9" s="4">
        <f>S8-'Wert, AfA, Darlehen'!S106</f>
        <v>94325.477274713354</v>
      </c>
      <c r="T9" s="4">
        <f>T8-'Wert, AfA, Darlehen'!T106</f>
        <v>100278.54980592383</v>
      </c>
      <c r="U9" s="4">
        <f>U8-'Wert, AfA, Darlehen'!U106</f>
        <v>106410.69287017289</v>
      </c>
      <c r="V9" s="4">
        <f>V8-'Wert, AfA, Darlehen'!V106</f>
        <v>112727.94825050027</v>
      </c>
      <c r="W9" s="4">
        <f>W8-'Wert, AfA, Darlehen'!W106</f>
        <v>119236.57944087409</v>
      </c>
      <c r="X9" s="4">
        <f>X8-'Wert, AfA, Darlehen'!X106</f>
        <v>125943.08021629529</v>
      </c>
      <c r="Y9" s="4">
        <f>Y8-'Wert, AfA, Darlehen'!Y106</f>
        <v>132854.18354387564</v>
      </c>
      <c r="Z9" s="4">
        <f>Z8-'Wert, AfA, Darlehen'!Z106</f>
        <v>139976.87084866106</v>
      </c>
      <c r="AA9" s="4">
        <f>AA8-'Wert, AfA, Darlehen'!AA106</f>
        <v>147318.38164853244</v>
      </c>
      <c r="AB9" s="4">
        <f>AB8-'Wert, AfA, Darlehen'!AB106</f>
        <v>154886.22357310005</v>
      </c>
      <c r="AC9" s="4">
        <f>AC8-'Wert, AfA, Darlehen'!AC106</f>
        <v>162688.18278211448</v>
      </c>
      <c r="AD9" s="4">
        <f>AD8-'Wert, AfA, Darlehen'!AD106</f>
        <v>170732.33479954884</v>
      </c>
      <c r="AE9" s="4">
        <f>AE8-'Wert, AfA, Darlehen'!AE106</f>
        <v>179027.05578016536</v>
      </c>
      <c r="AF9" s="4">
        <f>AF8-'Wert, AfA, Darlehen'!AF106</f>
        <v>187581.03422606387</v>
      </c>
      <c r="AG9" s="4">
        <f>AG8-'Wert, AfA, Darlehen'!AG106</f>
        <v>196403.28317142243</v>
      </c>
      <c r="AH9" s="4">
        <f>AH8-'Wert, AfA, Darlehen'!AH106</f>
        <v>205503.15285438253</v>
      </c>
      <c r="AI9" s="4">
        <f>AI8-'Wert, AfA, Darlehen'!AI106</f>
        <v>212472.71381532343</v>
      </c>
      <c r="AJ9" s="4">
        <f>AJ8-'Wert, AfA, Darlehen'!AJ106</f>
        <v>216722.16809162989</v>
      </c>
      <c r="AK9" s="4">
        <f>AK8-'Wert, AfA, Darlehen'!AK106</f>
        <v>221056.61145346248</v>
      </c>
      <c r="AL9" s="4">
        <f>AL8-'Wert, AfA, Darlehen'!AL106</f>
        <v>225477.74368253173</v>
      </c>
      <c r="AM9" s="4">
        <f>AM8-'Wert, AfA, Darlehen'!AM106</f>
        <v>229987.29855618236</v>
      </c>
      <c r="AN9" s="4">
        <f>AN8-'Wert, AfA, Darlehen'!AN106</f>
        <v>234587.04452730602</v>
      </c>
      <c r="AO9" s="4">
        <f>AO8-'Wert, AfA, Darlehen'!AO106</f>
        <v>239278.78541785214</v>
      </c>
      <c r="AP9" s="4">
        <f>AP8-'Wert, AfA, Darlehen'!AP106</f>
        <v>244064.36112620917</v>
      </c>
      <c r="AQ9" s="4">
        <f>AQ8-'Wert, AfA, Darlehen'!AQ106</f>
        <v>248945.64834873335</v>
      </c>
      <c r="AR9" s="4">
        <f>AR8-'Wert, AfA, Darlehen'!AR106</f>
        <v>253924.56131570801</v>
      </c>
      <c r="AS9" s="4">
        <f>AS8-'Wert, AfA, Darlehen'!AS106</f>
        <v>259003.05254202217</v>
      </c>
      <c r="AT9" s="4">
        <f>AT8-'Wert, AfA, Darlehen'!AT106</f>
        <v>264183.11359286262</v>
      </c>
      <c r="AU9" s="4">
        <f>AU8-'Wert, AfA, Darlehen'!AU106</f>
        <v>269466.77586471988</v>
      </c>
      <c r="AV9" s="4">
        <f>AV8-'Wert, AfA, Darlehen'!AV106</f>
        <v>274856.11138201429</v>
      </c>
      <c r="AW9" s="4">
        <f>AW8-'Wert, AfA, Darlehen'!AW106</f>
        <v>280353.23360965459</v>
      </c>
      <c r="AX9" s="4">
        <f>AX8-'Wert, AfA, Darlehen'!AX106</f>
        <v>285960.29828184767</v>
      </c>
      <c r="AY9" s="4">
        <f>AY8-'Wert, AfA, Darlehen'!AY106</f>
        <v>291679.50424748461</v>
      </c>
      <c r="AZ9" s="4">
        <f>AZ8-'Wert, AfA, Darlehen'!AZ106</f>
        <v>297513.0943324343</v>
      </c>
      <c r="BA9" s="295">
        <f>BA8-'Wert, AfA, Darlehen'!BA106</f>
        <v>303463.35621908295</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40" t="s">
        <v>92</v>
      </c>
      <c r="C11" s="441"/>
      <c r="D11" s="4">
        <f>D8*D10</f>
        <v>2300</v>
      </c>
      <c r="E11" s="4">
        <f>E8*E10</f>
        <v>2346</v>
      </c>
      <c r="F11" s="4">
        <f>F8*F10</f>
        <v>2392.92</v>
      </c>
      <c r="G11" s="4">
        <f t="shared" ref="G11:BA11" si="3">G8*G10</f>
        <v>2440.7784000000001</v>
      </c>
      <c r="H11" s="4">
        <f t="shared" si="3"/>
        <v>2489.5939680000001</v>
      </c>
      <c r="I11" s="4">
        <f t="shared" si="3"/>
        <v>2539.3858473599998</v>
      </c>
      <c r="J11" s="4">
        <f t="shared" si="3"/>
        <v>2590.1735643071997</v>
      </c>
      <c r="K11" s="4">
        <f t="shared" si="3"/>
        <v>2641.9770355933438</v>
      </c>
      <c r="L11" s="4">
        <f t="shared" si="3"/>
        <v>2694.8165763052111</v>
      </c>
      <c r="M11" s="4">
        <f t="shared" si="3"/>
        <v>2748.7129078313155</v>
      </c>
      <c r="N11" s="4">
        <f t="shared" si="3"/>
        <v>2803.6871659879421</v>
      </c>
      <c r="O11" s="4">
        <f t="shared" si="3"/>
        <v>2859.7609093077008</v>
      </c>
      <c r="P11" s="4">
        <f t="shared" si="3"/>
        <v>2916.9561274938546</v>
      </c>
      <c r="Q11" s="4">
        <f t="shared" si="3"/>
        <v>2975.2952500437318</v>
      </c>
      <c r="R11" s="4">
        <f t="shared" si="3"/>
        <v>3034.8011550446063</v>
      </c>
      <c r="S11" s="4">
        <f t="shared" si="3"/>
        <v>3095.4971781454988</v>
      </c>
      <c r="T11" s="4">
        <f t="shared" si="3"/>
        <v>3157.4071217084088</v>
      </c>
      <c r="U11" s="4">
        <f t="shared" si="3"/>
        <v>3220.555264142577</v>
      </c>
      <c r="V11" s="4">
        <f t="shared" si="3"/>
        <v>3284.9663694254286</v>
      </c>
      <c r="W11" s="4">
        <f t="shared" si="3"/>
        <v>3350.6656968139373</v>
      </c>
      <c r="X11" s="4">
        <f t="shared" si="3"/>
        <v>3417.6790107502161</v>
      </c>
      <c r="Y11" s="4">
        <f t="shared" si="3"/>
        <v>3486.0325909652202</v>
      </c>
      <c r="Z11" s="4">
        <f t="shared" si="3"/>
        <v>3555.7532427845244</v>
      </c>
      <c r="AA11" s="4">
        <f t="shared" si="3"/>
        <v>3626.8683076402149</v>
      </c>
      <c r="AB11" s="4">
        <f t="shared" si="3"/>
        <v>3699.4056737930196</v>
      </c>
      <c r="AC11" s="4">
        <f t="shared" si="3"/>
        <v>3773.3937872688798</v>
      </c>
      <c r="AD11" s="4">
        <f t="shared" si="3"/>
        <v>3848.8616630142574</v>
      </c>
      <c r="AE11" s="4">
        <f t="shared" si="3"/>
        <v>3925.8388962745421</v>
      </c>
      <c r="AF11" s="4">
        <f t="shared" si="3"/>
        <v>4004.3556742000333</v>
      </c>
      <c r="AG11" s="4">
        <f t="shared" si="3"/>
        <v>4084.4427876840336</v>
      </c>
      <c r="AH11" s="4">
        <f t="shared" si="3"/>
        <v>4166.131643437714</v>
      </c>
      <c r="AI11" s="4">
        <f t="shared" si="3"/>
        <v>4249.4542763064683</v>
      </c>
      <c r="AJ11" s="4">
        <f t="shared" si="3"/>
        <v>4334.4433618325984</v>
      </c>
      <c r="AK11" s="4">
        <f t="shared" si="3"/>
        <v>4421.1322290692497</v>
      </c>
      <c r="AL11" s="4">
        <f t="shared" si="3"/>
        <v>4509.5548736506344</v>
      </c>
      <c r="AM11" s="4">
        <f t="shared" si="3"/>
        <v>4599.745971123647</v>
      </c>
      <c r="AN11" s="4">
        <f t="shared" si="3"/>
        <v>4691.7408905461207</v>
      </c>
      <c r="AO11" s="4">
        <f t="shared" si="3"/>
        <v>4785.5757083570425</v>
      </c>
      <c r="AP11" s="4">
        <f t="shared" si="3"/>
        <v>4881.2872225241836</v>
      </c>
      <c r="AQ11" s="4">
        <f t="shared" si="3"/>
        <v>4978.9129669746671</v>
      </c>
      <c r="AR11" s="4">
        <f t="shared" si="3"/>
        <v>5078.4912263141605</v>
      </c>
      <c r="AS11" s="4">
        <f t="shared" si="3"/>
        <v>5180.0610508404434</v>
      </c>
      <c r="AT11" s="4">
        <f t="shared" si="3"/>
        <v>5283.6622718572526</v>
      </c>
      <c r="AU11" s="4">
        <f t="shared" si="3"/>
        <v>5389.3355172943975</v>
      </c>
      <c r="AV11" s="4">
        <f t="shared" si="3"/>
        <v>5497.1222276402859</v>
      </c>
      <c r="AW11" s="4">
        <f t="shared" si="3"/>
        <v>5607.0646721930916</v>
      </c>
      <c r="AX11" s="4">
        <f t="shared" si="3"/>
        <v>5719.2059656369538</v>
      </c>
      <c r="AY11" s="4">
        <f t="shared" si="3"/>
        <v>5833.590084949692</v>
      </c>
      <c r="AZ11" s="4">
        <f t="shared" si="3"/>
        <v>5950.2618866486864</v>
      </c>
      <c r="BA11" s="295">
        <f t="shared" si="3"/>
        <v>6069.2671243816594</v>
      </c>
    </row>
    <row r="12" spans="1:53" ht="15.75" thickBot="1">
      <c r="A12"/>
      <c r="B12" s="498" t="s">
        <v>280</v>
      </c>
      <c r="C12" s="499"/>
      <c r="D12" s="305">
        <f>D8+D11</f>
        <v>117300</v>
      </c>
      <c r="E12" s="305">
        <f t="shared" ref="E12:BA12" si="4">E8+E11</f>
        <v>119646</v>
      </c>
      <c r="F12" s="305">
        <f t="shared" si="4"/>
        <v>122038.92</v>
      </c>
      <c r="G12" s="305">
        <f t="shared" si="4"/>
        <v>124479.69839999999</v>
      </c>
      <c r="H12" s="305">
        <f t="shared" si="4"/>
        <v>126969.29236799999</v>
      </c>
      <c r="I12" s="305">
        <f t="shared" si="4"/>
        <v>129508.67821535999</v>
      </c>
      <c r="J12" s="305">
        <f t="shared" si="4"/>
        <v>132098.85177966719</v>
      </c>
      <c r="K12" s="305">
        <f t="shared" si="4"/>
        <v>134740.82881526055</v>
      </c>
      <c r="L12" s="305">
        <f t="shared" si="4"/>
        <v>137435.64539156578</v>
      </c>
      <c r="M12" s="305">
        <f t="shared" si="4"/>
        <v>140184.35829939711</v>
      </c>
      <c r="N12" s="305">
        <f t="shared" si="4"/>
        <v>142988.04546538505</v>
      </c>
      <c r="O12" s="305">
        <f t="shared" si="4"/>
        <v>145847.80637469274</v>
      </c>
      <c r="P12" s="305">
        <f t="shared" si="4"/>
        <v>148764.76250218658</v>
      </c>
      <c r="Q12" s="305">
        <f t="shared" si="4"/>
        <v>151740.05775223032</v>
      </c>
      <c r="R12" s="305">
        <f t="shared" si="4"/>
        <v>154774.85890727493</v>
      </c>
      <c r="S12" s="305">
        <f t="shared" si="4"/>
        <v>157870.35608542044</v>
      </c>
      <c r="T12" s="305">
        <f t="shared" si="4"/>
        <v>161027.76320712885</v>
      </c>
      <c r="U12" s="305">
        <f t="shared" si="4"/>
        <v>164248.31847127143</v>
      </c>
      <c r="V12" s="305">
        <f t="shared" si="4"/>
        <v>167533.28484069687</v>
      </c>
      <c r="W12" s="305">
        <f t="shared" si="4"/>
        <v>170883.9505375108</v>
      </c>
      <c r="X12" s="305">
        <f t="shared" si="4"/>
        <v>174301.629548261</v>
      </c>
      <c r="Y12" s="305">
        <f t="shared" si="4"/>
        <v>177787.66213922622</v>
      </c>
      <c r="Z12" s="305">
        <f t="shared" si="4"/>
        <v>181343.41538201075</v>
      </c>
      <c r="AA12" s="305">
        <f t="shared" si="4"/>
        <v>184970.28368965097</v>
      </c>
      <c r="AB12" s="305">
        <f t="shared" si="4"/>
        <v>188669.68936344399</v>
      </c>
      <c r="AC12" s="305">
        <f t="shared" si="4"/>
        <v>192443.08315071286</v>
      </c>
      <c r="AD12" s="305">
        <f t="shared" si="4"/>
        <v>196291.94481372711</v>
      </c>
      <c r="AE12" s="305">
        <f t="shared" si="4"/>
        <v>200217.78371000165</v>
      </c>
      <c r="AF12" s="305">
        <f t="shared" si="4"/>
        <v>204222.13938420167</v>
      </c>
      <c r="AG12" s="305">
        <f t="shared" si="4"/>
        <v>208306.5821718857</v>
      </c>
      <c r="AH12" s="305">
        <f t="shared" si="4"/>
        <v>212472.71381532343</v>
      </c>
      <c r="AI12" s="305">
        <f t="shared" si="4"/>
        <v>216722.16809162989</v>
      </c>
      <c r="AJ12" s="305">
        <f t="shared" si="4"/>
        <v>221056.61145346248</v>
      </c>
      <c r="AK12" s="305">
        <f t="shared" si="4"/>
        <v>225477.74368253173</v>
      </c>
      <c r="AL12" s="305">
        <f t="shared" si="4"/>
        <v>229987.29855618236</v>
      </c>
      <c r="AM12" s="305">
        <f t="shared" si="4"/>
        <v>234587.04452730602</v>
      </c>
      <c r="AN12" s="305">
        <f t="shared" si="4"/>
        <v>239278.78541785214</v>
      </c>
      <c r="AO12" s="305">
        <f t="shared" si="4"/>
        <v>244064.36112620917</v>
      </c>
      <c r="AP12" s="305">
        <f t="shared" si="4"/>
        <v>248945.64834873335</v>
      </c>
      <c r="AQ12" s="305">
        <f t="shared" si="4"/>
        <v>253924.56131570801</v>
      </c>
      <c r="AR12" s="305">
        <f t="shared" si="4"/>
        <v>259003.05254202217</v>
      </c>
      <c r="AS12" s="305">
        <f t="shared" si="4"/>
        <v>264183.11359286262</v>
      </c>
      <c r="AT12" s="305">
        <f t="shared" si="4"/>
        <v>269466.77586471988</v>
      </c>
      <c r="AU12" s="305">
        <f t="shared" si="4"/>
        <v>274856.11138201429</v>
      </c>
      <c r="AV12" s="305">
        <f t="shared" si="4"/>
        <v>280353.23360965459</v>
      </c>
      <c r="AW12" s="305">
        <f t="shared" si="4"/>
        <v>285960.29828184767</v>
      </c>
      <c r="AX12" s="305">
        <f t="shared" si="4"/>
        <v>291679.50424748461</v>
      </c>
      <c r="AY12" s="305">
        <f t="shared" si="4"/>
        <v>297513.0943324343</v>
      </c>
      <c r="AZ12" s="305">
        <f t="shared" si="4"/>
        <v>303463.35621908295</v>
      </c>
      <c r="BA12" s="306">
        <f t="shared" si="4"/>
        <v>309532.62334346463</v>
      </c>
    </row>
    <row r="13" spans="1:53" ht="39" customHeight="1" thickBot="1">
      <c r="D13" s="36"/>
    </row>
    <row r="14" spans="1:53" ht="18" thickBot="1">
      <c r="B14" s="273" t="s">
        <v>263</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483</v>
      </c>
      <c r="C16" s="137"/>
      <c r="D16" s="10">
        <f>Cockpit!H22</f>
        <v>75279</v>
      </c>
      <c r="E16" s="10">
        <f>D16</f>
        <v>75279</v>
      </c>
      <c r="F16" s="10">
        <f t="shared" ref="F16:BA16" si="5">E16</f>
        <v>75279</v>
      </c>
      <c r="G16" s="10">
        <f t="shared" si="5"/>
        <v>75279</v>
      </c>
      <c r="H16" s="10">
        <f t="shared" si="5"/>
        <v>75279</v>
      </c>
      <c r="I16" s="10">
        <f t="shared" si="5"/>
        <v>75279</v>
      </c>
      <c r="J16" s="10">
        <f t="shared" si="5"/>
        <v>75279</v>
      </c>
      <c r="K16" s="10">
        <f t="shared" si="5"/>
        <v>75279</v>
      </c>
      <c r="L16" s="10">
        <f t="shared" si="5"/>
        <v>75279</v>
      </c>
      <c r="M16" s="10">
        <f t="shared" si="5"/>
        <v>75279</v>
      </c>
      <c r="N16" s="10">
        <f t="shared" si="5"/>
        <v>75279</v>
      </c>
      <c r="O16" s="10">
        <f t="shared" si="5"/>
        <v>75279</v>
      </c>
      <c r="P16" s="10">
        <f t="shared" si="5"/>
        <v>75279</v>
      </c>
      <c r="Q16" s="10">
        <f t="shared" si="5"/>
        <v>75279</v>
      </c>
      <c r="R16" s="10">
        <f t="shared" si="5"/>
        <v>75279</v>
      </c>
      <c r="S16" s="10">
        <f t="shared" si="5"/>
        <v>75279</v>
      </c>
      <c r="T16" s="10">
        <f t="shared" si="5"/>
        <v>75279</v>
      </c>
      <c r="U16" s="10">
        <f t="shared" si="5"/>
        <v>75279</v>
      </c>
      <c r="V16" s="10">
        <f t="shared" si="5"/>
        <v>75279</v>
      </c>
      <c r="W16" s="10">
        <f t="shared" si="5"/>
        <v>75279</v>
      </c>
      <c r="X16" s="10">
        <f t="shared" si="5"/>
        <v>75279</v>
      </c>
      <c r="Y16" s="10">
        <f t="shared" si="5"/>
        <v>75279</v>
      </c>
      <c r="Z16" s="10">
        <f t="shared" si="5"/>
        <v>75279</v>
      </c>
      <c r="AA16" s="10">
        <f t="shared" si="5"/>
        <v>75279</v>
      </c>
      <c r="AB16" s="10">
        <f t="shared" si="5"/>
        <v>75279</v>
      </c>
      <c r="AC16" s="10">
        <f t="shared" si="5"/>
        <v>75279</v>
      </c>
      <c r="AD16" s="10">
        <f t="shared" si="5"/>
        <v>75279</v>
      </c>
      <c r="AE16" s="10">
        <f t="shared" si="5"/>
        <v>75279</v>
      </c>
      <c r="AF16" s="10">
        <f t="shared" si="5"/>
        <v>75279</v>
      </c>
      <c r="AG16" s="10">
        <f t="shared" si="5"/>
        <v>75279</v>
      </c>
      <c r="AH16" s="10">
        <f t="shared" si="5"/>
        <v>75279</v>
      </c>
      <c r="AI16" s="10">
        <f t="shared" si="5"/>
        <v>75279</v>
      </c>
      <c r="AJ16" s="10">
        <f t="shared" si="5"/>
        <v>75279</v>
      </c>
      <c r="AK16" s="10">
        <f t="shared" si="5"/>
        <v>75279</v>
      </c>
      <c r="AL16" s="10">
        <f t="shared" si="5"/>
        <v>75279</v>
      </c>
      <c r="AM16" s="10">
        <f t="shared" si="5"/>
        <v>75279</v>
      </c>
      <c r="AN16" s="10">
        <f t="shared" si="5"/>
        <v>75279</v>
      </c>
      <c r="AO16" s="10">
        <f t="shared" si="5"/>
        <v>75279</v>
      </c>
      <c r="AP16" s="10">
        <f t="shared" si="5"/>
        <v>75279</v>
      </c>
      <c r="AQ16" s="10">
        <f t="shared" si="5"/>
        <v>75279</v>
      </c>
      <c r="AR16" s="10">
        <f t="shared" si="5"/>
        <v>75279</v>
      </c>
      <c r="AS16" s="10">
        <f t="shared" si="5"/>
        <v>75279</v>
      </c>
      <c r="AT16" s="10">
        <f t="shared" si="5"/>
        <v>75279</v>
      </c>
      <c r="AU16" s="10">
        <f t="shared" si="5"/>
        <v>75279</v>
      </c>
      <c r="AV16" s="10">
        <f t="shared" si="5"/>
        <v>75279</v>
      </c>
      <c r="AW16" s="10">
        <f t="shared" si="5"/>
        <v>75279</v>
      </c>
      <c r="AX16" s="10">
        <f t="shared" si="5"/>
        <v>75279</v>
      </c>
      <c r="AY16" s="10">
        <f t="shared" si="5"/>
        <v>75279</v>
      </c>
      <c r="AZ16" s="10">
        <f t="shared" si="5"/>
        <v>75279</v>
      </c>
      <c r="BA16" s="283">
        <f t="shared" si="5"/>
        <v>75279</v>
      </c>
    </row>
    <row r="17" spans="2:53">
      <c r="B17" s="479" t="s">
        <v>264</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265</v>
      </c>
      <c r="C18" s="480"/>
      <c r="D18" s="10">
        <f>D17*D16</f>
        <v>1129.1849999999999</v>
      </c>
      <c r="E18" s="10">
        <f t="shared" ref="E18:AJ18" si="8">MIN(E17*E16,E16-D20)</f>
        <v>1129.1849999999999</v>
      </c>
      <c r="F18" s="10">
        <f t="shared" si="8"/>
        <v>1129.1849999999999</v>
      </c>
      <c r="G18" s="10">
        <f t="shared" si="8"/>
        <v>1129.1849999999999</v>
      </c>
      <c r="H18" s="10">
        <f t="shared" si="8"/>
        <v>1129.1849999999999</v>
      </c>
      <c r="I18" s="10">
        <f t="shared" si="8"/>
        <v>1129.1849999999999</v>
      </c>
      <c r="J18" s="10">
        <f t="shared" si="8"/>
        <v>1129.1849999999999</v>
      </c>
      <c r="K18" s="10">
        <f t="shared" si="8"/>
        <v>1129.1849999999999</v>
      </c>
      <c r="L18" s="10">
        <f t="shared" si="8"/>
        <v>1129.1849999999999</v>
      </c>
      <c r="M18" s="10">
        <f t="shared" si="8"/>
        <v>1129.1849999999999</v>
      </c>
      <c r="N18" s="10">
        <f t="shared" si="8"/>
        <v>1129.1849999999999</v>
      </c>
      <c r="O18" s="10">
        <f t="shared" si="8"/>
        <v>1129.1849999999999</v>
      </c>
      <c r="P18" s="10">
        <f t="shared" si="8"/>
        <v>1129.1849999999999</v>
      </c>
      <c r="Q18" s="10">
        <f t="shared" si="8"/>
        <v>1129.1849999999999</v>
      </c>
      <c r="R18" s="10">
        <f t="shared" si="8"/>
        <v>1129.1849999999999</v>
      </c>
      <c r="S18" s="10">
        <f t="shared" si="8"/>
        <v>1129.1849999999999</v>
      </c>
      <c r="T18" s="10">
        <f t="shared" si="8"/>
        <v>1129.1849999999999</v>
      </c>
      <c r="U18" s="10">
        <f t="shared" si="8"/>
        <v>1129.1849999999999</v>
      </c>
      <c r="V18" s="10">
        <f t="shared" si="8"/>
        <v>1129.1849999999999</v>
      </c>
      <c r="W18" s="10">
        <f t="shared" si="8"/>
        <v>1129.1849999999999</v>
      </c>
      <c r="X18" s="10">
        <f t="shared" si="8"/>
        <v>1129.1849999999999</v>
      </c>
      <c r="Y18" s="10">
        <f t="shared" si="8"/>
        <v>1129.1849999999999</v>
      </c>
      <c r="Z18" s="10">
        <f t="shared" si="8"/>
        <v>1129.1849999999999</v>
      </c>
      <c r="AA18" s="10">
        <f t="shared" si="8"/>
        <v>1129.1849999999999</v>
      </c>
      <c r="AB18" s="10">
        <f t="shared" si="8"/>
        <v>1129.1849999999999</v>
      </c>
      <c r="AC18" s="10">
        <f t="shared" si="8"/>
        <v>1129.1849999999999</v>
      </c>
      <c r="AD18" s="10">
        <f t="shared" si="8"/>
        <v>1129.1849999999999</v>
      </c>
      <c r="AE18" s="10">
        <f t="shared" si="8"/>
        <v>1129.1849999999999</v>
      </c>
      <c r="AF18" s="10">
        <f t="shared" si="8"/>
        <v>1129.1849999999999</v>
      </c>
      <c r="AG18" s="10">
        <f t="shared" si="8"/>
        <v>1129.1849999999999</v>
      </c>
      <c r="AH18" s="10">
        <f t="shared" si="8"/>
        <v>1129.1849999999999</v>
      </c>
      <c r="AI18" s="10">
        <f t="shared" si="8"/>
        <v>1129.1849999999999</v>
      </c>
      <c r="AJ18" s="10">
        <f t="shared" si="8"/>
        <v>1129.1849999999999</v>
      </c>
      <c r="AK18" s="10">
        <f t="shared" ref="AK18:BA18" si="9">MIN(AK17*AK16,AK16-AJ20)</f>
        <v>1129.1849999999999</v>
      </c>
      <c r="AL18" s="10">
        <f t="shared" si="9"/>
        <v>1129.1849999999999</v>
      </c>
      <c r="AM18" s="10">
        <f t="shared" si="9"/>
        <v>1129.1849999999999</v>
      </c>
      <c r="AN18" s="10">
        <f t="shared" si="9"/>
        <v>1129.1849999999999</v>
      </c>
      <c r="AO18" s="10">
        <f t="shared" si="9"/>
        <v>1129.1849999999999</v>
      </c>
      <c r="AP18" s="10">
        <f t="shared" si="9"/>
        <v>1129.1849999999999</v>
      </c>
      <c r="AQ18" s="10">
        <f t="shared" si="9"/>
        <v>1129.1849999999999</v>
      </c>
      <c r="AR18" s="10">
        <f t="shared" si="9"/>
        <v>1129.1849999999999</v>
      </c>
      <c r="AS18" s="10">
        <f t="shared" si="9"/>
        <v>1129.1849999999999</v>
      </c>
      <c r="AT18" s="10">
        <f t="shared" si="9"/>
        <v>1129.1849999999999</v>
      </c>
      <c r="AU18" s="10">
        <f t="shared" si="9"/>
        <v>1129.1849999999999</v>
      </c>
      <c r="AV18" s="10">
        <f t="shared" si="9"/>
        <v>1129.1849999999999</v>
      </c>
      <c r="AW18" s="10">
        <f t="shared" si="9"/>
        <v>1129.1849999999999</v>
      </c>
      <c r="AX18" s="10">
        <f t="shared" si="9"/>
        <v>1129.1849999999999</v>
      </c>
      <c r="AY18" s="10">
        <f t="shared" si="9"/>
        <v>1129.1849999999999</v>
      </c>
      <c r="AZ18" s="10">
        <f t="shared" si="9"/>
        <v>1129.1849999999999</v>
      </c>
      <c r="BA18" s="283">
        <f t="shared" si="9"/>
        <v>1129.1849999999999</v>
      </c>
    </row>
    <row r="19" spans="2:53">
      <c r="B19" s="494" t="s">
        <v>266</v>
      </c>
      <c r="C19" s="495"/>
      <c r="D19" s="38">
        <f>D18/12</f>
        <v>94.098749999999995</v>
      </c>
      <c r="E19" s="10">
        <f>E18/12</f>
        <v>94.098749999999995</v>
      </c>
      <c r="F19" s="10">
        <f t="shared" ref="F19:BA19" si="10">F18/12</f>
        <v>94.098749999999995</v>
      </c>
      <c r="G19" s="10">
        <f t="shared" si="10"/>
        <v>94.098749999999995</v>
      </c>
      <c r="H19" s="10">
        <f t="shared" si="10"/>
        <v>94.098749999999995</v>
      </c>
      <c r="I19" s="10">
        <f t="shared" si="10"/>
        <v>94.098749999999995</v>
      </c>
      <c r="J19" s="10">
        <f t="shared" si="10"/>
        <v>94.098749999999995</v>
      </c>
      <c r="K19" s="10">
        <f t="shared" si="10"/>
        <v>94.098749999999995</v>
      </c>
      <c r="L19" s="10">
        <f t="shared" si="10"/>
        <v>94.098749999999995</v>
      </c>
      <c r="M19" s="10">
        <f t="shared" si="10"/>
        <v>94.098749999999995</v>
      </c>
      <c r="N19" s="10">
        <f t="shared" si="10"/>
        <v>94.098749999999995</v>
      </c>
      <c r="O19" s="10">
        <f t="shared" si="10"/>
        <v>94.098749999999995</v>
      </c>
      <c r="P19" s="10">
        <f t="shared" si="10"/>
        <v>94.098749999999995</v>
      </c>
      <c r="Q19" s="10">
        <f t="shared" si="10"/>
        <v>94.098749999999995</v>
      </c>
      <c r="R19" s="10">
        <f t="shared" si="10"/>
        <v>94.098749999999995</v>
      </c>
      <c r="S19" s="10">
        <f t="shared" si="10"/>
        <v>94.098749999999995</v>
      </c>
      <c r="T19" s="10">
        <f t="shared" si="10"/>
        <v>94.098749999999995</v>
      </c>
      <c r="U19" s="10">
        <f t="shared" si="10"/>
        <v>94.098749999999995</v>
      </c>
      <c r="V19" s="10">
        <f t="shared" si="10"/>
        <v>94.098749999999995</v>
      </c>
      <c r="W19" s="10">
        <f t="shared" si="10"/>
        <v>94.098749999999995</v>
      </c>
      <c r="X19" s="10">
        <f t="shared" si="10"/>
        <v>94.098749999999995</v>
      </c>
      <c r="Y19" s="10">
        <f t="shared" si="10"/>
        <v>94.098749999999995</v>
      </c>
      <c r="Z19" s="10">
        <f t="shared" si="10"/>
        <v>94.098749999999995</v>
      </c>
      <c r="AA19" s="10">
        <f t="shared" si="10"/>
        <v>94.098749999999995</v>
      </c>
      <c r="AB19" s="10">
        <f t="shared" si="10"/>
        <v>94.098749999999995</v>
      </c>
      <c r="AC19" s="10">
        <f t="shared" si="10"/>
        <v>94.098749999999995</v>
      </c>
      <c r="AD19" s="10">
        <f t="shared" si="10"/>
        <v>94.098749999999995</v>
      </c>
      <c r="AE19" s="10">
        <f t="shared" si="10"/>
        <v>94.098749999999995</v>
      </c>
      <c r="AF19" s="10">
        <f t="shared" si="10"/>
        <v>94.098749999999995</v>
      </c>
      <c r="AG19" s="10">
        <f t="shared" si="10"/>
        <v>94.098749999999995</v>
      </c>
      <c r="AH19" s="10">
        <f t="shared" si="10"/>
        <v>94.098749999999995</v>
      </c>
      <c r="AI19" s="10">
        <f t="shared" si="10"/>
        <v>94.098749999999995</v>
      </c>
      <c r="AJ19" s="10">
        <f t="shared" si="10"/>
        <v>94.098749999999995</v>
      </c>
      <c r="AK19" s="10">
        <f t="shared" si="10"/>
        <v>94.098749999999995</v>
      </c>
      <c r="AL19" s="10">
        <f t="shared" si="10"/>
        <v>94.098749999999995</v>
      </c>
      <c r="AM19" s="10">
        <f t="shared" si="10"/>
        <v>94.098749999999995</v>
      </c>
      <c r="AN19" s="10">
        <f t="shared" si="10"/>
        <v>94.098749999999995</v>
      </c>
      <c r="AO19" s="10">
        <f t="shared" si="10"/>
        <v>94.098749999999995</v>
      </c>
      <c r="AP19" s="10">
        <f t="shared" si="10"/>
        <v>94.098749999999995</v>
      </c>
      <c r="AQ19" s="10">
        <f t="shared" si="10"/>
        <v>94.098749999999995</v>
      </c>
      <c r="AR19" s="10">
        <f t="shared" si="10"/>
        <v>94.098749999999995</v>
      </c>
      <c r="AS19" s="10">
        <f t="shared" si="10"/>
        <v>94.098749999999995</v>
      </c>
      <c r="AT19" s="10">
        <f t="shared" si="10"/>
        <v>94.098749999999995</v>
      </c>
      <c r="AU19" s="10">
        <f t="shared" si="10"/>
        <v>94.098749999999995</v>
      </c>
      <c r="AV19" s="10">
        <f t="shared" si="10"/>
        <v>94.098749999999995</v>
      </c>
      <c r="AW19" s="10">
        <f t="shared" si="10"/>
        <v>94.098749999999995</v>
      </c>
      <c r="AX19" s="10">
        <f t="shared" si="10"/>
        <v>94.098749999999995</v>
      </c>
      <c r="AY19" s="10">
        <f t="shared" si="10"/>
        <v>94.098749999999995</v>
      </c>
      <c r="AZ19" s="10">
        <f t="shared" si="10"/>
        <v>94.098749999999995</v>
      </c>
      <c r="BA19" s="283">
        <f t="shared" si="10"/>
        <v>94.098749999999995</v>
      </c>
    </row>
    <row r="20" spans="2:53" ht="15.75" thickBot="1">
      <c r="B20" s="482" t="s">
        <v>258</v>
      </c>
      <c r="C20" s="483"/>
      <c r="D20" s="284">
        <f>D18</f>
        <v>1129.1849999999999</v>
      </c>
      <c r="E20" s="284">
        <f t="shared" ref="E20:AJ20" si="11">D20+E18</f>
        <v>2258.37</v>
      </c>
      <c r="F20" s="284">
        <f t="shared" si="11"/>
        <v>3387.5549999999998</v>
      </c>
      <c r="G20" s="284">
        <f t="shared" si="11"/>
        <v>4516.74</v>
      </c>
      <c r="H20" s="284">
        <f t="shared" si="11"/>
        <v>5645.9249999999993</v>
      </c>
      <c r="I20" s="284">
        <f t="shared" si="11"/>
        <v>6775.1099999999988</v>
      </c>
      <c r="J20" s="284">
        <f t="shared" si="11"/>
        <v>7904.2949999999983</v>
      </c>
      <c r="K20" s="284">
        <f t="shared" si="11"/>
        <v>9033.4799999999977</v>
      </c>
      <c r="L20" s="284">
        <f t="shared" si="11"/>
        <v>10162.664999999997</v>
      </c>
      <c r="M20" s="284">
        <f t="shared" si="11"/>
        <v>11291.849999999997</v>
      </c>
      <c r="N20" s="284">
        <f t="shared" si="11"/>
        <v>12421.034999999996</v>
      </c>
      <c r="O20" s="284">
        <f t="shared" si="11"/>
        <v>13550.219999999996</v>
      </c>
      <c r="P20" s="284">
        <f t="shared" si="11"/>
        <v>14679.404999999995</v>
      </c>
      <c r="Q20" s="284">
        <f t="shared" si="11"/>
        <v>15808.589999999995</v>
      </c>
      <c r="R20" s="284">
        <f t="shared" si="11"/>
        <v>16937.774999999994</v>
      </c>
      <c r="S20" s="284">
        <f t="shared" si="11"/>
        <v>18066.959999999995</v>
      </c>
      <c r="T20" s="284">
        <f t="shared" si="11"/>
        <v>19196.144999999997</v>
      </c>
      <c r="U20" s="284">
        <f t="shared" si="11"/>
        <v>20325.329999999998</v>
      </c>
      <c r="V20" s="284">
        <f t="shared" si="11"/>
        <v>21454.514999999999</v>
      </c>
      <c r="W20" s="284">
        <f t="shared" si="11"/>
        <v>22583.7</v>
      </c>
      <c r="X20" s="284">
        <f t="shared" si="11"/>
        <v>23712.885000000002</v>
      </c>
      <c r="Y20" s="284">
        <f t="shared" si="11"/>
        <v>24842.070000000003</v>
      </c>
      <c r="Z20" s="284">
        <f t="shared" si="11"/>
        <v>25971.255000000005</v>
      </c>
      <c r="AA20" s="284">
        <f t="shared" si="11"/>
        <v>27100.440000000006</v>
      </c>
      <c r="AB20" s="284">
        <f t="shared" si="11"/>
        <v>28229.625000000007</v>
      </c>
      <c r="AC20" s="284">
        <f t="shared" si="11"/>
        <v>29358.810000000009</v>
      </c>
      <c r="AD20" s="284">
        <f t="shared" si="11"/>
        <v>30487.99500000001</v>
      </c>
      <c r="AE20" s="284">
        <f t="shared" si="11"/>
        <v>31617.180000000011</v>
      </c>
      <c r="AF20" s="284">
        <f t="shared" si="11"/>
        <v>32746.365000000013</v>
      </c>
      <c r="AG20" s="284">
        <f t="shared" si="11"/>
        <v>33875.55000000001</v>
      </c>
      <c r="AH20" s="284">
        <f t="shared" si="11"/>
        <v>35004.735000000008</v>
      </c>
      <c r="AI20" s="284">
        <f t="shared" si="11"/>
        <v>36133.920000000006</v>
      </c>
      <c r="AJ20" s="284">
        <f t="shared" si="11"/>
        <v>37263.105000000003</v>
      </c>
      <c r="AK20" s="284">
        <f t="shared" ref="AK20:BA20" si="12">AJ20+AK18</f>
        <v>38392.29</v>
      </c>
      <c r="AL20" s="284">
        <f t="shared" si="12"/>
        <v>39521.474999999999</v>
      </c>
      <c r="AM20" s="284">
        <f t="shared" si="12"/>
        <v>40650.659999999996</v>
      </c>
      <c r="AN20" s="284">
        <f t="shared" si="12"/>
        <v>41779.844999999994</v>
      </c>
      <c r="AO20" s="284">
        <f t="shared" si="12"/>
        <v>42909.029999999992</v>
      </c>
      <c r="AP20" s="284">
        <f t="shared" si="12"/>
        <v>44038.214999999989</v>
      </c>
      <c r="AQ20" s="284">
        <f t="shared" si="12"/>
        <v>45167.399999999987</v>
      </c>
      <c r="AR20" s="284">
        <f t="shared" si="12"/>
        <v>46296.584999999985</v>
      </c>
      <c r="AS20" s="284">
        <f t="shared" si="12"/>
        <v>47425.769999999982</v>
      </c>
      <c r="AT20" s="284">
        <f t="shared" si="12"/>
        <v>48554.95499999998</v>
      </c>
      <c r="AU20" s="284">
        <f t="shared" si="12"/>
        <v>49684.139999999978</v>
      </c>
      <c r="AV20" s="284">
        <f t="shared" si="12"/>
        <v>50813.324999999975</v>
      </c>
      <c r="AW20" s="284">
        <f t="shared" si="12"/>
        <v>51942.509999999973</v>
      </c>
      <c r="AX20" s="284">
        <f t="shared" si="12"/>
        <v>53071.694999999971</v>
      </c>
      <c r="AY20" s="284">
        <f t="shared" si="12"/>
        <v>54200.879999999968</v>
      </c>
      <c r="AZ20" s="284">
        <f t="shared" si="12"/>
        <v>55330.064999999966</v>
      </c>
      <c r="BA20" s="285">
        <f t="shared" si="12"/>
        <v>56459.249999999964</v>
      </c>
    </row>
    <row r="21" spans="2:53" ht="15.75" thickBot="1">
      <c r="D21" s="36"/>
    </row>
    <row r="22" spans="2:53" ht="18" hidden="1" thickBot="1">
      <c r="B22" s="273" t="s">
        <v>262</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2" t="s">
        <v>266</v>
      </c>
      <c r="C24" s="483"/>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470</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4" t="str">
        <f>CONCATENATE("Sofort abzugfsähig (",SUMIF(Cockpit!D26:D29,"Sofort",Cockpit!C26:C29)," €)")</f>
        <v>Sofort abzugfsähig (0 €)</v>
      </c>
      <c r="C28" s="485"/>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472</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502" t="s">
        <v>266</v>
      </c>
      <c r="C34" s="50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4" t="s">
        <v>48</v>
      </c>
      <c r="C38" s="485"/>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40" t="s">
        <v>49</v>
      </c>
      <c r="C39" s="441"/>
      <c r="D39" s="39">
        <f>Cockpit!N18</f>
        <v>4.1000000000000002E-2</v>
      </c>
      <c r="E39" s="39">
        <f t="shared" ref="E39:AJ39" si="26">IF(E38&lt;&gt;"",E38,D39)</f>
        <v>4.1000000000000002E-2</v>
      </c>
      <c r="F39" s="39">
        <f t="shared" si="26"/>
        <v>4.1000000000000002E-2</v>
      </c>
      <c r="G39" s="39">
        <f t="shared" si="26"/>
        <v>4.1000000000000002E-2</v>
      </c>
      <c r="H39" s="39">
        <f t="shared" si="26"/>
        <v>4.1000000000000002E-2</v>
      </c>
      <c r="I39" s="39">
        <f t="shared" si="26"/>
        <v>4.1000000000000002E-2</v>
      </c>
      <c r="J39" s="39">
        <f t="shared" si="26"/>
        <v>4.1000000000000002E-2</v>
      </c>
      <c r="K39" s="39">
        <f t="shared" si="26"/>
        <v>4.1000000000000002E-2</v>
      </c>
      <c r="L39" s="39">
        <f t="shared" si="26"/>
        <v>4.1000000000000002E-2</v>
      </c>
      <c r="M39" s="39">
        <f t="shared" si="26"/>
        <v>4.1000000000000002E-2</v>
      </c>
      <c r="N39" s="39">
        <f t="shared" si="26"/>
        <v>4.1000000000000002E-2</v>
      </c>
      <c r="O39" s="39">
        <f t="shared" si="26"/>
        <v>4.1000000000000002E-2</v>
      </c>
      <c r="P39" s="39">
        <f t="shared" si="26"/>
        <v>4.1000000000000002E-2</v>
      </c>
      <c r="Q39" s="39">
        <f t="shared" si="26"/>
        <v>4.1000000000000002E-2</v>
      </c>
      <c r="R39" s="39">
        <f t="shared" si="26"/>
        <v>4.1000000000000002E-2</v>
      </c>
      <c r="S39" s="39">
        <f t="shared" si="26"/>
        <v>4.1000000000000002E-2</v>
      </c>
      <c r="T39" s="39">
        <f t="shared" si="26"/>
        <v>4.1000000000000002E-2</v>
      </c>
      <c r="U39" s="39">
        <f t="shared" si="26"/>
        <v>4.1000000000000002E-2</v>
      </c>
      <c r="V39" s="39">
        <f t="shared" si="26"/>
        <v>4.1000000000000002E-2</v>
      </c>
      <c r="W39" s="39">
        <f t="shared" si="26"/>
        <v>4.1000000000000002E-2</v>
      </c>
      <c r="X39" s="39">
        <f t="shared" si="26"/>
        <v>4.1000000000000002E-2</v>
      </c>
      <c r="Y39" s="39">
        <f t="shared" si="26"/>
        <v>4.1000000000000002E-2</v>
      </c>
      <c r="Z39" s="39">
        <f t="shared" si="26"/>
        <v>4.1000000000000002E-2</v>
      </c>
      <c r="AA39" s="39">
        <f t="shared" si="26"/>
        <v>4.1000000000000002E-2</v>
      </c>
      <c r="AB39" s="39">
        <f t="shared" si="26"/>
        <v>4.1000000000000002E-2</v>
      </c>
      <c r="AC39" s="39">
        <f t="shared" si="26"/>
        <v>4.1000000000000002E-2</v>
      </c>
      <c r="AD39" s="39">
        <f t="shared" si="26"/>
        <v>4.1000000000000002E-2</v>
      </c>
      <c r="AE39" s="39">
        <f t="shared" si="26"/>
        <v>4.1000000000000002E-2</v>
      </c>
      <c r="AF39" s="39">
        <f t="shared" si="26"/>
        <v>4.1000000000000002E-2</v>
      </c>
      <c r="AG39" s="39">
        <f t="shared" si="26"/>
        <v>4.1000000000000002E-2</v>
      </c>
      <c r="AH39" s="39">
        <f t="shared" si="26"/>
        <v>4.1000000000000002E-2</v>
      </c>
      <c r="AI39" s="39">
        <f t="shared" si="26"/>
        <v>4.1000000000000002E-2</v>
      </c>
      <c r="AJ39" s="39">
        <f t="shared" si="26"/>
        <v>4.1000000000000002E-2</v>
      </c>
      <c r="AK39" s="39">
        <f t="shared" ref="AK39:BA39" si="27">IF(AK38&lt;&gt;"",AK38,AJ39)</f>
        <v>4.1000000000000002E-2</v>
      </c>
      <c r="AL39" s="39">
        <f t="shared" si="27"/>
        <v>4.1000000000000002E-2</v>
      </c>
      <c r="AM39" s="39">
        <f t="shared" si="27"/>
        <v>4.1000000000000002E-2</v>
      </c>
      <c r="AN39" s="39">
        <f t="shared" si="27"/>
        <v>4.1000000000000002E-2</v>
      </c>
      <c r="AO39" s="39">
        <f t="shared" si="27"/>
        <v>4.1000000000000002E-2</v>
      </c>
      <c r="AP39" s="39">
        <f t="shared" si="27"/>
        <v>4.1000000000000002E-2</v>
      </c>
      <c r="AQ39" s="39">
        <f t="shared" si="27"/>
        <v>4.1000000000000002E-2</v>
      </c>
      <c r="AR39" s="39">
        <f t="shared" si="27"/>
        <v>4.1000000000000002E-2</v>
      </c>
      <c r="AS39" s="39">
        <f t="shared" si="27"/>
        <v>4.1000000000000002E-2</v>
      </c>
      <c r="AT39" s="39">
        <f t="shared" si="27"/>
        <v>4.1000000000000002E-2</v>
      </c>
      <c r="AU39" s="39">
        <f t="shared" si="27"/>
        <v>4.1000000000000002E-2</v>
      </c>
      <c r="AV39" s="39">
        <f t="shared" si="27"/>
        <v>4.1000000000000002E-2</v>
      </c>
      <c r="AW39" s="39">
        <f t="shared" si="27"/>
        <v>4.1000000000000002E-2</v>
      </c>
      <c r="AX39" s="39">
        <f t="shared" si="27"/>
        <v>4.1000000000000002E-2</v>
      </c>
      <c r="AY39" s="39">
        <f t="shared" si="27"/>
        <v>4.1000000000000002E-2</v>
      </c>
      <c r="AZ39" s="39">
        <f t="shared" si="27"/>
        <v>4.1000000000000002E-2</v>
      </c>
      <c r="BA39" s="297">
        <f t="shared" si="27"/>
        <v>4.1000000000000002E-2</v>
      </c>
    </row>
    <row r="40" spans="2:53" ht="8.25" customHeight="1">
      <c r="B40" s="500"/>
      <c r="C40" s="501"/>
      <c r="I40" s="6"/>
      <c r="J40" s="6"/>
      <c r="K40" s="6"/>
      <c r="L40" s="6"/>
      <c r="BA40" s="302"/>
    </row>
    <row r="41" spans="2:53">
      <c r="B41" s="440" t="s">
        <v>42</v>
      </c>
      <c r="C41" s="441"/>
      <c r="D41" s="4">
        <f>Cockpit!N17</f>
        <v>92000</v>
      </c>
      <c r="E41" s="4">
        <f>D50</f>
        <v>90436</v>
      </c>
      <c r="F41" s="4">
        <f t="shared" ref="F41:M41" si="28">E50</f>
        <v>88807.876000000004</v>
      </c>
      <c r="G41" s="4">
        <f t="shared" si="28"/>
        <v>87112.998916000011</v>
      </c>
      <c r="H41" s="4">
        <f t="shared" si="28"/>
        <v>85348.631871556019</v>
      </c>
      <c r="I41" s="4">
        <f t="shared" si="28"/>
        <v>83511.92577828982</v>
      </c>
      <c r="J41" s="4">
        <f t="shared" si="28"/>
        <v>81599.914735199709</v>
      </c>
      <c r="K41" s="4">
        <f t="shared" si="28"/>
        <v>79609.511239342901</v>
      </c>
      <c r="L41" s="4">
        <f t="shared" si="28"/>
        <v>77537.501200155966</v>
      </c>
      <c r="M41" s="4">
        <f t="shared" si="28"/>
        <v>75380.538749362357</v>
      </c>
      <c r="N41" s="4">
        <f t="shared" ref="N41:BA41" si="29">M50</f>
        <v>73135.140838086212</v>
      </c>
      <c r="O41" s="4">
        <f t="shared" si="29"/>
        <v>70797.681612447748</v>
      </c>
      <c r="P41" s="4">
        <f t="shared" si="29"/>
        <v>68364.386558558108</v>
      </c>
      <c r="Q41" s="4">
        <f t="shared" si="29"/>
        <v>65831.326407458997</v>
      </c>
      <c r="R41" s="4">
        <f t="shared" si="29"/>
        <v>63194.410790164817</v>
      </c>
      <c r="S41" s="4">
        <f t="shared" si="29"/>
        <v>60449.381632561577</v>
      </c>
      <c r="T41" s="4">
        <f t="shared" si="29"/>
        <v>57591.806279496603</v>
      </c>
      <c r="U41" s="4">
        <f t="shared" si="29"/>
        <v>54617.070336955963</v>
      </c>
      <c r="V41" s="4">
        <f t="shared" si="29"/>
        <v>51520.370220771161</v>
      </c>
      <c r="W41" s="4">
        <f t="shared" si="29"/>
        <v>48296.705399822778</v>
      </c>
      <c r="X41" s="4">
        <f t="shared" si="29"/>
        <v>44940.870321215509</v>
      </c>
      <c r="Y41" s="4">
        <f t="shared" si="29"/>
        <v>41447.446004385347</v>
      </c>
      <c r="Z41" s="4">
        <f t="shared" si="29"/>
        <v>37810.791290565146</v>
      </c>
      <c r="AA41" s="4">
        <f t="shared" si="29"/>
        <v>34025.033733478318</v>
      </c>
      <c r="AB41" s="4">
        <f t="shared" si="29"/>
        <v>30084.060116550929</v>
      </c>
      <c r="AC41" s="4">
        <f t="shared" si="29"/>
        <v>25981.506581329515</v>
      </c>
      <c r="AD41" s="4">
        <f t="shared" si="29"/>
        <v>21710.748351164024</v>
      </c>
      <c r="AE41" s="4">
        <f t="shared" si="29"/>
        <v>17264.889033561747</v>
      </c>
      <c r="AF41" s="4">
        <f t="shared" si="29"/>
        <v>12636.74948393778</v>
      </c>
      <c r="AG41" s="4">
        <f t="shared" si="29"/>
        <v>7818.8562127792284</v>
      </c>
      <c r="AH41" s="4">
        <f t="shared" si="29"/>
        <v>2803.4293175031771</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40" t="s">
        <v>43</v>
      </c>
      <c r="C42" s="441"/>
      <c r="D42" s="4">
        <f t="shared" ref="D42:AI42" si="30">D39*D41</f>
        <v>3772</v>
      </c>
      <c r="E42" s="4">
        <f t="shared" si="30"/>
        <v>3707.8760000000002</v>
      </c>
      <c r="F42" s="4">
        <f t="shared" si="30"/>
        <v>3641.1229160000003</v>
      </c>
      <c r="G42" s="4">
        <f t="shared" si="30"/>
        <v>3571.6329555560005</v>
      </c>
      <c r="H42" s="4">
        <f t="shared" si="30"/>
        <v>3499.293906733797</v>
      </c>
      <c r="I42" s="4">
        <f t="shared" si="30"/>
        <v>3423.9889569098827</v>
      </c>
      <c r="J42" s="4">
        <f t="shared" si="30"/>
        <v>3345.5965041431882</v>
      </c>
      <c r="K42" s="4">
        <f t="shared" si="30"/>
        <v>3263.989960813059</v>
      </c>
      <c r="L42" s="4">
        <f t="shared" si="30"/>
        <v>3179.0375492063949</v>
      </c>
      <c r="M42" s="4">
        <f t="shared" si="30"/>
        <v>3090.6020887238569</v>
      </c>
      <c r="N42" s="4">
        <f t="shared" si="30"/>
        <v>2998.5407743615347</v>
      </c>
      <c r="O42" s="4">
        <f t="shared" si="30"/>
        <v>2902.7049461103579</v>
      </c>
      <c r="P42" s="4">
        <f t="shared" si="30"/>
        <v>2802.9398489008827</v>
      </c>
      <c r="Q42" s="4">
        <f t="shared" si="30"/>
        <v>2699.0843827058188</v>
      </c>
      <c r="R42" s="4">
        <f t="shared" si="30"/>
        <v>2590.9708423967577</v>
      </c>
      <c r="S42" s="4">
        <f t="shared" si="30"/>
        <v>2478.4246469350246</v>
      </c>
      <c r="T42" s="4">
        <f t="shared" si="30"/>
        <v>2361.2640574593606</v>
      </c>
      <c r="U42" s="4">
        <f t="shared" si="30"/>
        <v>2239.2998838151948</v>
      </c>
      <c r="V42" s="4">
        <f t="shared" si="30"/>
        <v>2112.3351790516176</v>
      </c>
      <c r="W42" s="4">
        <f t="shared" si="30"/>
        <v>1980.164921392734</v>
      </c>
      <c r="X42" s="4">
        <f t="shared" si="30"/>
        <v>1842.5756831698359</v>
      </c>
      <c r="Y42" s="4">
        <f t="shared" si="30"/>
        <v>1699.3452861797994</v>
      </c>
      <c r="Z42" s="4">
        <f t="shared" si="30"/>
        <v>1550.2424429131711</v>
      </c>
      <c r="AA42" s="4">
        <f t="shared" si="30"/>
        <v>1395.026383072611</v>
      </c>
      <c r="AB42" s="4">
        <f t="shared" si="30"/>
        <v>1233.4464647785881</v>
      </c>
      <c r="AC42" s="4">
        <f t="shared" si="30"/>
        <v>1065.2417698345103</v>
      </c>
      <c r="AD42" s="4">
        <f t="shared" si="30"/>
        <v>890.14068239772507</v>
      </c>
      <c r="AE42" s="4">
        <f t="shared" si="30"/>
        <v>707.86045037603162</v>
      </c>
      <c r="AF42" s="4">
        <f t="shared" si="30"/>
        <v>518.10672884144901</v>
      </c>
      <c r="AG42" s="4">
        <f t="shared" si="30"/>
        <v>320.5731047239484</v>
      </c>
      <c r="AH42" s="4">
        <f t="shared" si="30"/>
        <v>114.94060201763027</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0"/>
      <c r="C43" s="501"/>
      <c r="I43" s="6"/>
      <c r="J43" s="6"/>
      <c r="K43" s="6"/>
      <c r="L43" s="6"/>
      <c r="BA43" s="302"/>
    </row>
    <row r="44" spans="2:53">
      <c r="B44" s="440" t="s">
        <v>54</v>
      </c>
      <c r="C44" s="441"/>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40" t="s">
        <v>55</v>
      </c>
      <c r="C45" s="441"/>
      <c r="D45" s="4">
        <f>Cockpit!$N$19*D41</f>
        <v>1564</v>
      </c>
      <c r="E45" s="4">
        <f t="shared" ref="E45:L45" si="32">MIN(D50,IF(E44&lt;&gt;"",E44,MAX(D48-E42,0)))</f>
        <v>1628.1239999999998</v>
      </c>
      <c r="F45" s="4">
        <f t="shared" si="32"/>
        <v>1694.8770839999997</v>
      </c>
      <c r="G45" s="4">
        <f t="shared" si="32"/>
        <v>1764.3670444439995</v>
      </c>
      <c r="H45" s="4">
        <f t="shared" si="32"/>
        <v>1836.706093266203</v>
      </c>
      <c r="I45" s="4">
        <f t="shared" si="32"/>
        <v>1912.0110430901173</v>
      </c>
      <c r="J45" s="4">
        <f t="shared" si="32"/>
        <v>1990.4034958568118</v>
      </c>
      <c r="K45" s="4">
        <f t="shared" si="32"/>
        <v>2072.010039186941</v>
      </c>
      <c r="L45" s="4">
        <f t="shared" si="32"/>
        <v>2156.9624507936051</v>
      </c>
      <c r="M45" s="4">
        <f>MIN(L50,IF(M44&lt;&gt;"",M44,MAX(L48-M42,0)))</f>
        <v>2245.3979112761431</v>
      </c>
      <c r="N45" s="4">
        <f t="shared" ref="N45:AZ45" si="33">MIN(M50,IF(N44&lt;&gt;"",N44,MAX(M48-N42,0)))</f>
        <v>2337.4592256384653</v>
      </c>
      <c r="O45" s="4">
        <f t="shared" si="33"/>
        <v>2433.2950538896421</v>
      </c>
      <c r="P45" s="4">
        <f t="shared" si="33"/>
        <v>2533.0601510991173</v>
      </c>
      <c r="Q45" s="4">
        <f t="shared" si="33"/>
        <v>2636.9156172941812</v>
      </c>
      <c r="R45" s="4">
        <f t="shared" si="33"/>
        <v>2745.0291576032423</v>
      </c>
      <c r="S45" s="4">
        <f t="shared" si="33"/>
        <v>2857.5753530649754</v>
      </c>
      <c r="T45" s="4">
        <f t="shared" si="33"/>
        <v>2974.7359425406394</v>
      </c>
      <c r="U45" s="4">
        <f t="shared" si="33"/>
        <v>3096.7001161848052</v>
      </c>
      <c r="V45" s="4">
        <f t="shared" si="33"/>
        <v>3223.6648209483824</v>
      </c>
      <c r="W45" s="4">
        <f t="shared" si="33"/>
        <v>3355.835078607266</v>
      </c>
      <c r="X45" s="4">
        <f t="shared" si="33"/>
        <v>3493.4243168301641</v>
      </c>
      <c r="Y45" s="4">
        <f t="shared" si="33"/>
        <v>3636.6547138202004</v>
      </c>
      <c r="Z45" s="4">
        <f t="shared" si="33"/>
        <v>3785.7575570868289</v>
      </c>
      <c r="AA45" s="4">
        <f t="shared" si="33"/>
        <v>3940.9736169273892</v>
      </c>
      <c r="AB45" s="4">
        <f t="shared" si="33"/>
        <v>4102.5535352214119</v>
      </c>
      <c r="AC45" s="4">
        <f t="shared" si="33"/>
        <v>4270.7582301654893</v>
      </c>
      <c r="AD45" s="4">
        <f t="shared" si="33"/>
        <v>4445.859317602275</v>
      </c>
      <c r="AE45" s="4">
        <f t="shared" si="33"/>
        <v>4628.1395496239684</v>
      </c>
      <c r="AF45" s="4">
        <f t="shared" si="33"/>
        <v>4817.8932711585512</v>
      </c>
      <c r="AG45" s="4">
        <f t="shared" si="33"/>
        <v>5015.4268952760513</v>
      </c>
      <c r="AH45" s="4">
        <f t="shared" si="33"/>
        <v>2803.4293175031771</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492" t="s">
        <v>56</v>
      </c>
      <c r="C46" s="493"/>
      <c r="D46" s="39">
        <f>IF(D41&gt;0,D45/D41,)</f>
        <v>1.7000000000000001E-2</v>
      </c>
      <c r="E46" s="39">
        <f t="shared" ref="E46:BA46" si="34">IF(E41&gt;0,E45/E41,)</f>
        <v>1.8003051881993894E-2</v>
      </c>
      <c r="F46" s="39">
        <f t="shared" si="34"/>
        <v>1.9084760950706665E-2</v>
      </c>
      <c r="G46" s="39">
        <f t="shared" si="34"/>
        <v>2.0253774596203675E-2</v>
      </c>
      <c r="H46" s="39">
        <f t="shared" si="34"/>
        <v>2.1520041422928991E-2</v>
      </c>
      <c r="I46" s="39">
        <f t="shared" si="34"/>
        <v>2.2895065887549838E-2</v>
      </c>
      <c r="J46" s="39">
        <f t="shared" si="34"/>
        <v>2.4392225191850754E-2</v>
      </c>
      <c r="K46" s="39">
        <f t="shared" si="34"/>
        <v>2.6027166941868584E-2</v>
      </c>
      <c r="L46" s="39">
        <f t="shared" si="34"/>
        <v>2.7818312653971191E-2</v>
      </c>
      <c r="M46" s="39">
        <f t="shared" si="34"/>
        <v>2.9787501502768668E-2</v>
      </c>
      <c r="N46" s="39">
        <f t="shared" si="34"/>
        <v>3.1960822100737633E-2</v>
      </c>
      <c r="O46" s="39">
        <f t="shared" si="34"/>
        <v>3.436969966346775E-2</v>
      </c>
      <c r="P46" s="39">
        <f t="shared" si="34"/>
        <v>3.7052334974576315E-2</v>
      </c>
      <c r="Q46" s="39">
        <f t="shared" si="34"/>
        <v>4.0055635533957683E-2</v>
      </c>
      <c r="R46" s="39">
        <f t="shared" si="34"/>
        <v>4.3437847165282241E-2</v>
      </c>
      <c r="S46" s="39">
        <f t="shared" si="34"/>
        <v>4.7272201565842289E-2</v>
      </c>
      <c r="T46" s="39">
        <f t="shared" si="34"/>
        <v>5.1652068839516188E-2</v>
      </c>
      <c r="U46" s="39">
        <f t="shared" si="34"/>
        <v>5.6698392958097962E-2</v>
      </c>
      <c r="V46" s="39">
        <f t="shared" si="34"/>
        <v>6.2570684316408831E-2</v>
      </c>
      <c r="W46" s="39">
        <f t="shared" si="34"/>
        <v>6.9483726701978721E-2</v>
      </c>
      <c r="X46" s="39">
        <f t="shared" si="34"/>
        <v>7.7733793134420054E-2</v>
      </c>
      <c r="Y46" s="39">
        <f t="shared" si="34"/>
        <v>8.7741346316861701E-2</v>
      </c>
      <c r="Z46" s="39">
        <f t="shared" si="34"/>
        <v>0.1001237326136436</v>
      </c>
      <c r="AA46" s="39">
        <f t="shared" si="34"/>
        <v>0.11582570785373651</v>
      </c>
      <c r="AB46" s="39">
        <f t="shared" si="34"/>
        <v>0.13636967614502163</v>
      </c>
      <c r="AC46" s="39">
        <f t="shared" si="34"/>
        <v>0.16437685077256009</v>
      </c>
      <c r="AD46" s="39">
        <f t="shared" si="34"/>
        <v>0.20477688035861324</v>
      </c>
      <c r="AE46" s="39">
        <f t="shared" si="34"/>
        <v>0.26806656797082135</v>
      </c>
      <c r="AF46" s="39">
        <f t="shared" si="34"/>
        <v>0.38126048769760301</v>
      </c>
      <c r="AG46" s="39">
        <f t="shared" si="34"/>
        <v>0.64145275968610094</v>
      </c>
      <c r="AH46" s="39">
        <f t="shared" si="34"/>
        <v>1</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0"/>
      <c r="C47" s="501"/>
      <c r="I47" s="6"/>
      <c r="J47" s="6"/>
      <c r="K47" s="6"/>
      <c r="L47" s="6"/>
      <c r="BA47" s="302"/>
    </row>
    <row r="48" spans="2:53">
      <c r="B48" s="440" t="s">
        <v>45</v>
      </c>
      <c r="C48" s="441"/>
      <c r="D48" s="4">
        <f t="shared" ref="D48:AI48" si="35">D42+D45</f>
        <v>5336</v>
      </c>
      <c r="E48" s="4">
        <f t="shared" si="35"/>
        <v>5336</v>
      </c>
      <c r="F48" s="4">
        <f t="shared" si="35"/>
        <v>5336</v>
      </c>
      <c r="G48" s="4">
        <f t="shared" si="35"/>
        <v>5336</v>
      </c>
      <c r="H48" s="4">
        <f t="shared" si="35"/>
        <v>5336</v>
      </c>
      <c r="I48" s="4">
        <f t="shared" si="35"/>
        <v>5336</v>
      </c>
      <c r="J48" s="4">
        <f t="shared" si="35"/>
        <v>5336</v>
      </c>
      <c r="K48" s="4">
        <f t="shared" si="35"/>
        <v>5336</v>
      </c>
      <c r="L48" s="4">
        <f t="shared" si="35"/>
        <v>5336</v>
      </c>
      <c r="M48" s="4">
        <f t="shared" si="35"/>
        <v>5336</v>
      </c>
      <c r="N48" s="4">
        <f t="shared" si="35"/>
        <v>5336</v>
      </c>
      <c r="O48" s="4">
        <f t="shared" si="35"/>
        <v>5336</v>
      </c>
      <c r="P48" s="4">
        <f t="shared" si="35"/>
        <v>5336</v>
      </c>
      <c r="Q48" s="4">
        <f t="shared" si="35"/>
        <v>5336</v>
      </c>
      <c r="R48" s="4">
        <f t="shared" si="35"/>
        <v>5336</v>
      </c>
      <c r="S48" s="4">
        <f t="shared" si="35"/>
        <v>5336</v>
      </c>
      <c r="T48" s="4">
        <f t="shared" si="35"/>
        <v>5336</v>
      </c>
      <c r="U48" s="4">
        <f t="shared" si="35"/>
        <v>5336</v>
      </c>
      <c r="V48" s="4">
        <f t="shared" si="35"/>
        <v>5336</v>
      </c>
      <c r="W48" s="4">
        <f t="shared" si="35"/>
        <v>5336</v>
      </c>
      <c r="X48" s="4">
        <f t="shared" si="35"/>
        <v>5336</v>
      </c>
      <c r="Y48" s="4">
        <f t="shared" si="35"/>
        <v>5336</v>
      </c>
      <c r="Z48" s="4">
        <f t="shared" si="35"/>
        <v>5336</v>
      </c>
      <c r="AA48" s="4">
        <f t="shared" si="35"/>
        <v>5336</v>
      </c>
      <c r="AB48" s="4">
        <f t="shared" si="35"/>
        <v>5336</v>
      </c>
      <c r="AC48" s="4">
        <f t="shared" si="35"/>
        <v>5336</v>
      </c>
      <c r="AD48" s="4">
        <f t="shared" si="35"/>
        <v>5336</v>
      </c>
      <c r="AE48" s="4">
        <f t="shared" si="35"/>
        <v>5336</v>
      </c>
      <c r="AF48" s="4">
        <f t="shared" si="35"/>
        <v>5336</v>
      </c>
      <c r="AG48" s="4">
        <f t="shared" si="35"/>
        <v>5336</v>
      </c>
      <c r="AH48" s="4">
        <f t="shared" si="35"/>
        <v>2918.3699195208073</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40" t="s">
        <v>64</v>
      </c>
      <c r="C49" s="44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40" t="s">
        <v>47</v>
      </c>
      <c r="C50" s="441"/>
      <c r="D50" s="4">
        <f t="shared" ref="D50:F50" si="37">MAX(D41-D45-D49,0)</f>
        <v>90436</v>
      </c>
      <c r="E50" s="4">
        <f t="shared" si="37"/>
        <v>88807.876000000004</v>
      </c>
      <c r="F50" s="4">
        <f t="shared" si="37"/>
        <v>87112.998916000011</v>
      </c>
      <c r="G50" s="4">
        <f t="shared" ref="G50" si="38">MAX(G41-G45-G49,0)</f>
        <v>85348.631871556019</v>
      </c>
      <c r="H50" s="4">
        <f t="shared" ref="H50" si="39">MAX(H41-H45-H49,0)</f>
        <v>83511.92577828982</v>
      </c>
      <c r="I50" s="4">
        <f t="shared" ref="I50" si="40">MAX(I41-I45-I49,0)</f>
        <v>81599.914735199709</v>
      </c>
      <c r="J50" s="4">
        <f t="shared" ref="J50" si="41">MAX(J41-J45-J49,0)</f>
        <v>79609.511239342901</v>
      </c>
      <c r="K50" s="4">
        <f t="shared" ref="K50" si="42">MAX(K41-K45-K49,0)</f>
        <v>77537.501200155966</v>
      </c>
      <c r="L50" s="4">
        <f t="shared" ref="L50" si="43">MAX(L41-L45-L49,0)</f>
        <v>75380.538749362357</v>
      </c>
      <c r="M50" s="4">
        <f t="shared" ref="M50" si="44">MAX(M41-M45-M49,0)</f>
        <v>73135.140838086212</v>
      </c>
      <c r="N50" s="4">
        <f t="shared" ref="N50" si="45">MAX(N41-N45-N49,0)</f>
        <v>70797.681612447748</v>
      </c>
      <c r="O50" s="4">
        <f t="shared" ref="O50" si="46">MAX(O41-O45-O49,0)</f>
        <v>68364.386558558108</v>
      </c>
      <c r="P50" s="4">
        <f t="shared" ref="P50" si="47">MAX(P41-P45-P49,0)</f>
        <v>65831.326407458997</v>
      </c>
      <c r="Q50" s="4">
        <f t="shared" ref="Q50" si="48">MAX(Q41-Q45-Q49,0)</f>
        <v>63194.410790164817</v>
      </c>
      <c r="R50" s="4">
        <f t="shared" ref="R50" si="49">MAX(R41-R45-R49,0)</f>
        <v>60449.381632561577</v>
      </c>
      <c r="S50" s="4">
        <f t="shared" ref="S50" si="50">MAX(S41-S45-S49,0)</f>
        <v>57591.806279496603</v>
      </c>
      <c r="T50" s="4">
        <f t="shared" ref="T50" si="51">MAX(T41-T45-T49,0)</f>
        <v>54617.070336955963</v>
      </c>
      <c r="U50" s="4">
        <f t="shared" ref="U50" si="52">MAX(U41-U45-U49,0)</f>
        <v>51520.370220771161</v>
      </c>
      <c r="V50" s="4">
        <f t="shared" ref="V50" si="53">MAX(V41-V45-V49,0)</f>
        <v>48296.705399822778</v>
      </c>
      <c r="W50" s="4">
        <f t="shared" ref="W50" si="54">MAX(W41-W45-W49,0)</f>
        <v>44940.870321215509</v>
      </c>
      <c r="X50" s="4">
        <f t="shared" ref="X50" si="55">MAX(X41-X45-X49,0)</f>
        <v>41447.446004385347</v>
      </c>
      <c r="Y50" s="4">
        <f t="shared" ref="Y50" si="56">MAX(Y41-Y45-Y49,0)</f>
        <v>37810.791290565146</v>
      </c>
      <c r="Z50" s="4">
        <f t="shared" ref="Z50" si="57">MAX(Z41-Z45-Z49,0)</f>
        <v>34025.033733478318</v>
      </c>
      <c r="AA50" s="4">
        <f t="shared" ref="AA50" si="58">MAX(AA41-AA45-AA49,0)</f>
        <v>30084.060116550929</v>
      </c>
      <c r="AB50" s="4">
        <f t="shared" ref="AB50" si="59">MAX(AB41-AB45-AB49,0)</f>
        <v>25981.506581329515</v>
      </c>
      <c r="AC50" s="4">
        <f t="shared" ref="AC50" si="60">MAX(AC41-AC45-AC49,0)</f>
        <v>21710.748351164024</v>
      </c>
      <c r="AD50" s="4">
        <f t="shared" ref="AD50" si="61">MAX(AD41-AD45-AD49,0)</f>
        <v>17264.889033561747</v>
      </c>
      <c r="AE50" s="4">
        <f t="shared" ref="AE50" si="62">MAX(AE41-AE45-AE49,0)</f>
        <v>12636.74948393778</v>
      </c>
      <c r="AF50" s="4">
        <f t="shared" ref="AF50" si="63">MAX(AF41-AF45-AF49,0)</f>
        <v>7818.8562127792284</v>
      </c>
      <c r="AG50" s="4">
        <f t="shared" ref="AG50" si="64">MAX(AG41-AG45-AG49,0)</f>
        <v>2803.4293175031771</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66" t="s">
        <v>24</v>
      </c>
      <c r="C51" s="467"/>
      <c r="D51" s="298">
        <f>D48/12</f>
        <v>444.66666666666669</v>
      </c>
      <c r="E51" s="298">
        <f t="shared" ref="E51:BA51" si="85">E48/12</f>
        <v>444.66666666666669</v>
      </c>
      <c r="F51" s="298">
        <f t="shared" si="85"/>
        <v>444.66666666666669</v>
      </c>
      <c r="G51" s="298">
        <f t="shared" si="85"/>
        <v>444.66666666666669</v>
      </c>
      <c r="H51" s="298">
        <f t="shared" si="85"/>
        <v>444.66666666666669</v>
      </c>
      <c r="I51" s="298">
        <f t="shared" si="85"/>
        <v>444.66666666666669</v>
      </c>
      <c r="J51" s="298">
        <f t="shared" si="85"/>
        <v>444.66666666666669</v>
      </c>
      <c r="K51" s="298">
        <f t="shared" si="85"/>
        <v>444.66666666666669</v>
      </c>
      <c r="L51" s="298">
        <f t="shared" si="85"/>
        <v>444.66666666666669</v>
      </c>
      <c r="M51" s="298">
        <f t="shared" si="85"/>
        <v>444.66666666666669</v>
      </c>
      <c r="N51" s="298">
        <f t="shared" si="85"/>
        <v>444.66666666666669</v>
      </c>
      <c r="O51" s="298">
        <f t="shared" si="85"/>
        <v>444.66666666666669</v>
      </c>
      <c r="P51" s="298">
        <f t="shared" si="85"/>
        <v>444.66666666666669</v>
      </c>
      <c r="Q51" s="298">
        <f t="shared" si="85"/>
        <v>444.66666666666669</v>
      </c>
      <c r="R51" s="298">
        <f t="shared" si="85"/>
        <v>444.66666666666669</v>
      </c>
      <c r="S51" s="298">
        <f t="shared" si="85"/>
        <v>444.66666666666669</v>
      </c>
      <c r="T51" s="298">
        <f t="shared" si="85"/>
        <v>444.66666666666669</v>
      </c>
      <c r="U51" s="298">
        <f t="shared" si="85"/>
        <v>444.66666666666669</v>
      </c>
      <c r="V51" s="298">
        <f t="shared" si="85"/>
        <v>444.66666666666669</v>
      </c>
      <c r="W51" s="298">
        <f t="shared" si="85"/>
        <v>444.66666666666669</v>
      </c>
      <c r="X51" s="298">
        <f t="shared" si="85"/>
        <v>444.66666666666669</v>
      </c>
      <c r="Y51" s="298">
        <f t="shared" si="85"/>
        <v>444.66666666666669</v>
      </c>
      <c r="Z51" s="298">
        <f t="shared" si="85"/>
        <v>444.66666666666669</v>
      </c>
      <c r="AA51" s="298">
        <f t="shared" si="85"/>
        <v>444.66666666666669</v>
      </c>
      <c r="AB51" s="298">
        <f t="shared" si="85"/>
        <v>444.66666666666669</v>
      </c>
      <c r="AC51" s="298">
        <f t="shared" si="85"/>
        <v>444.66666666666669</v>
      </c>
      <c r="AD51" s="298">
        <f t="shared" si="85"/>
        <v>444.66666666666669</v>
      </c>
      <c r="AE51" s="298">
        <f t="shared" si="85"/>
        <v>444.66666666666669</v>
      </c>
      <c r="AF51" s="298">
        <f t="shared" si="85"/>
        <v>444.66666666666669</v>
      </c>
      <c r="AG51" s="298">
        <f t="shared" si="85"/>
        <v>444.66666666666669</v>
      </c>
      <c r="AH51" s="298">
        <f t="shared" si="85"/>
        <v>243.19749329340061</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4" t="s">
        <v>48</v>
      </c>
      <c r="C55" s="485"/>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40" t="s">
        <v>49</v>
      </c>
      <c r="C56" s="441"/>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40" t="s">
        <v>42</v>
      </c>
      <c r="C58" s="441"/>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40" t="s">
        <v>43</v>
      </c>
      <c r="C59" s="441"/>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40" t="s">
        <v>54</v>
      </c>
      <c r="C61" s="441"/>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40" t="s">
        <v>55</v>
      </c>
      <c r="C62" s="441"/>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492" t="s">
        <v>56</v>
      </c>
      <c r="C63" s="493"/>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40" t="s">
        <v>45</v>
      </c>
      <c r="C65" s="441"/>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40" t="s">
        <v>64</v>
      </c>
      <c r="C66" s="44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40" t="s">
        <v>47</v>
      </c>
      <c r="C67" s="441"/>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66" t="s">
        <v>24</v>
      </c>
      <c r="C68" s="467"/>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245</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4" t="s">
        <v>48</v>
      </c>
      <c r="C72" s="485"/>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40" t="s">
        <v>49</v>
      </c>
      <c r="C73" s="441"/>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40" t="s">
        <v>42</v>
      </c>
      <c r="C75" s="441"/>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40" t="s">
        <v>43</v>
      </c>
      <c r="C76" s="441"/>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40" t="s">
        <v>54</v>
      </c>
      <c r="C78" s="441"/>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40" t="s">
        <v>55</v>
      </c>
      <c r="C79" s="441"/>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492" t="s">
        <v>56</v>
      </c>
      <c r="C80" s="493"/>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40" t="s">
        <v>45</v>
      </c>
      <c r="C82" s="441"/>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40" t="s">
        <v>64</v>
      </c>
      <c r="C83" s="44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40" t="s">
        <v>47</v>
      </c>
      <c r="C84" s="441"/>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66" t="s">
        <v>24</v>
      </c>
      <c r="C85" s="467"/>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246</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4" t="s">
        <v>48</v>
      </c>
      <c r="C89" s="485"/>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40" t="s">
        <v>49</v>
      </c>
      <c r="C90" s="441"/>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40" t="s">
        <v>42</v>
      </c>
      <c r="C92" s="441"/>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40" t="s">
        <v>43</v>
      </c>
      <c r="C93" s="441"/>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40" t="s">
        <v>54</v>
      </c>
      <c r="C95" s="441"/>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40" t="s">
        <v>55</v>
      </c>
      <c r="C96" s="441"/>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492" t="s">
        <v>56</v>
      </c>
      <c r="C97" s="493"/>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40" t="s">
        <v>45</v>
      </c>
      <c r="C99" s="441"/>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40" t="s">
        <v>64</v>
      </c>
      <c r="C100" s="44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40" t="s">
        <v>47</v>
      </c>
      <c r="C101" s="441"/>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66" t="s">
        <v>24</v>
      </c>
      <c r="C102" s="467"/>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249</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4" t="s">
        <v>42</v>
      </c>
      <c r="C106" s="485"/>
      <c r="D106" s="291">
        <f>D41+D58+D75+D92</f>
        <v>92000</v>
      </c>
      <c r="E106" s="291">
        <f t="shared" ref="E106:BA106" si="537">E41+E58+E75+E92</f>
        <v>90436</v>
      </c>
      <c r="F106" s="291">
        <f t="shared" si="537"/>
        <v>88807.876000000004</v>
      </c>
      <c r="G106" s="291">
        <f t="shared" si="537"/>
        <v>87112.998916000011</v>
      </c>
      <c r="H106" s="291">
        <f t="shared" si="537"/>
        <v>85348.631871556019</v>
      </c>
      <c r="I106" s="291">
        <f t="shared" si="537"/>
        <v>83511.92577828982</v>
      </c>
      <c r="J106" s="291">
        <f t="shared" si="537"/>
        <v>81599.914735199709</v>
      </c>
      <c r="K106" s="291">
        <f t="shared" si="537"/>
        <v>79609.511239342901</v>
      </c>
      <c r="L106" s="291">
        <f t="shared" si="537"/>
        <v>77537.501200155966</v>
      </c>
      <c r="M106" s="291">
        <f t="shared" si="537"/>
        <v>75380.538749362357</v>
      </c>
      <c r="N106" s="291">
        <f t="shared" si="537"/>
        <v>73135.140838086212</v>
      </c>
      <c r="O106" s="291">
        <f t="shared" si="537"/>
        <v>70797.681612447748</v>
      </c>
      <c r="P106" s="291">
        <f t="shared" si="537"/>
        <v>68364.386558558108</v>
      </c>
      <c r="Q106" s="291">
        <f t="shared" si="537"/>
        <v>65831.326407458997</v>
      </c>
      <c r="R106" s="291">
        <f t="shared" si="537"/>
        <v>63194.410790164817</v>
      </c>
      <c r="S106" s="291">
        <f t="shared" si="537"/>
        <v>60449.381632561577</v>
      </c>
      <c r="T106" s="291">
        <f t="shared" si="537"/>
        <v>57591.806279496603</v>
      </c>
      <c r="U106" s="291">
        <f t="shared" si="537"/>
        <v>54617.070336955963</v>
      </c>
      <c r="V106" s="291">
        <f t="shared" si="537"/>
        <v>51520.370220771161</v>
      </c>
      <c r="W106" s="291">
        <f t="shared" si="537"/>
        <v>48296.705399822778</v>
      </c>
      <c r="X106" s="291">
        <f t="shared" si="537"/>
        <v>44940.870321215509</v>
      </c>
      <c r="Y106" s="291">
        <f t="shared" si="537"/>
        <v>41447.446004385347</v>
      </c>
      <c r="Z106" s="291">
        <f t="shared" si="537"/>
        <v>37810.791290565146</v>
      </c>
      <c r="AA106" s="291">
        <f t="shared" si="537"/>
        <v>34025.033733478318</v>
      </c>
      <c r="AB106" s="291">
        <f t="shared" si="537"/>
        <v>30084.060116550929</v>
      </c>
      <c r="AC106" s="291">
        <f t="shared" si="537"/>
        <v>25981.506581329515</v>
      </c>
      <c r="AD106" s="291">
        <f t="shared" si="537"/>
        <v>21710.748351164024</v>
      </c>
      <c r="AE106" s="291">
        <f t="shared" si="537"/>
        <v>17264.889033561747</v>
      </c>
      <c r="AF106" s="291">
        <f t="shared" si="537"/>
        <v>12636.74948393778</v>
      </c>
      <c r="AG106" s="291">
        <f t="shared" si="537"/>
        <v>7818.8562127792284</v>
      </c>
      <c r="AH106" s="291">
        <f t="shared" si="537"/>
        <v>2803.4293175031771</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492" t="s">
        <v>250</v>
      </c>
      <c r="C107" s="493"/>
      <c r="D107" s="43">
        <f>D41</f>
        <v>92000</v>
      </c>
      <c r="E107" s="43">
        <f t="shared" ref="E107:BA107" si="538">E41</f>
        <v>90436</v>
      </c>
      <c r="F107" s="43">
        <f t="shared" si="538"/>
        <v>88807.876000000004</v>
      </c>
      <c r="G107" s="43">
        <f t="shared" si="538"/>
        <v>87112.998916000011</v>
      </c>
      <c r="H107" s="43">
        <f t="shared" si="538"/>
        <v>85348.631871556019</v>
      </c>
      <c r="I107" s="43">
        <f t="shared" si="538"/>
        <v>83511.92577828982</v>
      </c>
      <c r="J107" s="43">
        <f t="shared" si="538"/>
        <v>81599.914735199709</v>
      </c>
      <c r="K107" s="43">
        <f t="shared" si="538"/>
        <v>79609.511239342901</v>
      </c>
      <c r="L107" s="43">
        <f t="shared" si="538"/>
        <v>77537.501200155966</v>
      </c>
      <c r="M107" s="43">
        <f t="shared" si="538"/>
        <v>75380.538749362357</v>
      </c>
      <c r="N107" s="43">
        <f t="shared" si="538"/>
        <v>73135.140838086212</v>
      </c>
      <c r="O107" s="43">
        <f t="shared" si="538"/>
        <v>70797.681612447748</v>
      </c>
      <c r="P107" s="43">
        <f t="shared" si="538"/>
        <v>68364.386558558108</v>
      </c>
      <c r="Q107" s="43">
        <f t="shared" si="538"/>
        <v>65831.326407458997</v>
      </c>
      <c r="R107" s="43">
        <f t="shared" si="538"/>
        <v>63194.410790164817</v>
      </c>
      <c r="S107" s="43">
        <f t="shared" si="538"/>
        <v>60449.381632561577</v>
      </c>
      <c r="T107" s="43">
        <f t="shared" si="538"/>
        <v>57591.806279496603</v>
      </c>
      <c r="U107" s="43">
        <f t="shared" si="538"/>
        <v>54617.070336955963</v>
      </c>
      <c r="V107" s="43">
        <f t="shared" si="538"/>
        <v>51520.370220771161</v>
      </c>
      <c r="W107" s="43">
        <f t="shared" si="538"/>
        <v>48296.705399822778</v>
      </c>
      <c r="X107" s="43">
        <f t="shared" si="538"/>
        <v>44940.870321215509</v>
      </c>
      <c r="Y107" s="43">
        <f t="shared" si="538"/>
        <v>41447.446004385347</v>
      </c>
      <c r="Z107" s="43">
        <f t="shared" si="538"/>
        <v>37810.791290565146</v>
      </c>
      <c r="AA107" s="43">
        <f t="shared" si="538"/>
        <v>34025.033733478318</v>
      </c>
      <c r="AB107" s="43">
        <f t="shared" si="538"/>
        <v>30084.060116550929</v>
      </c>
      <c r="AC107" s="43">
        <f t="shared" si="538"/>
        <v>25981.506581329515</v>
      </c>
      <c r="AD107" s="43">
        <f t="shared" si="538"/>
        <v>21710.748351164024</v>
      </c>
      <c r="AE107" s="43">
        <f t="shared" si="538"/>
        <v>17264.889033561747</v>
      </c>
      <c r="AF107" s="43">
        <f t="shared" si="538"/>
        <v>12636.74948393778</v>
      </c>
      <c r="AG107" s="43">
        <f t="shared" si="538"/>
        <v>7818.8562127792284</v>
      </c>
      <c r="AH107" s="43">
        <f t="shared" si="538"/>
        <v>2803.4293175031771</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492" t="s">
        <v>251</v>
      </c>
      <c r="C108" s="493"/>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40" t="s">
        <v>43</v>
      </c>
      <c r="C110" s="441"/>
      <c r="D110" s="4">
        <f>D42+D59+D76+D93</f>
        <v>3772</v>
      </c>
      <c r="E110" s="4">
        <f t="shared" ref="E110:BA110" si="540">E42+E59+E76+E93</f>
        <v>3707.8760000000002</v>
      </c>
      <c r="F110" s="4">
        <f t="shared" si="540"/>
        <v>3641.1229160000003</v>
      </c>
      <c r="G110" s="4">
        <f t="shared" si="540"/>
        <v>3571.6329555560005</v>
      </c>
      <c r="H110" s="4">
        <f t="shared" si="540"/>
        <v>3499.293906733797</v>
      </c>
      <c r="I110" s="4">
        <f t="shared" si="540"/>
        <v>3423.9889569098827</v>
      </c>
      <c r="J110" s="4">
        <f t="shared" si="540"/>
        <v>3345.5965041431882</v>
      </c>
      <c r="K110" s="4">
        <f t="shared" si="540"/>
        <v>3263.989960813059</v>
      </c>
      <c r="L110" s="4">
        <f t="shared" si="540"/>
        <v>3179.0375492063949</v>
      </c>
      <c r="M110" s="4">
        <f t="shared" si="540"/>
        <v>3090.6020887238569</v>
      </c>
      <c r="N110" s="4">
        <f t="shared" si="540"/>
        <v>2998.5407743615347</v>
      </c>
      <c r="O110" s="4">
        <f t="shared" si="540"/>
        <v>2902.7049461103579</v>
      </c>
      <c r="P110" s="4">
        <f t="shared" si="540"/>
        <v>2802.9398489008827</v>
      </c>
      <c r="Q110" s="4">
        <f t="shared" si="540"/>
        <v>2699.0843827058188</v>
      </c>
      <c r="R110" s="4">
        <f t="shared" si="540"/>
        <v>2590.9708423967577</v>
      </c>
      <c r="S110" s="4">
        <f t="shared" si="540"/>
        <v>2478.4246469350246</v>
      </c>
      <c r="T110" s="4">
        <f t="shared" si="540"/>
        <v>2361.2640574593606</v>
      </c>
      <c r="U110" s="4">
        <f t="shared" si="540"/>
        <v>2239.2998838151948</v>
      </c>
      <c r="V110" s="4">
        <f t="shared" si="540"/>
        <v>2112.3351790516176</v>
      </c>
      <c r="W110" s="4">
        <f t="shared" si="540"/>
        <v>1980.164921392734</v>
      </c>
      <c r="X110" s="4">
        <f t="shared" si="540"/>
        <v>1842.5756831698359</v>
      </c>
      <c r="Y110" s="4">
        <f t="shared" si="540"/>
        <v>1699.3452861797994</v>
      </c>
      <c r="Z110" s="4">
        <f t="shared" si="540"/>
        <v>1550.2424429131711</v>
      </c>
      <c r="AA110" s="4">
        <f t="shared" si="540"/>
        <v>1395.026383072611</v>
      </c>
      <c r="AB110" s="4">
        <f t="shared" si="540"/>
        <v>1233.4464647785881</v>
      </c>
      <c r="AC110" s="4">
        <f t="shared" si="540"/>
        <v>1065.2417698345103</v>
      </c>
      <c r="AD110" s="4">
        <f t="shared" si="540"/>
        <v>890.14068239772507</v>
      </c>
      <c r="AE110" s="4">
        <f t="shared" si="540"/>
        <v>707.86045037603162</v>
      </c>
      <c r="AF110" s="4">
        <f t="shared" si="540"/>
        <v>518.10672884144901</v>
      </c>
      <c r="AG110" s="4">
        <f t="shared" si="540"/>
        <v>320.5731047239484</v>
      </c>
      <c r="AH110" s="4">
        <f t="shared" si="540"/>
        <v>114.94060201763027</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3772</v>
      </c>
      <c r="E111" s="4">
        <f>D111+E110</f>
        <v>7479.8760000000002</v>
      </c>
      <c r="F111" s="4">
        <f t="shared" ref="F111:BA111" si="541">E111+F110</f>
        <v>11120.998916</v>
      </c>
      <c r="G111" s="4">
        <f t="shared" si="541"/>
        <v>14692.631871556001</v>
      </c>
      <c r="H111" s="4">
        <f t="shared" si="541"/>
        <v>18191.925778289798</v>
      </c>
      <c r="I111" s="4">
        <f t="shared" si="541"/>
        <v>21615.91473519968</v>
      </c>
      <c r="J111" s="4">
        <f t="shared" si="541"/>
        <v>24961.511239342868</v>
      </c>
      <c r="K111" s="4">
        <f t="shared" si="541"/>
        <v>28225.501200155926</v>
      </c>
      <c r="L111" s="4">
        <f t="shared" si="541"/>
        <v>31404.53874936232</v>
      </c>
      <c r="M111" s="4">
        <f t="shared" si="541"/>
        <v>34495.140838086176</v>
      </c>
      <c r="N111" s="4">
        <f t="shared" si="541"/>
        <v>37493.681612447712</v>
      </c>
      <c r="O111" s="4">
        <f t="shared" si="541"/>
        <v>40396.386558558072</v>
      </c>
      <c r="P111" s="4">
        <f t="shared" si="541"/>
        <v>43199.326407458953</v>
      </c>
      <c r="Q111" s="4">
        <f t="shared" si="541"/>
        <v>45898.410790164773</v>
      </c>
      <c r="R111" s="4">
        <f t="shared" si="541"/>
        <v>48489.381632561533</v>
      </c>
      <c r="S111" s="4">
        <f t="shared" si="541"/>
        <v>50967.806279496559</v>
      </c>
      <c r="T111" s="4">
        <f t="shared" si="541"/>
        <v>53329.07033695592</v>
      </c>
      <c r="U111" s="4">
        <f t="shared" si="541"/>
        <v>55568.370220771118</v>
      </c>
      <c r="V111" s="4">
        <f t="shared" si="541"/>
        <v>57680.705399822735</v>
      </c>
      <c r="W111" s="4">
        <f t="shared" si="541"/>
        <v>59660.870321215465</v>
      </c>
      <c r="X111" s="4">
        <f t="shared" si="541"/>
        <v>61503.446004385303</v>
      </c>
      <c r="Y111" s="4">
        <f t="shared" si="541"/>
        <v>63202.791290565103</v>
      </c>
      <c r="Z111" s="4">
        <f t="shared" si="541"/>
        <v>64753.033733478274</v>
      </c>
      <c r="AA111" s="4">
        <f t="shared" si="541"/>
        <v>66148.060116550885</v>
      </c>
      <c r="AB111" s="4">
        <f t="shared" si="541"/>
        <v>67381.506581329479</v>
      </c>
      <c r="AC111" s="4">
        <f t="shared" si="541"/>
        <v>68446.748351163988</v>
      </c>
      <c r="AD111" s="4">
        <f t="shared" si="541"/>
        <v>69336.889033561718</v>
      </c>
      <c r="AE111" s="4">
        <f t="shared" si="541"/>
        <v>70044.749483937747</v>
      </c>
      <c r="AF111" s="4">
        <f t="shared" si="541"/>
        <v>70562.856212779196</v>
      </c>
      <c r="AG111" s="4">
        <f t="shared" si="541"/>
        <v>70883.429317503149</v>
      </c>
      <c r="AH111" s="4">
        <f t="shared" si="541"/>
        <v>70998.369919520774</v>
      </c>
      <c r="AI111" s="4">
        <f t="shared" si="541"/>
        <v>70998.369919520774</v>
      </c>
      <c r="AJ111" s="4">
        <f t="shared" si="541"/>
        <v>70998.369919520774</v>
      </c>
      <c r="AK111" s="4">
        <f t="shared" si="541"/>
        <v>70998.369919520774</v>
      </c>
      <c r="AL111" s="4">
        <f t="shared" si="541"/>
        <v>70998.369919520774</v>
      </c>
      <c r="AM111" s="4">
        <f t="shared" si="541"/>
        <v>70998.369919520774</v>
      </c>
      <c r="AN111" s="4">
        <f t="shared" si="541"/>
        <v>70998.369919520774</v>
      </c>
      <c r="AO111" s="4">
        <f t="shared" si="541"/>
        <v>70998.369919520774</v>
      </c>
      <c r="AP111" s="4">
        <f t="shared" si="541"/>
        <v>70998.369919520774</v>
      </c>
      <c r="AQ111" s="4">
        <f t="shared" si="541"/>
        <v>70998.369919520774</v>
      </c>
      <c r="AR111" s="4">
        <f t="shared" si="541"/>
        <v>70998.369919520774</v>
      </c>
      <c r="AS111" s="4">
        <f t="shared" si="541"/>
        <v>70998.369919520774</v>
      </c>
      <c r="AT111" s="4">
        <f t="shared" si="541"/>
        <v>70998.369919520774</v>
      </c>
      <c r="AU111" s="4">
        <f t="shared" si="541"/>
        <v>70998.369919520774</v>
      </c>
      <c r="AV111" s="4">
        <f t="shared" si="541"/>
        <v>70998.369919520774</v>
      </c>
      <c r="AW111" s="4">
        <f t="shared" si="541"/>
        <v>70998.369919520774</v>
      </c>
      <c r="AX111" s="4">
        <f t="shared" si="541"/>
        <v>70998.369919520774</v>
      </c>
      <c r="AY111" s="4">
        <f t="shared" si="541"/>
        <v>70998.369919520774</v>
      </c>
      <c r="AZ111" s="4">
        <f t="shared" si="541"/>
        <v>70998.369919520774</v>
      </c>
      <c r="BA111" s="295">
        <f t="shared" si="541"/>
        <v>70998.369919520774</v>
      </c>
    </row>
    <row r="112" spans="1:53">
      <c r="B112" s="494" t="s">
        <v>50</v>
      </c>
      <c r="C112" s="495"/>
      <c r="D112" s="44">
        <f>IF(D106&gt;0,D110/D106,)</f>
        <v>4.1000000000000002E-2</v>
      </c>
      <c r="E112" s="44">
        <f t="shared" ref="E112:BA112" si="542">IF(E106&gt;0,E110/E106,)</f>
        <v>4.1000000000000002E-2</v>
      </c>
      <c r="F112" s="44">
        <f t="shared" si="542"/>
        <v>4.1000000000000002E-2</v>
      </c>
      <c r="G112" s="44">
        <f t="shared" si="542"/>
        <v>4.1000000000000002E-2</v>
      </c>
      <c r="H112" s="44">
        <f t="shared" si="542"/>
        <v>4.1000000000000002E-2</v>
      </c>
      <c r="I112" s="44">
        <f t="shared" si="542"/>
        <v>4.1000000000000002E-2</v>
      </c>
      <c r="J112" s="44">
        <f t="shared" si="542"/>
        <v>4.1000000000000002E-2</v>
      </c>
      <c r="K112" s="44">
        <f t="shared" si="542"/>
        <v>4.1000000000000002E-2</v>
      </c>
      <c r="L112" s="44">
        <f t="shared" si="542"/>
        <v>4.1000000000000002E-2</v>
      </c>
      <c r="M112" s="44">
        <f t="shared" si="542"/>
        <v>4.1000000000000002E-2</v>
      </c>
      <c r="N112" s="44">
        <f t="shared" si="542"/>
        <v>4.1000000000000002E-2</v>
      </c>
      <c r="O112" s="44">
        <f t="shared" si="542"/>
        <v>4.1000000000000002E-2</v>
      </c>
      <c r="P112" s="44">
        <f t="shared" si="542"/>
        <v>4.1000000000000002E-2</v>
      </c>
      <c r="Q112" s="44">
        <f t="shared" si="542"/>
        <v>4.1000000000000002E-2</v>
      </c>
      <c r="R112" s="44">
        <f t="shared" si="542"/>
        <v>4.1000000000000002E-2</v>
      </c>
      <c r="S112" s="44">
        <f t="shared" si="542"/>
        <v>4.1000000000000002E-2</v>
      </c>
      <c r="T112" s="44">
        <f t="shared" si="542"/>
        <v>4.1000000000000002E-2</v>
      </c>
      <c r="U112" s="44">
        <f t="shared" si="542"/>
        <v>4.1000000000000009E-2</v>
      </c>
      <c r="V112" s="44">
        <f t="shared" si="542"/>
        <v>4.1000000000000002E-2</v>
      </c>
      <c r="W112" s="44">
        <f t="shared" si="542"/>
        <v>4.1000000000000002E-2</v>
      </c>
      <c r="X112" s="44">
        <f t="shared" si="542"/>
        <v>4.1000000000000002E-2</v>
      </c>
      <c r="Y112" s="44">
        <f t="shared" si="542"/>
        <v>4.1000000000000002E-2</v>
      </c>
      <c r="Z112" s="44">
        <f t="shared" si="542"/>
        <v>4.1000000000000002E-2</v>
      </c>
      <c r="AA112" s="44">
        <f t="shared" si="542"/>
        <v>4.1000000000000002E-2</v>
      </c>
      <c r="AB112" s="44">
        <f t="shared" si="542"/>
        <v>4.1000000000000002E-2</v>
      </c>
      <c r="AC112" s="44">
        <f t="shared" si="542"/>
        <v>4.1000000000000002E-2</v>
      </c>
      <c r="AD112" s="44">
        <f t="shared" si="542"/>
        <v>4.1000000000000002E-2</v>
      </c>
      <c r="AE112" s="44">
        <f t="shared" si="542"/>
        <v>4.1000000000000002E-2</v>
      </c>
      <c r="AF112" s="44">
        <f t="shared" si="542"/>
        <v>4.1000000000000002E-2</v>
      </c>
      <c r="AG112" s="44">
        <f t="shared" si="542"/>
        <v>4.1000000000000009E-2</v>
      </c>
      <c r="AH112" s="44">
        <f t="shared" si="542"/>
        <v>4.1000000000000002E-2</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40" t="s">
        <v>44</v>
      </c>
      <c r="C114" s="441"/>
      <c r="D114" s="4">
        <f>D45+D62+D79+D96</f>
        <v>1564</v>
      </c>
      <c r="E114" s="4">
        <f t="shared" ref="E114:BA114" si="543">E45+E62+E79+E96</f>
        <v>1628.1239999999998</v>
      </c>
      <c r="F114" s="4">
        <f t="shared" si="543"/>
        <v>1694.8770839999997</v>
      </c>
      <c r="G114" s="4">
        <f t="shared" si="543"/>
        <v>1764.3670444439995</v>
      </c>
      <c r="H114" s="4">
        <f t="shared" si="543"/>
        <v>1836.706093266203</v>
      </c>
      <c r="I114" s="4">
        <f t="shared" si="543"/>
        <v>1912.0110430901173</v>
      </c>
      <c r="J114" s="4">
        <f t="shared" si="543"/>
        <v>1990.4034958568118</v>
      </c>
      <c r="K114" s="4">
        <f t="shared" si="543"/>
        <v>2072.010039186941</v>
      </c>
      <c r="L114" s="4">
        <f t="shared" si="543"/>
        <v>2156.9624507936051</v>
      </c>
      <c r="M114" s="4">
        <f t="shared" si="543"/>
        <v>2245.3979112761431</v>
      </c>
      <c r="N114" s="4">
        <f t="shared" si="543"/>
        <v>2337.4592256384653</v>
      </c>
      <c r="O114" s="4">
        <f t="shared" si="543"/>
        <v>2433.2950538896421</v>
      </c>
      <c r="P114" s="4">
        <f t="shared" si="543"/>
        <v>2533.0601510991173</v>
      </c>
      <c r="Q114" s="4">
        <f t="shared" si="543"/>
        <v>2636.9156172941812</v>
      </c>
      <c r="R114" s="4">
        <f t="shared" si="543"/>
        <v>2745.0291576032423</v>
      </c>
      <c r="S114" s="4">
        <f t="shared" si="543"/>
        <v>2857.5753530649754</v>
      </c>
      <c r="T114" s="4">
        <f t="shared" si="543"/>
        <v>2974.7359425406394</v>
      </c>
      <c r="U114" s="4">
        <f t="shared" si="543"/>
        <v>3096.7001161848052</v>
      </c>
      <c r="V114" s="4">
        <f t="shared" si="543"/>
        <v>3223.6648209483824</v>
      </c>
      <c r="W114" s="4">
        <f t="shared" si="543"/>
        <v>3355.835078607266</v>
      </c>
      <c r="X114" s="4">
        <f t="shared" si="543"/>
        <v>3493.4243168301641</v>
      </c>
      <c r="Y114" s="4">
        <f t="shared" si="543"/>
        <v>3636.6547138202004</v>
      </c>
      <c r="Z114" s="4">
        <f t="shared" si="543"/>
        <v>3785.7575570868289</v>
      </c>
      <c r="AA114" s="4">
        <f t="shared" si="543"/>
        <v>3940.9736169273892</v>
      </c>
      <c r="AB114" s="4">
        <f t="shared" si="543"/>
        <v>4102.5535352214119</v>
      </c>
      <c r="AC114" s="4">
        <f t="shared" si="543"/>
        <v>4270.7582301654893</v>
      </c>
      <c r="AD114" s="4">
        <f t="shared" si="543"/>
        <v>4445.859317602275</v>
      </c>
      <c r="AE114" s="4">
        <f t="shared" si="543"/>
        <v>4628.1395496239684</v>
      </c>
      <c r="AF114" s="4">
        <f t="shared" si="543"/>
        <v>4817.8932711585512</v>
      </c>
      <c r="AG114" s="4">
        <f t="shared" si="543"/>
        <v>5015.4268952760513</v>
      </c>
      <c r="AH114" s="4">
        <f t="shared" si="543"/>
        <v>2803.4293175031771</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492" t="s">
        <v>56</v>
      </c>
      <c r="C115" s="493"/>
      <c r="D115" s="39">
        <f>IF(D106&gt;0,D114/D106,)</f>
        <v>1.7000000000000001E-2</v>
      </c>
      <c r="E115" s="39">
        <f t="shared" ref="E115:BA115" si="544">IF(E106&gt;0,E114/E106,)</f>
        <v>1.8003051881993894E-2</v>
      </c>
      <c r="F115" s="39">
        <f t="shared" si="544"/>
        <v>1.9084760950706665E-2</v>
      </c>
      <c r="G115" s="39">
        <f t="shared" si="544"/>
        <v>2.0253774596203675E-2</v>
      </c>
      <c r="H115" s="39">
        <f t="shared" si="544"/>
        <v>2.1520041422928991E-2</v>
      </c>
      <c r="I115" s="39">
        <f t="shared" si="544"/>
        <v>2.2895065887549838E-2</v>
      </c>
      <c r="J115" s="39">
        <f t="shared" si="544"/>
        <v>2.4392225191850754E-2</v>
      </c>
      <c r="K115" s="39">
        <f t="shared" si="544"/>
        <v>2.6027166941868584E-2</v>
      </c>
      <c r="L115" s="39">
        <f t="shared" si="544"/>
        <v>2.7818312653971191E-2</v>
      </c>
      <c r="M115" s="39">
        <f t="shared" si="544"/>
        <v>2.9787501502768668E-2</v>
      </c>
      <c r="N115" s="39">
        <f t="shared" si="544"/>
        <v>3.1960822100737633E-2</v>
      </c>
      <c r="O115" s="39">
        <f t="shared" si="544"/>
        <v>3.436969966346775E-2</v>
      </c>
      <c r="P115" s="39">
        <f t="shared" si="544"/>
        <v>3.7052334974576315E-2</v>
      </c>
      <c r="Q115" s="39">
        <f t="shared" si="544"/>
        <v>4.0055635533957683E-2</v>
      </c>
      <c r="R115" s="39">
        <f t="shared" si="544"/>
        <v>4.3437847165282241E-2</v>
      </c>
      <c r="S115" s="39">
        <f t="shared" si="544"/>
        <v>4.7272201565842289E-2</v>
      </c>
      <c r="T115" s="39">
        <f t="shared" si="544"/>
        <v>5.1652068839516188E-2</v>
      </c>
      <c r="U115" s="39">
        <f t="shared" si="544"/>
        <v>5.6698392958097962E-2</v>
      </c>
      <c r="V115" s="39">
        <f t="shared" si="544"/>
        <v>6.2570684316408831E-2</v>
      </c>
      <c r="W115" s="39">
        <f t="shared" si="544"/>
        <v>6.9483726701978721E-2</v>
      </c>
      <c r="X115" s="39">
        <f t="shared" si="544"/>
        <v>7.7733793134420054E-2</v>
      </c>
      <c r="Y115" s="39">
        <f t="shared" si="544"/>
        <v>8.7741346316861701E-2</v>
      </c>
      <c r="Z115" s="39">
        <f t="shared" si="544"/>
        <v>0.1001237326136436</v>
      </c>
      <c r="AA115" s="39">
        <f t="shared" si="544"/>
        <v>0.11582570785373651</v>
      </c>
      <c r="AB115" s="39">
        <f t="shared" si="544"/>
        <v>0.13636967614502163</v>
      </c>
      <c r="AC115" s="39">
        <f t="shared" si="544"/>
        <v>0.16437685077256009</v>
      </c>
      <c r="AD115" s="39">
        <f t="shared" si="544"/>
        <v>0.20477688035861324</v>
      </c>
      <c r="AE115" s="39">
        <f t="shared" si="544"/>
        <v>0.26806656797082135</v>
      </c>
      <c r="AF115" s="39">
        <f t="shared" si="544"/>
        <v>0.38126048769760301</v>
      </c>
      <c r="AG115" s="39">
        <f t="shared" si="544"/>
        <v>0.64145275968610094</v>
      </c>
      <c r="AH115" s="39">
        <f t="shared" si="544"/>
        <v>1</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492"/>
      <c r="C116" s="493"/>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40" t="s">
        <v>45</v>
      </c>
      <c r="C117" s="441"/>
      <c r="D117" s="4">
        <f>D48+D65+D82+D99</f>
        <v>5336</v>
      </c>
      <c r="E117" s="4">
        <f t="shared" ref="E117:BA117" si="545">E48+E65+E82+E99</f>
        <v>5336</v>
      </c>
      <c r="F117" s="4">
        <f t="shared" si="545"/>
        <v>5336</v>
      </c>
      <c r="G117" s="4">
        <f t="shared" si="545"/>
        <v>5336</v>
      </c>
      <c r="H117" s="4">
        <f t="shared" si="545"/>
        <v>5336</v>
      </c>
      <c r="I117" s="4">
        <f t="shared" si="545"/>
        <v>5336</v>
      </c>
      <c r="J117" s="4">
        <f t="shared" si="545"/>
        <v>5336</v>
      </c>
      <c r="K117" s="4">
        <f t="shared" si="545"/>
        <v>5336</v>
      </c>
      <c r="L117" s="4">
        <f t="shared" si="545"/>
        <v>5336</v>
      </c>
      <c r="M117" s="4">
        <f t="shared" si="545"/>
        <v>5336</v>
      </c>
      <c r="N117" s="4">
        <f t="shared" si="545"/>
        <v>5336</v>
      </c>
      <c r="O117" s="4">
        <f t="shared" si="545"/>
        <v>5336</v>
      </c>
      <c r="P117" s="4">
        <f t="shared" si="545"/>
        <v>5336</v>
      </c>
      <c r="Q117" s="4">
        <f t="shared" si="545"/>
        <v>5336</v>
      </c>
      <c r="R117" s="4">
        <f t="shared" si="545"/>
        <v>5336</v>
      </c>
      <c r="S117" s="4">
        <f t="shared" si="545"/>
        <v>5336</v>
      </c>
      <c r="T117" s="4">
        <f t="shared" si="545"/>
        <v>5336</v>
      </c>
      <c r="U117" s="4">
        <f t="shared" si="545"/>
        <v>5336</v>
      </c>
      <c r="V117" s="4">
        <f t="shared" si="545"/>
        <v>5336</v>
      </c>
      <c r="W117" s="4">
        <f t="shared" si="545"/>
        <v>5336</v>
      </c>
      <c r="X117" s="4">
        <f t="shared" si="545"/>
        <v>5336</v>
      </c>
      <c r="Y117" s="4">
        <f t="shared" si="545"/>
        <v>5336</v>
      </c>
      <c r="Z117" s="4">
        <f t="shared" si="545"/>
        <v>5336</v>
      </c>
      <c r="AA117" s="4">
        <f t="shared" si="545"/>
        <v>5336</v>
      </c>
      <c r="AB117" s="4">
        <f t="shared" si="545"/>
        <v>5336</v>
      </c>
      <c r="AC117" s="4">
        <f t="shared" si="545"/>
        <v>5336</v>
      </c>
      <c r="AD117" s="4">
        <f t="shared" si="545"/>
        <v>5336</v>
      </c>
      <c r="AE117" s="4">
        <f t="shared" si="545"/>
        <v>5336</v>
      </c>
      <c r="AF117" s="4">
        <f t="shared" si="545"/>
        <v>5336</v>
      </c>
      <c r="AG117" s="4">
        <f t="shared" si="545"/>
        <v>5336</v>
      </c>
      <c r="AH117" s="4">
        <f t="shared" si="545"/>
        <v>2918.3699195208073</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40" t="s">
        <v>47</v>
      </c>
      <c r="C118" s="441"/>
      <c r="D118" s="4">
        <f>D50+D67+D84+D101</f>
        <v>90436</v>
      </c>
      <c r="E118" s="4">
        <f t="shared" ref="E118:BA118" si="546">E50+E67+E84+E101</f>
        <v>88807.876000000004</v>
      </c>
      <c r="F118" s="4">
        <f t="shared" si="546"/>
        <v>87112.998916000011</v>
      </c>
      <c r="G118" s="4">
        <f t="shared" si="546"/>
        <v>85348.631871556019</v>
      </c>
      <c r="H118" s="4">
        <f t="shared" si="546"/>
        <v>83511.92577828982</v>
      </c>
      <c r="I118" s="4">
        <f t="shared" si="546"/>
        <v>81599.914735199709</v>
      </c>
      <c r="J118" s="4">
        <f t="shared" si="546"/>
        <v>79609.511239342901</v>
      </c>
      <c r="K118" s="4">
        <f t="shared" si="546"/>
        <v>77537.501200155966</v>
      </c>
      <c r="L118" s="4">
        <f t="shared" si="546"/>
        <v>75380.538749362357</v>
      </c>
      <c r="M118" s="4">
        <f t="shared" si="546"/>
        <v>73135.140838086212</v>
      </c>
      <c r="N118" s="4">
        <f t="shared" si="546"/>
        <v>70797.681612447748</v>
      </c>
      <c r="O118" s="4">
        <f t="shared" si="546"/>
        <v>68364.386558558108</v>
      </c>
      <c r="P118" s="4">
        <f t="shared" si="546"/>
        <v>65831.326407458997</v>
      </c>
      <c r="Q118" s="4">
        <f t="shared" si="546"/>
        <v>63194.410790164817</v>
      </c>
      <c r="R118" s="4">
        <f t="shared" si="546"/>
        <v>60449.381632561577</v>
      </c>
      <c r="S118" s="4">
        <f t="shared" si="546"/>
        <v>57591.806279496603</v>
      </c>
      <c r="T118" s="4">
        <f t="shared" si="546"/>
        <v>54617.070336955963</v>
      </c>
      <c r="U118" s="4">
        <f t="shared" si="546"/>
        <v>51520.370220771161</v>
      </c>
      <c r="V118" s="4">
        <f t="shared" si="546"/>
        <v>48296.705399822778</v>
      </c>
      <c r="W118" s="4">
        <f t="shared" si="546"/>
        <v>44940.870321215509</v>
      </c>
      <c r="X118" s="4">
        <f t="shared" si="546"/>
        <v>41447.446004385347</v>
      </c>
      <c r="Y118" s="4">
        <f t="shared" si="546"/>
        <v>37810.791290565146</v>
      </c>
      <c r="Z118" s="4">
        <f t="shared" si="546"/>
        <v>34025.033733478318</v>
      </c>
      <c r="AA118" s="4">
        <f t="shared" si="546"/>
        <v>30084.060116550929</v>
      </c>
      <c r="AB118" s="4">
        <f t="shared" si="546"/>
        <v>25981.506581329515</v>
      </c>
      <c r="AC118" s="4">
        <f t="shared" si="546"/>
        <v>21710.748351164024</v>
      </c>
      <c r="AD118" s="4">
        <f t="shared" si="546"/>
        <v>17264.889033561747</v>
      </c>
      <c r="AE118" s="4">
        <f t="shared" si="546"/>
        <v>12636.74948393778</v>
      </c>
      <c r="AF118" s="4">
        <f t="shared" si="546"/>
        <v>7818.8562127792284</v>
      </c>
      <c r="AG118" s="4">
        <f t="shared" si="546"/>
        <v>2803.4293175031771</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66" t="s">
        <v>24</v>
      </c>
      <c r="C119" s="467"/>
      <c r="D119" s="298">
        <f>D51+D68+D85+D102</f>
        <v>444.66666666666669</v>
      </c>
      <c r="E119" s="298">
        <f t="shared" ref="E119:BA119" si="547">E51+E68+E85+E102</f>
        <v>444.66666666666669</v>
      </c>
      <c r="F119" s="298">
        <f t="shared" si="547"/>
        <v>444.66666666666669</v>
      </c>
      <c r="G119" s="298">
        <f t="shared" si="547"/>
        <v>444.66666666666669</v>
      </c>
      <c r="H119" s="298">
        <f t="shared" si="547"/>
        <v>444.66666666666669</v>
      </c>
      <c r="I119" s="298">
        <f t="shared" si="547"/>
        <v>444.66666666666669</v>
      </c>
      <c r="J119" s="298">
        <f t="shared" si="547"/>
        <v>444.66666666666669</v>
      </c>
      <c r="K119" s="298">
        <f t="shared" si="547"/>
        <v>444.66666666666669</v>
      </c>
      <c r="L119" s="298">
        <f t="shared" si="547"/>
        <v>444.66666666666669</v>
      </c>
      <c r="M119" s="298">
        <f t="shared" si="547"/>
        <v>444.66666666666669</v>
      </c>
      <c r="N119" s="298">
        <f t="shared" si="547"/>
        <v>444.66666666666669</v>
      </c>
      <c r="O119" s="298">
        <f t="shared" si="547"/>
        <v>444.66666666666669</v>
      </c>
      <c r="P119" s="298">
        <f t="shared" si="547"/>
        <v>444.66666666666669</v>
      </c>
      <c r="Q119" s="298">
        <f t="shared" si="547"/>
        <v>444.66666666666669</v>
      </c>
      <c r="R119" s="298">
        <f t="shared" si="547"/>
        <v>444.66666666666669</v>
      </c>
      <c r="S119" s="298">
        <f t="shared" si="547"/>
        <v>444.66666666666669</v>
      </c>
      <c r="T119" s="298">
        <f t="shared" si="547"/>
        <v>444.66666666666669</v>
      </c>
      <c r="U119" s="298">
        <f t="shared" si="547"/>
        <v>444.66666666666669</v>
      </c>
      <c r="V119" s="298">
        <f t="shared" si="547"/>
        <v>444.66666666666669</v>
      </c>
      <c r="W119" s="298">
        <f t="shared" si="547"/>
        <v>444.66666666666669</v>
      </c>
      <c r="X119" s="298">
        <f t="shared" si="547"/>
        <v>444.66666666666669</v>
      </c>
      <c r="Y119" s="298">
        <f t="shared" si="547"/>
        <v>444.66666666666669</v>
      </c>
      <c r="Z119" s="298">
        <f t="shared" si="547"/>
        <v>444.66666666666669</v>
      </c>
      <c r="AA119" s="298">
        <f t="shared" si="547"/>
        <v>444.66666666666669</v>
      </c>
      <c r="AB119" s="298">
        <f t="shared" si="547"/>
        <v>444.66666666666669</v>
      </c>
      <c r="AC119" s="298">
        <f t="shared" si="547"/>
        <v>444.66666666666669</v>
      </c>
      <c r="AD119" s="298">
        <f t="shared" si="547"/>
        <v>444.66666666666669</v>
      </c>
      <c r="AE119" s="298">
        <f t="shared" si="547"/>
        <v>444.66666666666669</v>
      </c>
      <c r="AF119" s="298">
        <f t="shared" si="547"/>
        <v>444.66666666666669</v>
      </c>
      <c r="AG119" s="298">
        <f t="shared" si="547"/>
        <v>444.66666666666669</v>
      </c>
      <c r="AH119" s="298">
        <f t="shared" si="547"/>
        <v>243.19749329340061</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372</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32:C32"/>
    <mergeCell ref="B38:C38"/>
    <mergeCell ref="B39:C39"/>
    <mergeCell ref="B29:C29"/>
    <mergeCell ref="B30:C30"/>
    <mergeCell ref="B34:C34"/>
    <mergeCell ref="B31:C31"/>
    <mergeCell ref="T1:U3"/>
    <mergeCell ref="B19:C19"/>
    <mergeCell ref="B20:C20"/>
    <mergeCell ref="B18:C18"/>
    <mergeCell ref="P1:R3"/>
    <mergeCell ref="B17:C17"/>
    <mergeCell ref="B1:C3"/>
    <mergeCell ref="J1:O3"/>
    <mergeCell ref="B8:C8"/>
    <mergeCell ref="B9:C9"/>
    <mergeCell ref="B11:C11"/>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63:C63"/>
    <mergeCell ref="B65:C65"/>
    <mergeCell ref="B66:C66"/>
    <mergeCell ref="B92:C92"/>
    <mergeCell ref="B76:C76"/>
    <mergeCell ref="B78:C78"/>
    <mergeCell ref="B99:C99"/>
    <mergeCell ref="B100:C100"/>
    <mergeCell ref="B67:C67"/>
    <mergeCell ref="B68:C68"/>
    <mergeCell ref="B84:C84"/>
    <mergeCell ref="B85:C85"/>
    <mergeCell ref="B96:C96"/>
    <mergeCell ref="B97:C97"/>
    <mergeCell ref="B75:C75"/>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5" t="s">
        <v>351</v>
      </c>
      <c r="D1" s="425"/>
      <c r="E1" s="425"/>
      <c r="F1" s="425"/>
      <c r="G1" s="425"/>
      <c r="H1" s="272"/>
      <c r="I1" s="272"/>
      <c r="J1" s="272"/>
      <c r="K1" s="272"/>
      <c r="L1" s="272"/>
      <c r="M1" s="272"/>
      <c r="N1" s="272"/>
      <c r="O1" s="272"/>
      <c r="P1" s="433" t="s">
        <v>348</v>
      </c>
      <c r="Q1" s="433"/>
      <c r="R1" s="433"/>
      <c r="S1" s="433"/>
      <c r="T1" s="147"/>
      <c r="U1" s="147"/>
      <c r="V1" s="147"/>
      <c r="W1" s="425"/>
      <c r="X1" s="425"/>
      <c r="Z1" s="425"/>
      <c r="AA1" s="424"/>
    </row>
    <row r="2" spans="2:38" s="150" customFormat="1" ht="18">
      <c r="C2" s="425"/>
      <c r="D2" s="425"/>
      <c r="E2" s="425"/>
      <c r="F2" s="425"/>
      <c r="G2" s="425"/>
      <c r="H2" s="272"/>
      <c r="I2" s="272"/>
      <c r="J2" s="272"/>
      <c r="K2" s="272"/>
      <c r="L2" s="272"/>
      <c r="M2" s="272"/>
      <c r="N2" s="272"/>
      <c r="O2" s="272"/>
      <c r="P2" s="433"/>
      <c r="Q2" s="433"/>
      <c r="R2" s="433"/>
      <c r="S2" s="433"/>
      <c r="T2" s="147"/>
      <c r="U2" s="147"/>
      <c r="V2" s="147"/>
      <c r="W2" s="425"/>
      <c r="X2" s="425"/>
      <c r="Z2" s="425"/>
      <c r="AA2" s="424"/>
    </row>
    <row r="3" spans="2:38" s="150" customFormat="1" ht="12.75" customHeight="1">
      <c r="C3" s="425"/>
      <c r="D3" s="425"/>
      <c r="E3" s="425"/>
      <c r="F3" s="425"/>
      <c r="G3" s="425"/>
      <c r="H3" s="272"/>
      <c r="I3" s="272"/>
      <c r="J3" s="272"/>
      <c r="K3" s="272"/>
      <c r="L3" s="272"/>
      <c r="M3" s="272"/>
      <c r="N3" s="272"/>
      <c r="O3" s="272"/>
      <c r="P3" s="433"/>
      <c r="Q3" s="433"/>
      <c r="R3" s="433"/>
      <c r="S3" s="433"/>
      <c r="T3" s="147"/>
      <c r="U3" s="147"/>
      <c r="V3" s="147"/>
      <c r="W3" s="425"/>
      <c r="X3" s="425"/>
      <c r="Z3" s="425"/>
      <c r="AA3" s="424"/>
    </row>
    <row r="4" spans="2:38" s="6" customFormat="1" ht="18.75" customHeight="1">
      <c r="S4" s="5"/>
      <c r="T4" s="5"/>
      <c r="U4" s="5"/>
      <c r="V4" s="5"/>
    </row>
    <row r="5" spans="2:38" ht="8.25" customHeight="1"/>
    <row r="6" spans="2:38" ht="13.5" thickBot="1">
      <c r="B6" s="57" t="s">
        <v>284</v>
      </c>
      <c r="C6" s="57"/>
      <c r="R6" s="57"/>
      <c r="S6" s="57"/>
      <c r="U6" s="57" t="s">
        <v>284</v>
      </c>
    </row>
    <row r="7" spans="2:38" ht="15" customHeight="1" thickBot="1">
      <c r="B7" s="355">
        <v>5000</v>
      </c>
      <c r="C7" s="528" t="s">
        <v>369</v>
      </c>
      <c r="D7" s="519" t="s">
        <v>292</v>
      </c>
      <c r="E7" s="519" t="s">
        <v>370</v>
      </c>
      <c r="F7" s="519" t="s">
        <v>371</v>
      </c>
      <c r="G7" s="519" t="s">
        <v>283</v>
      </c>
      <c r="H7" s="519" t="s">
        <v>478</v>
      </c>
      <c r="I7" s="519" t="s">
        <v>79</v>
      </c>
      <c r="J7" s="519" t="s">
        <v>43</v>
      </c>
      <c r="K7" s="519" t="s">
        <v>44</v>
      </c>
      <c r="L7" s="519" t="s">
        <v>287</v>
      </c>
      <c r="M7" s="519" t="s">
        <v>289</v>
      </c>
      <c r="N7" s="519" t="s">
        <v>288</v>
      </c>
      <c r="O7" s="519" t="s">
        <v>101</v>
      </c>
      <c r="P7" s="522" t="s">
        <v>286</v>
      </c>
      <c r="R7" s="524" t="s">
        <v>1</v>
      </c>
      <c r="S7" s="519" t="s">
        <v>369</v>
      </c>
      <c r="T7" s="529" t="s">
        <v>292</v>
      </c>
      <c r="U7" s="356">
        <v>1E-3</v>
      </c>
      <c r="V7" s="528" t="s">
        <v>371</v>
      </c>
      <c r="W7" s="519" t="s">
        <v>283</v>
      </c>
      <c r="X7" s="519" t="s">
        <v>478</v>
      </c>
      <c r="Y7" s="519" t="s">
        <v>79</v>
      </c>
      <c r="Z7" s="519" t="s">
        <v>43</v>
      </c>
      <c r="AA7" s="519" t="s">
        <v>44</v>
      </c>
      <c r="AB7" s="519" t="s">
        <v>287</v>
      </c>
      <c r="AC7" s="519" t="s">
        <v>289</v>
      </c>
      <c r="AD7" s="519" t="s">
        <v>288</v>
      </c>
      <c r="AE7" s="519" t="s">
        <v>101</v>
      </c>
      <c r="AF7" s="522" t="s">
        <v>286</v>
      </c>
      <c r="AH7" s="507" t="s">
        <v>290</v>
      </c>
      <c r="AI7" s="508"/>
      <c r="AJ7" s="508"/>
      <c r="AK7" s="508"/>
      <c r="AL7" s="509"/>
    </row>
    <row r="8" spans="2:38" ht="15.75" customHeight="1" thickBot="1">
      <c r="B8" s="313" t="s">
        <v>1</v>
      </c>
      <c r="C8" s="520"/>
      <c r="D8" s="520"/>
      <c r="E8" s="520"/>
      <c r="F8" s="520"/>
      <c r="G8" s="520"/>
      <c r="H8" s="520"/>
      <c r="I8" s="520"/>
      <c r="J8" s="520"/>
      <c r="K8" s="520"/>
      <c r="L8" s="520"/>
      <c r="M8" s="520"/>
      <c r="N8" s="520"/>
      <c r="O8" s="520"/>
      <c r="P8" s="523"/>
      <c r="R8" s="525"/>
      <c r="S8" s="520"/>
      <c r="T8" s="527"/>
      <c r="U8" s="315" t="s">
        <v>22</v>
      </c>
      <c r="V8" s="520"/>
      <c r="W8" s="520"/>
      <c r="X8" s="520"/>
      <c r="Y8" s="520"/>
      <c r="Z8" s="520"/>
      <c r="AA8" s="520"/>
      <c r="AB8" s="520"/>
      <c r="AC8" s="520"/>
      <c r="AD8" s="520"/>
      <c r="AE8" s="520"/>
      <c r="AF8" s="523"/>
      <c r="AH8" s="510"/>
      <c r="AI8" s="511"/>
      <c r="AJ8" s="511"/>
      <c r="AK8" s="511"/>
      <c r="AL8" s="512"/>
    </row>
    <row r="9" spans="2:38">
      <c r="B9" s="316">
        <f>B10+$B$7</f>
        <v>135000</v>
      </c>
      <c r="C9" s="317">
        <f t="shared" ref="C9:C17" si="0">$AL$10</f>
        <v>0.8</v>
      </c>
      <c r="D9" s="318">
        <f>B9*C9</f>
        <v>108000</v>
      </c>
      <c r="E9" s="319">
        <f t="shared" ref="E9:E17" si="1">$AL$11</f>
        <v>4.1000000000000002E-2</v>
      </c>
      <c r="F9" s="319">
        <f t="shared" ref="F9:F17" si="2">$AL$12</f>
        <v>1.7000000000000001E-2</v>
      </c>
      <c r="G9" s="318">
        <f t="shared" ref="G9:G17" si="3">$AL$13</f>
        <v>313</v>
      </c>
      <c r="H9" s="318">
        <f>G9+Cockpit!$K$9</f>
        <v>449.6</v>
      </c>
      <c r="I9" s="318">
        <f>-Cockpit!$K$12-Cockpit!$H$25*(Szenarien!G9-Szenarien!$AL$13)</f>
        <v>-218.988</v>
      </c>
      <c r="J9" s="318">
        <f>Cockpit!$Q$21-E9*(D9-$D13)/12</f>
        <v>-369</v>
      </c>
      <c r="K9" s="318">
        <f>Cockpit!$Q$22-F9*(D9-$D13)/12</f>
        <v>-153</v>
      </c>
      <c r="L9" s="318">
        <f>H9+I9+J9+K9</f>
        <v>-291.38799999999998</v>
      </c>
      <c r="M9" s="318">
        <f>Cockpit!$Q$29</f>
        <v>-173</v>
      </c>
      <c r="N9" s="318">
        <f>Cockpit!$Q$31-Cockpit!$H$20*Cockpit!$H$21*(1+Cockpit!$D$22)*(B9-$B13)/12</f>
        <v>-110.64375</v>
      </c>
      <c r="O9" s="318">
        <f>(H9+J9+M9+N9)*Cockpit!$Q$33</f>
        <v>-81.217500000000001</v>
      </c>
      <c r="P9" s="320">
        <f t="shared" ref="P9:P12" si="4">L9-O9</f>
        <v>-210.17049999999998</v>
      </c>
      <c r="R9" s="330">
        <f t="shared" ref="R9:R17" si="5">$AL$9</f>
        <v>115000</v>
      </c>
      <c r="S9" s="317">
        <f t="shared" ref="S9:S17" si="6">$AL$10</f>
        <v>0.8</v>
      </c>
      <c r="T9" s="318">
        <f>R9*S9</f>
        <v>92000</v>
      </c>
      <c r="U9" s="338">
        <f>U10+$U$7</f>
        <v>4.5000000000000005E-2</v>
      </c>
      <c r="V9" s="319">
        <f t="shared" ref="V9:V17" si="7">$AL$12</f>
        <v>1.7000000000000001E-2</v>
      </c>
      <c r="W9" s="318">
        <f t="shared" ref="W9:W17" si="8">$AL$13</f>
        <v>313</v>
      </c>
      <c r="X9" s="318">
        <f>W9+Cockpit!$K$9</f>
        <v>449.6</v>
      </c>
      <c r="Y9" s="318">
        <f>-Cockpit!$K$12-Cockpit!$H$25*(Szenarien!W9-Szenarien!$AL$13)</f>
        <v>-218.988</v>
      </c>
      <c r="Z9" s="318">
        <f>Cockpit!$Q$21-U9*(T9-$T$13)/12-(U9-$U$13)*$T$13/12</f>
        <v>-345</v>
      </c>
      <c r="AA9" s="318">
        <f>Cockpit!$Q$22-V9*(T9-$T$13)/12-(V9-$V$13)*$T$13/12</f>
        <v>-130.33333333333334</v>
      </c>
      <c r="AB9" s="318">
        <f>X9+Y9+Z9+AA9</f>
        <v>-244.72133333333332</v>
      </c>
      <c r="AC9" s="318">
        <f>Cockpit!$Q$29</f>
        <v>-173</v>
      </c>
      <c r="AD9" s="318">
        <f>Cockpit!$Q$31-Cockpit!$H$20*Cockpit!$H$21*(1+Cockpit!$D$22)*(R9-$R13)/12</f>
        <v>-94.098749999999995</v>
      </c>
      <c r="AE9" s="318">
        <f>(X9+Z9+AC9+AD9)*Cockpit!$Q$33</f>
        <v>-64.999499999999998</v>
      </c>
      <c r="AF9" s="320">
        <f t="shared" ref="AF9:AF12" si="9">AB9-AE9</f>
        <v>-179.72183333333334</v>
      </c>
      <c r="AH9" s="513" t="s">
        <v>1</v>
      </c>
      <c r="AI9" s="514"/>
      <c r="AJ9" s="514"/>
      <c r="AK9" s="515"/>
      <c r="AL9" s="351">
        <f>Cockpit!D14</f>
        <v>115000</v>
      </c>
    </row>
    <row r="10" spans="2:38">
      <c r="B10" s="321">
        <f>B11+$B$7</f>
        <v>130000</v>
      </c>
      <c r="C10" s="47">
        <f t="shared" si="0"/>
        <v>0.8</v>
      </c>
      <c r="D10" s="48">
        <f t="shared" ref="D10:D17" si="10">B10*C10</f>
        <v>104000</v>
      </c>
      <c r="E10" s="49">
        <f t="shared" si="1"/>
        <v>4.1000000000000002E-2</v>
      </c>
      <c r="F10" s="49">
        <f t="shared" si="2"/>
        <v>1.7000000000000001E-2</v>
      </c>
      <c r="G10" s="48">
        <f t="shared" si="3"/>
        <v>313</v>
      </c>
      <c r="H10" s="48">
        <f>G10+Cockpit!$K$9</f>
        <v>449.6</v>
      </c>
      <c r="I10" s="48">
        <f>-Cockpit!$K$12-Cockpit!$H$25*(Szenarien!G10-Szenarien!$AL$13)</f>
        <v>-218.988</v>
      </c>
      <c r="J10" s="48">
        <f>Cockpit!$Q$21-E10*(D10-$D13)/12</f>
        <v>-355.33333333333331</v>
      </c>
      <c r="K10" s="48">
        <f>Cockpit!$Q$22-F10*(D10-$D13)/12</f>
        <v>-147.33333333333334</v>
      </c>
      <c r="L10" s="48">
        <f t="shared" ref="L10:L17" si="11">H10+I10+J10+K10</f>
        <v>-272.05466666666666</v>
      </c>
      <c r="M10" s="48">
        <f>Cockpit!$Q$29</f>
        <v>-173</v>
      </c>
      <c r="N10" s="48">
        <f>Cockpit!$Q$31-Cockpit!$H$20*Cockpit!$H$21*(1+Cockpit!$D$22)*(B10-$B13)/12</f>
        <v>-106.50749999999999</v>
      </c>
      <c r="O10" s="48">
        <f>(H10+J10+M10+N10)*Cockpit!$Q$33</f>
        <v>-74.09633333333332</v>
      </c>
      <c r="P10" s="286">
        <f t="shared" si="4"/>
        <v>-197.95833333333334</v>
      </c>
      <c r="R10" s="333">
        <f t="shared" si="5"/>
        <v>115000</v>
      </c>
      <c r="S10" s="47">
        <f t="shared" si="6"/>
        <v>0.8</v>
      </c>
      <c r="T10" s="48">
        <f t="shared" ref="T10:T17" si="12">R10*S10</f>
        <v>92000</v>
      </c>
      <c r="U10" s="129">
        <f>U11+$U$7</f>
        <v>4.4000000000000004E-2</v>
      </c>
      <c r="V10" s="49">
        <f t="shared" si="7"/>
        <v>1.7000000000000001E-2</v>
      </c>
      <c r="W10" s="48">
        <f t="shared" si="8"/>
        <v>313</v>
      </c>
      <c r="X10" s="48">
        <f>W10+Cockpit!$K$9</f>
        <v>449.6</v>
      </c>
      <c r="Y10" s="48">
        <f>-Cockpit!$K$12-Cockpit!$H$25*(Szenarien!W10-Szenarien!$AL$13)</f>
        <v>-218.988</v>
      </c>
      <c r="Z10" s="48">
        <f>Cockpit!$Q$21-U10*(T10-$T$13)/12-(U10-$U$13)*$T$13/12</f>
        <v>-337.33333333333331</v>
      </c>
      <c r="AA10" s="48">
        <f>Cockpit!$Q$22-V10*(T10-$T$13)/12-(V10-$V$13)*$T$13/12</f>
        <v>-130.33333333333334</v>
      </c>
      <c r="AB10" s="48">
        <f t="shared" ref="AB10:AB17" si="13">X10+Y10+Z10+AA10</f>
        <v>-237.05466666666663</v>
      </c>
      <c r="AC10" s="48">
        <f>Cockpit!$Q$29</f>
        <v>-173</v>
      </c>
      <c r="AD10" s="48">
        <f>Cockpit!$Q$31-Cockpit!$H$20*Cockpit!$H$21*(1+Cockpit!$D$22)*(R10-$R13)/12</f>
        <v>-94.098749999999995</v>
      </c>
      <c r="AE10" s="48">
        <f>(X10+Z10+AC10+AD10)*Cockpit!$Q$33</f>
        <v>-61.932833333333321</v>
      </c>
      <c r="AF10" s="286">
        <f t="shared" si="9"/>
        <v>-175.12183333333331</v>
      </c>
      <c r="AH10" s="516" t="s">
        <v>291</v>
      </c>
      <c r="AI10" s="517"/>
      <c r="AJ10" s="517"/>
      <c r="AK10" s="518"/>
      <c r="AL10" s="352">
        <f>Cockpit!N17/AL9</f>
        <v>0.8</v>
      </c>
    </row>
    <row r="11" spans="2:38">
      <c r="B11" s="321">
        <f>B12+$B$7</f>
        <v>125000</v>
      </c>
      <c r="C11" s="47">
        <f t="shared" si="0"/>
        <v>0.8</v>
      </c>
      <c r="D11" s="48">
        <f t="shared" si="10"/>
        <v>100000</v>
      </c>
      <c r="E11" s="49">
        <f t="shared" si="1"/>
        <v>4.1000000000000002E-2</v>
      </c>
      <c r="F11" s="49">
        <f t="shared" si="2"/>
        <v>1.7000000000000001E-2</v>
      </c>
      <c r="G11" s="48">
        <f t="shared" si="3"/>
        <v>313</v>
      </c>
      <c r="H11" s="48">
        <f>G11+Cockpit!$K$9</f>
        <v>449.6</v>
      </c>
      <c r="I11" s="48">
        <f>-Cockpit!$K$12-Cockpit!$H$25*(Szenarien!G11-Szenarien!$AL$13)</f>
        <v>-218.988</v>
      </c>
      <c r="J11" s="48">
        <f>Cockpit!$Q$21-E11*(D11-$D13)/12</f>
        <v>-341.66666666666663</v>
      </c>
      <c r="K11" s="48">
        <f>Cockpit!$Q$22-F11*(D11-$D13)/12</f>
        <v>-141.66666666666669</v>
      </c>
      <c r="L11" s="48">
        <f t="shared" si="11"/>
        <v>-252.72133333333329</v>
      </c>
      <c r="M11" s="48">
        <f>Cockpit!$Q$29</f>
        <v>-173</v>
      </c>
      <c r="N11" s="48">
        <f>Cockpit!$Q$31-Cockpit!$H$20*Cockpit!$H$21*(1+Cockpit!$D$22)*(B11-$B13)/12</f>
        <v>-102.37124999999999</v>
      </c>
      <c r="O11" s="48">
        <f>(H11+J11+M11+N11)*Cockpit!$Q$33</f>
        <v>-66.975166666666638</v>
      </c>
      <c r="P11" s="286">
        <f t="shared" si="4"/>
        <v>-185.74616666666665</v>
      </c>
      <c r="R11" s="333">
        <f t="shared" si="5"/>
        <v>115000</v>
      </c>
      <c r="S11" s="47">
        <f t="shared" si="6"/>
        <v>0.8</v>
      </c>
      <c r="T11" s="48">
        <f t="shared" si="12"/>
        <v>92000</v>
      </c>
      <c r="U11" s="129">
        <f>U12+$U$7</f>
        <v>4.3000000000000003E-2</v>
      </c>
      <c r="V11" s="49">
        <f t="shared" si="7"/>
        <v>1.7000000000000001E-2</v>
      </c>
      <c r="W11" s="48">
        <f t="shared" si="8"/>
        <v>313</v>
      </c>
      <c r="X11" s="48">
        <f>W11+Cockpit!$K$9</f>
        <v>449.6</v>
      </c>
      <c r="Y11" s="48">
        <f>-Cockpit!$K$12-Cockpit!$H$25*(Szenarien!W11-Szenarien!$AL$13)</f>
        <v>-218.988</v>
      </c>
      <c r="Z11" s="48">
        <f>Cockpit!$Q$21-U11*(T11-$T$13)/12-(U11-$U$13)*$T$13/12</f>
        <v>-329.66666666666669</v>
      </c>
      <c r="AA11" s="48">
        <f>Cockpit!$Q$22-V11*(T11-$T$13)/12-(V11-$V$13)*$T$13/12</f>
        <v>-130.33333333333334</v>
      </c>
      <c r="AB11" s="48">
        <f t="shared" si="13"/>
        <v>-229.38800000000001</v>
      </c>
      <c r="AC11" s="48">
        <f>Cockpit!$Q$29</f>
        <v>-173</v>
      </c>
      <c r="AD11" s="48">
        <f>Cockpit!$Q$31-Cockpit!$H$20*Cockpit!$H$21*(1+Cockpit!$D$22)*(R11-$R13)/12</f>
        <v>-94.098749999999995</v>
      </c>
      <c r="AE11" s="48">
        <f>(X11+Z11+AC11+AD11)*Cockpit!$Q$33</f>
        <v>-58.866166666666665</v>
      </c>
      <c r="AF11" s="286">
        <f t="shared" si="9"/>
        <v>-170.52183333333335</v>
      </c>
      <c r="AH11" s="516" t="s">
        <v>343</v>
      </c>
      <c r="AI11" s="517"/>
      <c r="AJ11" s="517"/>
      <c r="AK11" s="518"/>
      <c r="AL11" s="353">
        <f>Cockpit!N18</f>
        <v>4.1000000000000002E-2</v>
      </c>
    </row>
    <row r="12" spans="2:38" ht="13.5" thickBot="1">
      <c r="B12" s="322">
        <f>B13+$B$7</f>
        <v>120000</v>
      </c>
      <c r="C12" s="50">
        <f t="shared" si="0"/>
        <v>0.8</v>
      </c>
      <c r="D12" s="51">
        <f t="shared" si="10"/>
        <v>96000</v>
      </c>
      <c r="E12" s="52">
        <f t="shared" si="1"/>
        <v>4.1000000000000002E-2</v>
      </c>
      <c r="F12" s="52">
        <f t="shared" si="2"/>
        <v>1.7000000000000001E-2</v>
      </c>
      <c r="G12" s="51">
        <f t="shared" si="3"/>
        <v>313</v>
      </c>
      <c r="H12" s="51">
        <f>G12+Cockpit!$K$9</f>
        <v>449.6</v>
      </c>
      <c r="I12" s="51">
        <f>-Cockpit!$K$12-Cockpit!$H$25*(Szenarien!G12-Szenarien!$AL$13)</f>
        <v>-218.988</v>
      </c>
      <c r="J12" s="51">
        <f>Cockpit!$Q$21-E12*(D12-$D13)/12</f>
        <v>-328</v>
      </c>
      <c r="K12" s="51">
        <f>Cockpit!$Q$22-F12*(D12-$D13)/12</f>
        <v>-136</v>
      </c>
      <c r="L12" s="51">
        <f t="shared" si="11"/>
        <v>-233.38799999999998</v>
      </c>
      <c r="M12" s="51">
        <f>Cockpit!$Q$29</f>
        <v>-173</v>
      </c>
      <c r="N12" s="51">
        <f>Cockpit!$Q$31-Cockpit!$H$20*Cockpit!$H$21*(1+Cockpit!$D$22)*(B12-$B13)/12</f>
        <v>-98.234999999999999</v>
      </c>
      <c r="O12" s="51">
        <f>(H12+J12+M12+N12)*Cockpit!$Q$33</f>
        <v>-59.853999999999999</v>
      </c>
      <c r="P12" s="323">
        <f t="shared" si="4"/>
        <v>-173.53399999999999</v>
      </c>
      <c r="Q12" s="53"/>
      <c r="R12" s="334">
        <f t="shared" si="5"/>
        <v>115000</v>
      </c>
      <c r="S12" s="50">
        <f t="shared" si="6"/>
        <v>0.8</v>
      </c>
      <c r="T12" s="51">
        <f t="shared" si="12"/>
        <v>92000</v>
      </c>
      <c r="U12" s="130">
        <f>U13+$U$7</f>
        <v>4.2000000000000003E-2</v>
      </c>
      <c r="V12" s="52">
        <f t="shared" si="7"/>
        <v>1.7000000000000001E-2</v>
      </c>
      <c r="W12" s="51">
        <f t="shared" si="8"/>
        <v>313</v>
      </c>
      <c r="X12" s="51">
        <f>W12+Cockpit!$K$9</f>
        <v>449.6</v>
      </c>
      <c r="Y12" s="51">
        <f>-Cockpit!$K$12-Cockpit!$H$25*(Szenarien!W12-Szenarien!$AL$13)</f>
        <v>-218.988</v>
      </c>
      <c r="Z12" s="51">
        <f>Cockpit!$Q$21-U12*(T12-$T$13)/12-(U12-$U$13)*$T$13/12</f>
        <v>-322</v>
      </c>
      <c r="AA12" s="51">
        <f>Cockpit!$Q$22-V12*(T12-$T$13)/12-(V12-$V$13)*$T$13/12</f>
        <v>-130.33333333333334</v>
      </c>
      <c r="AB12" s="51">
        <f t="shared" si="13"/>
        <v>-221.72133333333332</v>
      </c>
      <c r="AC12" s="51">
        <f>Cockpit!$Q$29</f>
        <v>-173</v>
      </c>
      <c r="AD12" s="51">
        <f>Cockpit!$Q$31-Cockpit!$H$20*Cockpit!$H$21*(1+Cockpit!$D$22)*(R12-$R13)/12</f>
        <v>-94.098749999999995</v>
      </c>
      <c r="AE12" s="51">
        <f>(X12+Z12+AC12+AD12)*Cockpit!$Q$33</f>
        <v>-55.799499999999995</v>
      </c>
      <c r="AF12" s="323">
        <f t="shared" si="9"/>
        <v>-165.92183333333332</v>
      </c>
      <c r="AH12" s="516" t="s">
        <v>344</v>
      </c>
      <c r="AI12" s="517"/>
      <c r="AJ12" s="517"/>
      <c r="AK12" s="518"/>
      <c r="AL12" s="353">
        <f>Cockpit!N19</f>
        <v>1.7000000000000001E-2</v>
      </c>
    </row>
    <row r="13" spans="2:38" ht="13.5" thickBot="1">
      <c r="B13" s="342">
        <f>$AL$9</f>
        <v>115000</v>
      </c>
      <c r="C13" s="343">
        <f t="shared" si="0"/>
        <v>0.8</v>
      </c>
      <c r="D13" s="344">
        <f t="shared" si="10"/>
        <v>92000</v>
      </c>
      <c r="E13" s="345">
        <f t="shared" si="1"/>
        <v>4.1000000000000002E-2</v>
      </c>
      <c r="F13" s="345">
        <f t="shared" si="2"/>
        <v>1.7000000000000001E-2</v>
      </c>
      <c r="G13" s="344">
        <f t="shared" si="3"/>
        <v>313</v>
      </c>
      <c r="H13" s="344">
        <f>G13+Cockpit!$K$9</f>
        <v>449.6</v>
      </c>
      <c r="I13" s="344">
        <f>-Cockpit!$K$12-Cockpit!$H$25*(Szenarien!G13-Szenarien!$AL$13)</f>
        <v>-218.988</v>
      </c>
      <c r="J13" s="344">
        <f>Cockpit!$Q$21-E13*(D13-$D13)/12</f>
        <v>-314.33333333333331</v>
      </c>
      <c r="K13" s="344">
        <f>Cockpit!$Q$22-F13*(D13-$D13)/12</f>
        <v>-130.33333333333334</v>
      </c>
      <c r="L13" s="344">
        <f t="shared" si="11"/>
        <v>-214.05466666666663</v>
      </c>
      <c r="M13" s="344">
        <f>Cockpit!$Q$29</f>
        <v>-173</v>
      </c>
      <c r="N13" s="344">
        <f>Cockpit!$Q$31-Cockpit!$H$20*Cockpit!$H$21*(1+Cockpit!$D$22)*(B13-$B13)/12</f>
        <v>-94.098749999999995</v>
      </c>
      <c r="O13" s="344">
        <f>(H13+J13+M13+N13)*Cockpit!$Q$33</f>
        <v>-52.732833333333318</v>
      </c>
      <c r="P13" s="346">
        <f>L13-O13</f>
        <v>-161.3218333333333</v>
      </c>
      <c r="R13" s="347">
        <f t="shared" si="5"/>
        <v>115000</v>
      </c>
      <c r="S13" s="343">
        <f t="shared" si="6"/>
        <v>0.8</v>
      </c>
      <c r="T13" s="344">
        <f t="shared" si="12"/>
        <v>92000</v>
      </c>
      <c r="U13" s="348">
        <f>$AL$11</f>
        <v>4.1000000000000002E-2</v>
      </c>
      <c r="V13" s="345">
        <f t="shared" si="7"/>
        <v>1.7000000000000001E-2</v>
      </c>
      <c r="W13" s="344">
        <f t="shared" si="8"/>
        <v>313</v>
      </c>
      <c r="X13" s="344">
        <f>W13+Cockpit!$K$9</f>
        <v>449.6</v>
      </c>
      <c r="Y13" s="344">
        <f>-Cockpit!$K$12-Cockpit!$H$25*(Szenarien!W13-Szenarien!$AL$13)</f>
        <v>-218.988</v>
      </c>
      <c r="Z13" s="344">
        <f>Cockpit!$Q$21-U13*(T13-$T$13)/12-(U13-$U$13)*$T$13/12</f>
        <v>-314.33333333333331</v>
      </c>
      <c r="AA13" s="344">
        <f>Cockpit!$Q$22-V13*(T13-$T$13)/12-(V13-$V$13)*$T$13/12</f>
        <v>-130.33333333333334</v>
      </c>
      <c r="AB13" s="344">
        <f t="shared" si="13"/>
        <v>-214.05466666666663</v>
      </c>
      <c r="AC13" s="344">
        <f>Cockpit!$Q$29</f>
        <v>-173</v>
      </c>
      <c r="AD13" s="344">
        <f>Cockpit!$Q$31-Cockpit!$H$20*Cockpit!$H$21*(1+Cockpit!$D$22)*(R13-$R13)/12</f>
        <v>-94.098749999999995</v>
      </c>
      <c r="AE13" s="344">
        <f>(X13+Z13+AC13+AD13)*Cockpit!$Q$33</f>
        <v>-52.732833333333318</v>
      </c>
      <c r="AF13" s="346">
        <f>AB13-AE13</f>
        <v>-161.3218333333333</v>
      </c>
      <c r="AH13" s="504" t="s">
        <v>78</v>
      </c>
      <c r="AI13" s="505"/>
      <c r="AJ13" s="505"/>
      <c r="AK13" s="506"/>
      <c r="AL13" s="354">
        <f>Cockpit!H15</f>
        <v>313</v>
      </c>
    </row>
    <row r="14" spans="2:38">
      <c r="B14" s="324">
        <f>B13-$B$7</f>
        <v>110000</v>
      </c>
      <c r="C14" s="54">
        <f t="shared" si="0"/>
        <v>0.8</v>
      </c>
      <c r="D14" s="55">
        <f t="shared" si="10"/>
        <v>88000</v>
      </c>
      <c r="E14" s="56">
        <f t="shared" si="1"/>
        <v>4.1000000000000002E-2</v>
      </c>
      <c r="F14" s="56">
        <f t="shared" si="2"/>
        <v>1.7000000000000001E-2</v>
      </c>
      <c r="G14" s="55">
        <f t="shared" si="3"/>
        <v>313</v>
      </c>
      <c r="H14" s="55">
        <f>G14+Cockpit!$K$9</f>
        <v>449.6</v>
      </c>
      <c r="I14" s="55">
        <f>-Cockpit!$K$12-Cockpit!$H$25*(Szenarien!G14-Szenarien!$AL$13)</f>
        <v>-218.988</v>
      </c>
      <c r="J14" s="55">
        <f>Cockpit!$Q$21-E14*(D14-$D13)/12</f>
        <v>-300.66666666666663</v>
      </c>
      <c r="K14" s="55">
        <f>Cockpit!$Q$22-F14*(D14-$D13)/12</f>
        <v>-124.66666666666667</v>
      </c>
      <c r="L14" s="55">
        <f t="shared" si="11"/>
        <v>-194.72133333333329</v>
      </c>
      <c r="M14" s="55">
        <f>Cockpit!$Q$29</f>
        <v>-173</v>
      </c>
      <c r="N14" s="55">
        <f>Cockpit!$Q$31-Cockpit!$H$20*Cockpit!$H$21*(1+Cockpit!$D$22)*(B14-$B13)/12</f>
        <v>-89.962499999999991</v>
      </c>
      <c r="O14" s="55">
        <f>(H14+J14+M14+N14)*Cockpit!$Q$33</f>
        <v>-45.611666666666643</v>
      </c>
      <c r="P14" s="325">
        <f t="shared" ref="P14:P17" si="14">L14-O14</f>
        <v>-149.10966666666664</v>
      </c>
      <c r="R14" s="335">
        <f t="shared" si="5"/>
        <v>115000</v>
      </c>
      <c r="S14" s="54">
        <f t="shared" si="6"/>
        <v>0.8</v>
      </c>
      <c r="T14" s="55">
        <f t="shared" si="12"/>
        <v>92000</v>
      </c>
      <c r="U14" s="131">
        <f>U13-$U$7</f>
        <v>0.04</v>
      </c>
      <c r="V14" s="56">
        <f t="shared" si="7"/>
        <v>1.7000000000000001E-2</v>
      </c>
      <c r="W14" s="55">
        <f t="shared" si="8"/>
        <v>313</v>
      </c>
      <c r="X14" s="55">
        <f>W14+Cockpit!$K$9</f>
        <v>449.6</v>
      </c>
      <c r="Y14" s="55">
        <f>-Cockpit!$K$12-Cockpit!$H$25*(Szenarien!W14-Szenarien!$AL$13)</f>
        <v>-218.988</v>
      </c>
      <c r="Z14" s="55">
        <f>Cockpit!$Q$21-U14*(T14-$T$13)/12-(U14-$U$13)*$T$13/12</f>
        <v>-306.66666666666663</v>
      </c>
      <c r="AA14" s="55">
        <f>Cockpit!$Q$22-V14*(T14-$T$13)/12-(V14-$V$13)*$T$13/12</f>
        <v>-130.33333333333334</v>
      </c>
      <c r="AB14" s="55">
        <f t="shared" si="13"/>
        <v>-206.38799999999995</v>
      </c>
      <c r="AC14" s="55">
        <f>Cockpit!$Q$29</f>
        <v>-173</v>
      </c>
      <c r="AD14" s="55">
        <f>Cockpit!$Q$31-Cockpit!$H$20*Cockpit!$H$21*(1+Cockpit!$D$22)*(R14-$R13)/12</f>
        <v>-94.098749999999995</v>
      </c>
      <c r="AE14" s="55">
        <f>(X14+Z14+AC14+AD14)*Cockpit!$Q$33</f>
        <v>-49.666166666666641</v>
      </c>
      <c r="AF14" s="325">
        <f t="shared" ref="AF14:AF17" si="15">AB14-AE14</f>
        <v>-156.72183333333331</v>
      </c>
    </row>
    <row r="15" spans="2:38">
      <c r="B15" s="321">
        <f>B14-$B$7</f>
        <v>105000</v>
      </c>
      <c r="C15" s="47">
        <f t="shared" si="0"/>
        <v>0.8</v>
      </c>
      <c r="D15" s="48">
        <f t="shared" si="10"/>
        <v>84000</v>
      </c>
      <c r="E15" s="49">
        <f t="shared" si="1"/>
        <v>4.1000000000000002E-2</v>
      </c>
      <c r="F15" s="49">
        <f t="shared" si="2"/>
        <v>1.7000000000000001E-2</v>
      </c>
      <c r="G15" s="48">
        <f t="shared" si="3"/>
        <v>313</v>
      </c>
      <c r="H15" s="48">
        <f>G15+Cockpit!$K$9</f>
        <v>449.6</v>
      </c>
      <c r="I15" s="48">
        <f>-Cockpit!$K$12-Cockpit!$H$25*(Szenarien!G15-Szenarien!$AL$13)</f>
        <v>-218.988</v>
      </c>
      <c r="J15" s="48">
        <f>Cockpit!$Q$21-E15*(D15-$D13)/12</f>
        <v>-287</v>
      </c>
      <c r="K15" s="48">
        <f>Cockpit!$Q$22-F15*(D15-$D13)/12</f>
        <v>-119.00000000000001</v>
      </c>
      <c r="L15" s="48">
        <f t="shared" si="11"/>
        <v>-175.38799999999998</v>
      </c>
      <c r="M15" s="48">
        <f>Cockpit!$Q$29</f>
        <v>-173</v>
      </c>
      <c r="N15" s="48">
        <f>Cockpit!$Q$31-Cockpit!$H$20*Cockpit!$H$21*(1+Cockpit!$D$22)*(B15-$B13)/12</f>
        <v>-85.826250000000002</v>
      </c>
      <c r="O15" s="48">
        <f>(H15+J15+M15+N15)*Cockpit!$Q$33</f>
        <v>-38.490499999999997</v>
      </c>
      <c r="P15" s="286">
        <f t="shared" si="14"/>
        <v>-136.89749999999998</v>
      </c>
      <c r="R15" s="333">
        <f t="shared" si="5"/>
        <v>115000</v>
      </c>
      <c r="S15" s="47">
        <f t="shared" si="6"/>
        <v>0.8</v>
      </c>
      <c r="T15" s="48">
        <f t="shared" si="12"/>
        <v>92000</v>
      </c>
      <c r="U15" s="129">
        <f>U14-$U$7</f>
        <v>3.9E-2</v>
      </c>
      <c r="V15" s="49">
        <f t="shared" si="7"/>
        <v>1.7000000000000001E-2</v>
      </c>
      <c r="W15" s="48">
        <f t="shared" si="8"/>
        <v>313</v>
      </c>
      <c r="X15" s="48">
        <f>W15+Cockpit!$K$9</f>
        <v>449.6</v>
      </c>
      <c r="Y15" s="48">
        <f>-Cockpit!$K$12-Cockpit!$H$25*(Szenarien!W15-Szenarien!$AL$13)</f>
        <v>-218.988</v>
      </c>
      <c r="Z15" s="48">
        <f>Cockpit!$Q$21-U15*(T15-$T$13)/12-(U15-$U$13)*$T$13/12</f>
        <v>-298.99999999999994</v>
      </c>
      <c r="AA15" s="48">
        <f>Cockpit!$Q$22-V15*(T15-$T$13)/12-(V15-$V$13)*$T$13/12</f>
        <v>-130.33333333333334</v>
      </c>
      <c r="AB15" s="48">
        <f t="shared" si="13"/>
        <v>-198.72133333333326</v>
      </c>
      <c r="AC15" s="48">
        <f>Cockpit!$Q$29</f>
        <v>-173</v>
      </c>
      <c r="AD15" s="48">
        <f>Cockpit!$Q$31-Cockpit!$H$20*Cockpit!$H$21*(1+Cockpit!$D$22)*(R15-$R13)/12</f>
        <v>-94.098749999999995</v>
      </c>
      <c r="AE15" s="48">
        <f>(X15+Z15+AC15+AD15)*Cockpit!$Q$33</f>
        <v>-46.599499999999971</v>
      </c>
      <c r="AF15" s="286">
        <f t="shared" si="15"/>
        <v>-152.12183333333329</v>
      </c>
    </row>
    <row r="16" spans="2:38">
      <c r="B16" s="321">
        <f>B15-$B$7</f>
        <v>100000</v>
      </c>
      <c r="C16" s="47">
        <f t="shared" si="0"/>
        <v>0.8</v>
      </c>
      <c r="D16" s="48">
        <f t="shared" si="10"/>
        <v>80000</v>
      </c>
      <c r="E16" s="49">
        <f t="shared" si="1"/>
        <v>4.1000000000000002E-2</v>
      </c>
      <c r="F16" s="49">
        <f t="shared" si="2"/>
        <v>1.7000000000000001E-2</v>
      </c>
      <c r="G16" s="48">
        <f t="shared" si="3"/>
        <v>313</v>
      </c>
      <c r="H16" s="48">
        <f>G16+Cockpit!$K$9</f>
        <v>449.6</v>
      </c>
      <c r="I16" s="48">
        <f>-Cockpit!$K$12-Cockpit!$H$25*(Szenarien!G16-Szenarien!$AL$13)</f>
        <v>-218.988</v>
      </c>
      <c r="J16" s="48">
        <f>Cockpit!$Q$21-E16*(D16-$D13)/12</f>
        <v>-273.33333333333331</v>
      </c>
      <c r="K16" s="48">
        <f>Cockpit!$Q$22-F16*(D16-$D13)/12</f>
        <v>-113.33333333333334</v>
      </c>
      <c r="L16" s="48">
        <f t="shared" si="11"/>
        <v>-156.05466666666663</v>
      </c>
      <c r="M16" s="48">
        <f>Cockpit!$Q$29</f>
        <v>-173</v>
      </c>
      <c r="N16" s="48">
        <f>Cockpit!$Q$31-Cockpit!$H$20*Cockpit!$H$21*(1+Cockpit!$D$22)*(B16-$B13)/12</f>
        <v>-81.69</v>
      </c>
      <c r="O16" s="48">
        <f>(H16+J16+M16+N16)*Cockpit!$Q$33</f>
        <v>-31.369333333333316</v>
      </c>
      <c r="P16" s="286">
        <f t="shared" si="14"/>
        <v>-124.68533333333332</v>
      </c>
      <c r="R16" s="333">
        <f t="shared" si="5"/>
        <v>115000</v>
      </c>
      <c r="S16" s="47">
        <f t="shared" si="6"/>
        <v>0.8</v>
      </c>
      <c r="T16" s="48">
        <f t="shared" si="12"/>
        <v>92000</v>
      </c>
      <c r="U16" s="129">
        <f>U15-$U$7</f>
        <v>3.7999999999999999E-2</v>
      </c>
      <c r="V16" s="49">
        <f t="shared" si="7"/>
        <v>1.7000000000000001E-2</v>
      </c>
      <c r="W16" s="48">
        <f t="shared" si="8"/>
        <v>313</v>
      </c>
      <c r="X16" s="48">
        <f>W16+Cockpit!$K$9</f>
        <v>449.6</v>
      </c>
      <c r="Y16" s="48">
        <f>-Cockpit!$K$12-Cockpit!$H$25*(Szenarien!W16-Szenarien!$AL$13)</f>
        <v>-218.988</v>
      </c>
      <c r="Z16" s="48">
        <f>Cockpit!$Q$21-U16*(T16-$T$13)/12-(U16-$U$13)*$T$13/12</f>
        <v>-291.33333333333331</v>
      </c>
      <c r="AA16" s="48">
        <f>Cockpit!$Q$22-V16*(T16-$T$13)/12-(V16-$V$13)*$T$13/12</f>
        <v>-130.33333333333334</v>
      </c>
      <c r="AB16" s="48">
        <f t="shared" si="13"/>
        <v>-191.05466666666663</v>
      </c>
      <c r="AC16" s="48">
        <f>Cockpit!$Q$29</f>
        <v>-173</v>
      </c>
      <c r="AD16" s="48">
        <f>Cockpit!$Q$31-Cockpit!$H$20*Cockpit!$H$21*(1+Cockpit!$D$22)*(R16-$R13)/12</f>
        <v>-94.098749999999995</v>
      </c>
      <c r="AE16" s="48">
        <f>(X16+Z16+AC16+AD16)*Cockpit!$Q$33</f>
        <v>-43.532833333333315</v>
      </c>
      <c r="AF16" s="286">
        <f t="shared" si="15"/>
        <v>-147.52183333333332</v>
      </c>
    </row>
    <row r="17" spans="2:48" ht="13.5" thickBot="1">
      <c r="B17" s="326">
        <f>B16-$B$7</f>
        <v>95000</v>
      </c>
      <c r="C17" s="327">
        <f t="shared" si="0"/>
        <v>0.8</v>
      </c>
      <c r="D17" s="328">
        <f t="shared" si="10"/>
        <v>76000</v>
      </c>
      <c r="E17" s="329">
        <f t="shared" si="1"/>
        <v>4.1000000000000002E-2</v>
      </c>
      <c r="F17" s="329">
        <f t="shared" si="2"/>
        <v>1.7000000000000001E-2</v>
      </c>
      <c r="G17" s="328">
        <f t="shared" si="3"/>
        <v>313</v>
      </c>
      <c r="H17" s="328">
        <f>G17+Cockpit!$K$9</f>
        <v>449.6</v>
      </c>
      <c r="I17" s="328">
        <f>-Cockpit!$K$12-Cockpit!$H$25*(Szenarien!G17-Szenarien!$AL$13)</f>
        <v>-218.988</v>
      </c>
      <c r="J17" s="328">
        <f>Cockpit!$Q$21-E17*(D17-$D13)/12</f>
        <v>-259.66666666666663</v>
      </c>
      <c r="K17" s="328">
        <f>Cockpit!$Q$22-F17*(D17-$D13)/12</f>
        <v>-107.66666666666667</v>
      </c>
      <c r="L17" s="328">
        <f t="shared" si="11"/>
        <v>-136.72133333333329</v>
      </c>
      <c r="M17" s="328">
        <f>Cockpit!$Q$29</f>
        <v>-173</v>
      </c>
      <c r="N17" s="328">
        <f>Cockpit!$Q$31-Cockpit!$H$20*Cockpit!$H$21*(1+Cockpit!$D$22)*(B17-$B13)/12</f>
        <v>-77.553749999999994</v>
      </c>
      <c r="O17" s="328">
        <f>(H17+J17+M17+N17)*Cockpit!$Q$33</f>
        <v>-24.248166666666641</v>
      </c>
      <c r="P17" s="288">
        <f t="shared" si="14"/>
        <v>-112.47316666666666</v>
      </c>
      <c r="R17" s="336">
        <f t="shared" si="5"/>
        <v>115000</v>
      </c>
      <c r="S17" s="327">
        <f t="shared" si="6"/>
        <v>0.8</v>
      </c>
      <c r="T17" s="328">
        <f t="shared" si="12"/>
        <v>92000</v>
      </c>
      <c r="U17" s="339">
        <f>U16-$U$7</f>
        <v>3.6999999999999998E-2</v>
      </c>
      <c r="V17" s="329">
        <f t="shared" si="7"/>
        <v>1.7000000000000001E-2</v>
      </c>
      <c r="W17" s="328">
        <f t="shared" si="8"/>
        <v>313</v>
      </c>
      <c r="X17" s="328">
        <f>W17+Cockpit!$K$9</f>
        <v>449.6</v>
      </c>
      <c r="Y17" s="328">
        <f>-Cockpit!$K$12-Cockpit!$H$25*(Szenarien!W17-Szenarien!$AL$13)</f>
        <v>-218.988</v>
      </c>
      <c r="Z17" s="328">
        <f>Cockpit!$Q$21-U17*(T17-$T$13)/12-(U17-$U$13)*$T$13/12</f>
        <v>-283.66666666666663</v>
      </c>
      <c r="AA17" s="328">
        <f>Cockpit!$Q$22-V17*(T17-$T$13)/12-(V17-$V$13)*$T$13/12</f>
        <v>-130.33333333333334</v>
      </c>
      <c r="AB17" s="328">
        <f t="shared" si="13"/>
        <v>-183.38799999999995</v>
      </c>
      <c r="AC17" s="328">
        <f>Cockpit!$Q$29</f>
        <v>-173</v>
      </c>
      <c r="AD17" s="328">
        <f>Cockpit!$Q$31-Cockpit!$H$20*Cockpit!$H$21*(1+Cockpit!$D$22)*(R17-$R13)/12</f>
        <v>-94.098749999999995</v>
      </c>
      <c r="AE17" s="328">
        <f>(X17+Z17+AC17+AD17)*Cockpit!$Q$33</f>
        <v>-40.466166666666645</v>
      </c>
      <c r="AF17" s="288">
        <f t="shared" si="15"/>
        <v>-142.9218333333333</v>
      </c>
    </row>
    <row r="20" spans="2:48" ht="13.5" thickBot="1">
      <c r="B20" s="57"/>
      <c r="C20" s="57" t="s">
        <v>284</v>
      </c>
      <c r="R20" s="57"/>
      <c r="S20" s="57"/>
      <c r="U20" s="57"/>
      <c r="V20" s="57" t="s">
        <v>284</v>
      </c>
      <c r="AH20" s="57"/>
      <c r="AI20" s="57"/>
      <c r="AK20" s="57"/>
      <c r="AL20" s="57"/>
      <c r="AM20" s="57" t="s">
        <v>284</v>
      </c>
    </row>
    <row r="21" spans="2:48" ht="12.75" customHeight="1" thickBot="1">
      <c r="B21" s="507" t="s">
        <v>1</v>
      </c>
      <c r="C21" s="357">
        <v>0.05</v>
      </c>
      <c r="D21" s="530" t="s">
        <v>292</v>
      </c>
      <c r="E21" s="519" t="s">
        <v>370</v>
      </c>
      <c r="F21" s="519" t="s">
        <v>371</v>
      </c>
      <c r="G21" s="519" t="s">
        <v>283</v>
      </c>
      <c r="H21" s="519" t="s">
        <v>478</v>
      </c>
      <c r="I21" s="519" t="s">
        <v>79</v>
      </c>
      <c r="J21" s="519" t="s">
        <v>43</v>
      </c>
      <c r="K21" s="519" t="s">
        <v>44</v>
      </c>
      <c r="L21" s="519" t="s">
        <v>287</v>
      </c>
      <c r="M21" s="519" t="s">
        <v>289</v>
      </c>
      <c r="N21" s="519" t="s">
        <v>288</v>
      </c>
      <c r="O21" s="519" t="s">
        <v>101</v>
      </c>
      <c r="P21" s="522" t="s">
        <v>286</v>
      </c>
      <c r="R21" s="524" t="s">
        <v>1</v>
      </c>
      <c r="S21" s="519" t="s">
        <v>369</v>
      </c>
      <c r="T21" s="519" t="s">
        <v>292</v>
      </c>
      <c r="U21" s="521" t="s">
        <v>370</v>
      </c>
      <c r="V21" s="356">
        <v>5.0000000000000001E-3</v>
      </c>
      <c r="W21" s="528" t="s">
        <v>283</v>
      </c>
      <c r="X21" s="526" t="s">
        <v>478</v>
      </c>
      <c r="Y21" s="526" t="s">
        <v>79</v>
      </c>
      <c r="Z21" s="526" t="s">
        <v>43</v>
      </c>
      <c r="AA21" s="526" t="s">
        <v>44</v>
      </c>
      <c r="AB21" s="526" t="s">
        <v>287</v>
      </c>
      <c r="AC21" s="526" t="s">
        <v>289</v>
      </c>
      <c r="AD21" s="526" t="s">
        <v>288</v>
      </c>
      <c r="AE21" s="526" t="s">
        <v>101</v>
      </c>
      <c r="AF21" s="522" t="s">
        <v>286</v>
      </c>
      <c r="AH21" s="524" t="s">
        <v>1</v>
      </c>
      <c r="AI21" s="519" t="s">
        <v>369</v>
      </c>
      <c r="AJ21" s="519" t="s">
        <v>292</v>
      </c>
      <c r="AK21" s="519" t="s">
        <v>370</v>
      </c>
      <c r="AL21" s="521" t="s">
        <v>371</v>
      </c>
      <c r="AM21" s="358">
        <v>20</v>
      </c>
      <c r="AN21" s="530" t="s">
        <v>478</v>
      </c>
      <c r="AO21" s="526" t="s">
        <v>79</v>
      </c>
      <c r="AP21" s="526" t="s">
        <v>43</v>
      </c>
      <c r="AQ21" s="526" t="s">
        <v>44</v>
      </c>
      <c r="AR21" s="526" t="s">
        <v>287</v>
      </c>
      <c r="AS21" s="526" t="s">
        <v>289</v>
      </c>
      <c r="AT21" s="526" t="s">
        <v>288</v>
      </c>
      <c r="AU21" s="526" t="s">
        <v>101</v>
      </c>
      <c r="AV21" s="522" t="s">
        <v>286</v>
      </c>
    </row>
    <row r="22" spans="2:48" ht="15.75" customHeight="1" thickBot="1">
      <c r="B22" s="525"/>
      <c r="C22" s="315" t="s">
        <v>285</v>
      </c>
      <c r="D22" s="527"/>
      <c r="E22" s="520"/>
      <c r="F22" s="520"/>
      <c r="G22" s="520"/>
      <c r="H22" s="520"/>
      <c r="I22" s="520"/>
      <c r="J22" s="520"/>
      <c r="K22" s="520"/>
      <c r="L22" s="520"/>
      <c r="M22" s="520"/>
      <c r="N22" s="520"/>
      <c r="O22" s="520"/>
      <c r="P22" s="523"/>
      <c r="R22" s="525"/>
      <c r="S22" s="520"/>
      <c r="T22" s="520"/>
      <c r="U22" s="520"/>
      <c r="V22" s="315" t="s">
        <v>44</v>
      </c>
      <c r="W22" s="520"/>
      <c r="X22" s="527"/>
      <c r="Y22" s="527"/>
      <c r="Z22" s="527"/>
      <c r="AA22" s="527"/>
      <c r="AB22" s="527"/>
      <c r="AC22" s="527"/>
      <c r="AD22" s="527"/>
      <c r="AE22" s="527"/>
      <c r="AF22" s="523"/>
      <c r="AH22" s="525"/>
      <c r="AI22" s="520"/>
      <c r="AJ22" s="520"/>
      <c r="AK22" s="520"/>
      <c r="AL22" s="520"/>
      <c r="AM22" s="315" t="s">
        <v>283</v>
      </c>
      <c r="AN22" s="527"/>
      <c r="AO22" s="527"/>
      <c r="AP22" s="527"/>
      <c r="AQ22" s="527"/>
      <c r="AR22" s="527"/>
      <c r="AS22" s="527"/>
      <c r="AT22" s="527"/>
      <c r="AU22" s="527"/>
      <c r="AV22" s="523"/>
    </row>
    <row r="23" spans="2:48">
      <c r="B23" s="330">
        <f t="shared" ref="B23:B31" si="16">$AL$9</f>
        <v>115000</v>
      </c>
      <c r="C23" s="331">
        <f>C24+$C$21</f>
        <v>1.0000000000000002</v>
      </c>
      <c r="D23" s="332">
        <f t="shared" ref="D23:D31" si="17">C23*B23</f>
        <v>115000.00000000003</v>
      </c>
      <c r="E23" s="319">
        <f t="shared" ref="E23:E31" si="18">$AL$11</f>
        <v>4.1000000000000002E-2</v>
      </c>
      <c r="F23" s="319">
        <f t="shared" ref="F23:F31" si="19">$AL$12</f>
        <v>1.7000000000000001E-2</v>
      </c>
      <c r="G23" s="318">
        <f t="shared" ref="G23:G31" si="20">$AL$13</f>
        <v>313</v>
      </c>
      <c r="H23" s="318">
        <f>G23+Cockpit!$K$9</f>
        <v>449.6</v>
      </c>
      <c r="I23" s="318">
        <f>-Cockpit!$K$12-Cockpit!$H$25*(Szenarien!G23-Szenarien!$AL$13)</f>
        <v>-218.988</v>
      </c>
      <c r="J23" s="318">
        <f>Cockpit!$Q$21-E23*(D23-$D27)/12</f>
        <v>-392.91666666666674</v>
      </c>
      <c r="K23" s="318">
        <f>Cockpit!$Q$22-F23*(D23-$D27)/12</f>
        <v>-162.91666666666671</v>
      </c>
      <c r="L23" s="318">
        <f>H23+I23+J23+K23</f>
        <v>-325.2213333333334</v>
      </c>
      <c r="M23" s="318">
        <f>Cockpit!$Q$29</f>
        <v>-173</v>
      </c>
      <c r="N23" s="318">
        <f>Cockpit!$Q$31-Cockpit!$H$20*Cockpit!$H$21*(1+Cockpit!$D$22)*(B23-$B27)/12</f>
        <v>-94.098749999999995</v>
      </c>
      <c r="O23" s="318">
        <f>(H23+J23+M23+N23)*Cockpit!$Q$33</f>
        <v>-84.166166666666697</v>
      </c>
      <c r="P23" s="320">
        <f t="shared" ref="P23:P26" si="21">L23-O23</f>
        <v>-241.05516666666671</v>
      </c>
      <c r="R23" s="330">
        <f t="shared" ref="R23:R31" si="22">$AL$9</f>
        <v>115000</v>
      </c>
      <c r="S23" s="317">
        <f t="shared" ref="S23:S31" si="23">$AL$10</f>
        <v>0.8</v>
      </c>
      <c r="T23" s="318">
        <f>R23*S23</f>
        <v>92000</v>
      </c>
      <c r="U23" s="319">
        <f t="shared" ref="U23:U31" si="24">$AL$11</f>
        <v>4.1000000000000002E-2</v>
      </c>
      <c r="V23" s="338">
        <f>V24+$V$21</f>
        <v>3.6999999999999998E-2</v>
      </c>
      <c r="W23" s="318">
        <f t="shared" ref="W23:W31" si="25">$AL$13</f>
        <v>313</v>
      </c>
      <c r="X23" s="318">
        <f>W23+Cockpit!$K$9</f>
        <v>449.6</v>
      </c>
      <c r="Y23" s="318">
        <f>-Cockpit!$K$12-Cockpit!$H$25*(Szenarien!W23-Szenarien!$AL$13)</f>
        <v>-218.988</v>
      </c>
      <c r="Z23" s="318">
        <f>Cockpit!$Q$21-U23*(T23-$T$13)/12-(U23-$U$13)*$T$13/12</f>
        <v>-314.33333333333331</v>
      </c>
      <c r="AA23" s="318">
        <f>Cockpit!$Q$22-V23*(T23-$T$13)/12-(V23-$V$13)*$T$13/12</f>
        <v>-283.66666666666663</v>
      </c>
      <c r="AB23" s="318">
        <f>X23+Y23+Z23+AA23</f>
        <v>-367.38799999999992</v>
      </c>
      <c r="AC23" s="318">
        <f>Cockpit!$Q$29</f>
        <v>-173</v>
      </c>
      <c r="AD23" s="318">
        <f>Cockpit!$Q$31-Cockpit!$H$20*Cockpit!$H$21*(1+Cockpit!$D$22)*(R23-$R27)/12</f>
        <v>-94.098749999999995</v>
      </c>
      <c r="AE23" s="318">
        <f>(X23+Z23+AC23+AD23)*Cockpit!$Q$33</f>
        <v>-52.732833333333318</v>
      </c>
      <c r="AF23" s="320">
        <f t="shared" ref="AF23:AF26" si="26">AB23-AE23</f>
        <v>-314.65516666666662</v>
      </c>
      <c r="AH23" s="330">
        <f t="shared" ref="AH23:AH31" si="27">$AL$9</f>
        <v>115000</v>
      </c>
      <c r="AI23" s="317">
        <f t="shared" ref="AI23:AI31" si="28">$AL$10</f>
        <v>0.8</v>
      </c>
      <c r="AJ23" s="318">
        <f>AH23*AI23</f>
        <v>92000</v>
      </c>
      <c r="AK23" s="319">
        <f t="shared" ref="AK23:AK31" si="29">$AL$11</f>
        <v>4.1000000000000002E-2</v>
      </c>
      <c r="AL23" s="319">
        <f t="shared" ref="AL23:AL31" si="30">$AL$12</f>
        <v>1.7000000000000001E-2</v>
      </c>
      <c r="AM23" s="340">
        <f>AM24+$AM$21</f>
        <v>393</v>
      </c>
      <c r="AN23" s="318">
        <f>AM23+Cockpit!$K$9</f>
        <v>529.6</v>
      </c>
      <c r="AO23" s="318">
        <f>-Cockpit!$K$12-Cockpit!$H$25*(Szenarien!AM23-Szenarien!$AL$13)</f>
        <v>-221.38800000000001</v>
      </c>
      <c r="AP23" s="318">
        <f>Cockpit!$Q$21-AK23*(AJ23-$T$13)/12-(AK23-$U$13)*$T$13/12</f>
        <v>-314.33333333333331</v>
      </c>
      <c r="AQ23" s="318">
        <f>Cockpit!$Q$22-AL23*(AJ23-$T$13)/12-(AL23-$V$13)*$T$13/12</f>
        <v>-130.33333333333334</v>
      </c>
      <c r="AR23" s="318">
        <f>AN23+AO23+AP23+AQ23</f>
        <v>-136.45466666666667</v>
      </c>
      <c r="AS23" s="318">
        <f>Cockpit!$Q$29</f>
        <v>-173</v>
      </c>
      <c r="AT23" s="318">
        <f>Cockpit!$Q$31-Cockpit!$H$20*Cockpit!$H$21*(1+Cockpit!$D$22)*(AH23-$AH27)/12</f>
        <v>-94.098749999999995</v>
      </c>
      <c r="AU23" s="318">
        <f>(AN23+AP23+AS23+AT23)*Cockpit!$Q$33</f>
        <v>-20.732833333333318</v>
      </c>
      <c r="AV23" s="320">
        <f t="shared" ref="AV23:AV26" si="31">AR23-AU23</f>
        <v>-115.72183333333335</v>
      </c>
    </row>
    <row r="24" spans="2:48">
      <c r="B24" s="333">
        <f t="shared" si="16"/>
        <v>115000</v>
      </c>
      <c r="C24" s="126">
        <f>C25+$C$21</f>
        <v>0.95000000000000018</v>
      </c>
      <c r="D24" s="51">
        <f t="shared" si="17"/>
        <v>109250.00000000001</v>
      </c>
      <c r="E24" s="49">
        <f t="shared" si="18"/>
        <v>4.1000000000000002E-2</v>
      </c>
      <c r="F24" s="49">
        <f t="shared" si="19"/>
        <v>1.7000000000000001E-2</v>
      </c>
      <c r="G24" s="48">
        <f t="shared" si="20"/>
        <v>313</v>
      </c>
      <c r="H24" s="48">
        <f>G24+Cockpit!$K$9</f>
        <v>449.6</v>
      </c>
      <c r="I24" s="48">
        <f>-Cockpit!$K$12-Cockpit!$H$25*(Szenarien!G24-Szenarien!$AL$13)</f>
        <v>-218.988</v>
      </c>
      <c r="J24" s="48">
        <f>Cockpit!$Q$21-E24*(D24-$D27)/12</f>
        <v>-373.27083333333337</v>
      </c>
      <c r="K24" s="48">
        <f>Cockpit!$Q$22-F24*(D24-$D27)/12</f>
        <v>-154.77083333333337</v>
      </c>
      <c r="L24" s="48">
        <f t="shared" ref="L24:L31" si="32">H24+I24+J24+K24</f>
        <v>-297.42966666666672</v>
      </c>
      <c r="M24" s="48">
        <f>Cockpit!$Q$29</f>
        <v>-173</v>
      </c>
      <c r="N24" s="48">
        <f>Cockpit!$Q$31-Cockpit!$H$20*Cockpit!$H$21*(1+Cockpit!$D$22)*(B24-$B27)/12</f>
        <v>-94.098749999999995</v>
      </c>
      <c r="O24" s="48">
        <f>(H24+J24+M24+N24)*Cockpit!$Q$33</f>
        <v>-76.307833333333335</v>
      </c>
      <c r="P24" s="286">
        <f t="shared" si="21"/>
        <v>-221.12183333333337</v>
      </c>
      <c r="R24" s="333">
        <f t="shared" si="22"/>
        <v>115000</v>
      </c>
      <c r="S24" s="47">
        <f t="shared" si="23"/>
        <v>0.8</v>
      </c>
      <c r="T24" s="48">
        <f t="shared" ref="T24:T31" si="33">R24*S24</f>
        <v>92000</v>
      </c>
      <c r="U24" s="49">
        <f t="shared" si="24"/>
        <v>4.1000000000000002E-2</v>
      </c>
      <c r="V24" s="129">
        <f>V25+$V$21</f>
        <v>3.2000000000000001E-2</v>
      </c>
      <c r="W24" s="48">
        <f t="shared" si="25"/>
        <v>313</v>
      </c>
      <c r="X24" s="48">
        <f>W24+Cockpit!$K$9</f>
        <v>449.6</v>
      </c>
      <c r="Y24" s="48">
        <f>-Cockpit!$K$12-Cockpit!$H$25*(Szenarien!W24-Szenarien!$AL$13)</f>
        <v>-218.988</v>
      </c>
      <c r="Z24" s="48">
        <f>Cockpit!$Q$21-U24*(T24-$T$13)/12-(U24-$U$13)*$T$13/12</f>
        <v>-314.33333333333331</v>
      </c>
      <c r="AA24" s="48">
        <f>Cockpit!$Q$22-V24*(T24-$T$13)/12-(V24-$V$13)*$T$13/12</f>
        <v>-245.33333333333334</v>
      </c>
      <c r="AB24" s="48">
        <f t="shared" ref="AB24:AB31" si="34">X24+Y24+Z24+AA24</f>
        <v>-329.05466666666666</v>
      </c>
      <c r="AC24" s="48">
        <f>Cockpit!$Q$29</f>
        <v>-173</v>
      </c>
      <c r="AD24" s="48">
        <f>Cockpit!$Q$31-Cockpit!$H$20*Cockpit!$H$21*(1+Cockpit!$D$22)*(R24-$R27)/12</f>
        <v>-94.098749999999995</v>
      </c>
      <c r="AE24" s="48">
        <f>(X24+Z24+AC24+AD24)*Cockpit!$Q$33</f>
        <v>-52.732833333333318</v>
      </c>
      <c r="AF24" s="286">
        <f t="shared" si="26"/>
        <v>-276.32183333333336</v>
      </c>
      <c r="AH24" s="333">
        <f t="shared" si="27"/>
        <v>115000</v>
      </c>
      <c r="AI24" s="47">
        <f t="shared" si="28"/>
        <v>0.8</v>
      </c>
      <c r="AJ24" s="48">
        <f t="shared" ref="AJ24:AJ31" si="35">AH24*AI24</f>
        <v>92000</v>
      </c>
      <c r="AK24" s="49">
        <f t="shared" si="29"/>
        <v>4.1000000000000002E-2</v>
      </c>
      <c r="AL24" s="49">
        <f t="shared" si="30"/>
        <v>1.7000000000000001E-2</v>
      </c>
      <c r="AM24" s="132">
        <f>AM25+$AM$21</f>
        <v>373</v>
      </c>
      <c r="AN24" s="48">
        <f>AM24+Cockpit!$K$9</f>
        <v>509.6</v>
      </c>
      <c r="AO24" s="48">
        <f>-Cockpit!$K$12-Cockpit!$H$25*(Szenarien!AM24-Szenarien!$AL$13)</f>
        <v>-220.78800000000001</v>
      </c>
      <c r="AP24" s="48">
        <f>Cockpit!$Q$21-AK24*(AJ24-$T$13)/12-(AK24-$U$13)*$T$13/12</f>
        <v>-314.33333333333331</v>
      </c>
      <c r="AQ24" s="48">
        <f>Cockpit!$Q$22-AL24*(AJ24-$T$13)/12-(AL24-$V$13)*$T$13/12</f>
        <v>-130.33333333333334</v>
      </c>
      <c r="AR24" s="48">
        <f t="shared" ref="AR24:AR31" si="36">AN24+AO24+AP24+AQ24</f>
        <v>-155.85466666666665</v>
      </c>
      <c r="AS24" s="48">
        <f>Cockpit!$Q$29</f>
        <v>-173</v>
      </c>
      <c r="AT24" s="48">
        <f>Cockpit!$Q$31-Cockpit!$H$20*Cockpit!$H$21*(1+Cockpit!$D$22)*(AH24-$AH27)/12</f>
        <v>-94.098749999999995</v>
      </c>
      <c r="AU24" s="48">
        <f>(AN24+AP24+AS24+AT24)*Cockpit!$Q$33</f>
        <v>-28.732833333333318</v>
      </c>
      <c r="AV24" s="286">
        <f t="shared" si="31"/>
        <v>-127.12183333333333</v>
      </c>
    </row>
    <row r="25" spans="2:48">
      <c r="B25" s="333">
        <f t="shared" si="16"/>
        <v>115000</v>
      </c>
      <c r="C25" s="126">
        <f>C26+$C$21</f>
        <v>0.90000000000000013</v>
      </c>
      <c r="D25" s="51">
        <f t="shared" si="17"/>
        <v>103500.00000000001</v>
      </c>
      <c r="E25" s="49">
        <f t="shared" si="18"/>
        <v>4.1000000000000002E-2</v>
      </c>
      <c r="F25" s="49">
        <f t="shared" si="19"/>
        <v>1.7000000000000001E-2</v>
      </c>
      <c r="G25" s="48">
        <f t="shared" si="20"/>
        <v>313</v>
      </c>
      <c r="H25" s="48">
        <f>G25+Cockpit!$K$9</f>
        <v>449.6</v>
      </c>
      <c r="I25" s="48">
        <f>-Cockpit!$K$12-Cockpit!$H$25*(Szenarien!G25-Szenarien!$AL$13)</f>
        <v>-218.988</v>
      </c>
      <c r="J25" s="48">
        <f>Cockpit!$Q$21-E25*(D25-$D27)/12</f>
        <v>-353.62500000000006</v>
      </c>
      <c r="K25" s="48">
        <f>Cockpit!$Q$22-F25*(D25-$D27)/12</f>
        <v>-146.62500000000003</v>
      </c>
      <c r="L25" s="48">
        <f t="shared" si="32"/>
        <v>-269.63800000000003</v>
      </c>
      <c r="M25" s="48">
        <f>Cockpit!$Q$29</f>
        <v>-173</v>
      </c>
      <c r="N25" s="48">
        <f>Cockpit!$Q$31-Cockpit!$H$20*Cockpit!$H$21*(1+Cockpit!$D$22)*(B25-$B27)/12</f>
        <v>-94.098749999999995</v>
      </c>
      <c r="O25" s="48">
        <f>(H25+J25+M25+N25)*Cockpit!$Q$33</f>
        <v>-68.449500000000015</v>
      </c>
      <c r="P25" s="286">
        <f t="shared" si="21"/>
        <v>-201.18850000000003</v>
      </c>
      <c r="R25" s="333">
        <f t="shared" si="22"/>
        <v>115000</v>
      </c>
      <c r="S25" s="47">
        <f t="shared" si="23"/>
        <v>0.8</v>
      </c>
      <c r="T25" s="48">
        <f t="shared" si="33"/>
        <v>92000</v>
      </c>
      <c r="U25" s="49">
        <f t="shared" si="24"/>
        <v>4.1000000000000002E-2</v>
      </c>
      <c r="V25" s="129">
        <f>V26+$V$21</f>
        <v>2.7000000000000003E-2</v>
      </c>
      <c r="W25" s="48">
        <f t="shared" si="25"/>
        <v>313</v>
      </c>
      <c r="X25" s="48">
        <f>W25+Cockpit!$K$9</f>
        <v>449.6</v>
      </c>
      <c r="Y25" s="48">
        <f>-Cockpit!$K$12-Cockpit!$H$25*(Szenarien!W25-Szenarien!$AL$13)</f>
        <v>-218.988</v>
      </c>
      <c r="Z25" s="48">
        <f>Cockpit!$Q$21-U25*(T25-$T$13)/12-(U25-$U$13)*$T$13/12</f>
        <v>-314.33333333333331</v>
      </c>
      <c r="AA25" s="48">
        <f>Cockpit!$Q$22-V25*(T25-$T$13)/12-(V25-$V$13)*$T$13/12</f>
        <v>-207.00000000000003</v>
      </c>
      <c r="AB25" s="48">
        <f t="shared" si="34"/>
        <v>-290.72133333333329</v>
      </c>
      <c r="AC25" s="48">
        <f>Cockpit!$Q$29</f>
        <v>-173</v>
      </c>
      <c r="AD25" s="48">
        <f>Cockpit!$Q$31-Cockpit!$H$20*Cockpit!$H$21*(1+Cockpit!$D$22)*(R25-$R27)/12</f>
        <v>-94.098749999999995</v>
      </c>
      <c r="AE25" s="48">
        <f>(X25+Z25+AC25+AD25)*Cockpit!$Q$33</f>
        <v>-52.732833333333318</v>
      </c>
      <c r="AF25" s="286">
        <f t="shared" si="26"/>
        <v>-237.98849999999999</v>
      </c>
      <c r="AH25" s="333">
        <f t="shared" si="27"/>
        <v>115000</v>
      </c>
      <c r="AI25" s="47">
        <f t="shared" si="28"/>
        <v>0.8</v>
      </c>
      <c r="AJ25" s="48">
        <f t="shared" si="35"/>
        <v>92000</v>
      </c>
      <c r="AK25" s="49">
        <f t="shared" si="29"/>
        <v>4.1000000000000002E-2</v>
      </c>
      <c r="AL25" s="49">
        <f t="shared" si="30"/>
        <v>1.7000000000000001E-2</v>
      </c>
      <c r="AM25" s="132">
        <f>AM26+$AM$21</f>
        <v>353</v>
      </c>
      <c r="AN25" s="48">
        <f>AM25+Cockpit!$K$9</f>
        <v>489.6</v>
      </c>
      <c r="AO25" s="48">
        <f>-Cockpit!$K$12-Cockpit!$H$25*(Szenarien!AM25-Szenarien!$AL$13)</f>
        <v>-220.18799999999999</v>
      </c>
      <c r="AP25" s="48">
        <f>Cockpit!$Q$21-AK25*(AJ25-$T$13)/12-(AK25-$U$13)*$T$13/12</f>
        <v>-314.33333333333331</v>
      </c>
      <c r="AQ25" s="48">
        <f>Cockpit!$Q$22-AL25*(AJ25-$T$13)/12-(AL25-$V$13)*$T$13/12</f>
        <v>-130.33333333333334</v>
      </c>
      <c r="AR25" s="48">
        <f t="shared" si="36"/>
        <v>-175.25466666666662</v>
      </c>
      <c r="AS25" s="48">
        <f>Cockpit!$Q$29</f>
        <v>-173</v>
      </c>
      <c r="AT25" s="48">
        <f>Cockpit!$Q$31-Cockpit!$H$20*Cockpit!$H$21*(1+Cockpit!$D$22)*(AH25-$AH27)/12</f>
        <v>-94.098749999999995</v>
      </c>
      <c r="AU25" s="48">
        <f>(AN25+AP25+AS25+AT25)*Cockpit!$Q$33</f>
        <v>-36.732833333333318</v>
      </c>
      <c r="AV25" s="286">
        <f t="shared" si="31"/>
        <v>-138.52183333333329</v>
      </c>
    </row>
    <row r="26" spans="2:48" ht="13.5" thickBot="1">
      <c r="B26" s="334">
        <f t="shared" si="16"/>
        <v>115000</v>
      </c>
      <c r="C26" s="126">
        <f>C27+$C$21</f>
        <v>0.85000000000000009</v>
      </c>
      <c r="D26" s="51">
        <f t="shared" si="17"/>
        <v>97750.000000000015</v>
      </c>
      <c r="E26" s="52">
        <f t="shared" si="18"/>
        <v>4.1000000000000002E-2</v>
      </c>
      <c r="F26" s="52">
        <f t="shared" si="19"/>
        <v>1.7000000000000001E-2</v>
      </c>
      <c r="G26" s="51">
        <f t="shared" si="20"/>
        <v>313</v>
      </c>
      <c r="H26" s="51">
        <f>G26+Cockpit!$K$9</f>
        <v>449.6</v>
      </c>
      <c r="I26" s="51">
        <f>-Cockpit!$K$12-Cockpit!$H$25*(Szenarien!G26-Szenarien!$AL$13)</f>
        <v>-218.988</v>
      </c>
      <c r="J26" s="51">
        <f>Cockpit!$Q$21-E26*(D26-$D27)/12</f>
        <v>-333.97916666666669</v>
      </c>
      <c r="K26" s="51">
        <f>Cockpit!$Q$22-F26*(D26-$D27)/12</f>
        <v>-138.47916666666669</v>
      </c>
      <c r="L26" s="51">
        <f t="shared" si="32"/>
        <v>-241.84633333333335</v>
      </c>
      <c r="M26" s="51">
        <f>Cockpit!$Q$29</f>
        <v>-173</v>
      </c>
      <c r="N26" s="51">
        <f>Cockpit!$Q$31-Cockpit!$H$20*Cockpit!$H$21*(1+Cockpit!$D$22)*(B26-$B27)/12</f>
        <v>-94.098749999999995</v>
      </c>
      <c r="O26" s="51">
        <f>(H26+J26+M26+N26)*Cockpit!$Q$33</f>
        <v>-60.591166666666666</v>
      </c>
      <c r="P26" s="323">
        <f t="shared" si="21"/>
        <v>-181.2551666666667</v>
      </c>
      <c r="R26" s="334">
        <f t="shared" si="22"/>
        <v>115000</v>
      </c>
      <c r="S26" s="50">
        <f t="shared" si="23"/>
        <v>0.8</v>
      </c>
      <c r="T26" s="51">
        <f t="shared" si="33"/>
        <v>92000</v>
      </c>
      <c r="U26" s="52">
        <f t="shared" si="24"/>
        <v>4.1000000000000002E-2</v>
      </c>
      <c r="V26" s="130">
        <f>V27+$V$21</f>
        <v>2.2000000000000002E-2</v>
      </c>
      <c r="W26" s="51">
        <f t="shared" si="25"/>
        <v>313</v>
      </c>
      <c r="X26" s="51">
        <f>W26+Cockpit!$K$9</f>
        <v>449.6</v>
      </c>
      <c r="Y26" s="51">
        <f>-Cockpit!$K$12-Cockpit!$H$25*(Szenarien!W26-Szenarien!$AL$13)</f>
        <v>-218.988</v>
      </c>
      <c r="Z26" s="51">
        <f>Cockpit!$Q$21-U26*(T26-$T$13)/12-(U26-$U$13)*$T$13/12</f>
        <v>-314.33333333333331</v>
      </c>
      <c r="AA26" s="51">
        <f>Cockpit!$Q$22-V26*(T26-$T$13)/12-(V26-$V$13)*$T$13/12</f>
        <v>-168.66666666666669</v>
      </c>
      <c r="AB26" s="51">
        <f t="shared" si="34"/>
        <v>-252.38799999999998</v>
      </c>
      <c r="AC26" s="51">
        <f>Cockpit!$Q$29</f>
        <v>-173</v>
      </c>
      <c r="AD26" s="51">
        <f>Cockpit!$Q$31-Cockpit!$H$20*Cockpit!$H$21*(1+Cockpit!$D$22)*(R26-$R27)/12</f>
        <v>-94.098749999999995</v>
      </c>
      <c r="AE26" s="51">
        <f>(X26+Z26+AC26+AD26)*Cockpit!$Q$33</f>
        <v>-52.732833333333318</v>
      </c>
      <c r="AF26" s="323">
        <f t="shared" si="26"/>
        <v>-199.65516666666667</v>
      </c>
      <c r="AH26" s="334">
        <f t="shared" si="27"/>
        <v>115000</v>
      </c>
      <c r="AI26" s="50">
        <f t="shared" si="28"/>
        <v>0.8</v>
      </c>
      <c r="AJ26" s="51">
        <f t="shared" si="35"/>
        <v>92000</v>
      </c>
      <c r="AK26" s="52">
        <f t="shared" si="29"/>
        <v>4.1000000000000002E-2</v>
      </c>
      <c r="AL26" s="52">
        <f t="shared" si="30"/>
        <v>1.7000000000000001E-2</v>
      </c>
      <c r="AM26" s="133">
        <f>AM27+$AM$21</f>
        <v>333</v>
      </c>
      <c r="AN26" s="51">
        <f>AM26+Cockpit!$K$9</f>
        <v>469.6</v>
      </c>
      <c r="AO26" s="51">
        <f>-Cockpit!$K$12-Cockpit!$H$25*(Szenarien!AM26-Szenarien!$AL$13)</f>
        <v>-219.58799999999999</v>
      </c>
      <c r="AP26" s="51">
        <f>Cockpit!$Q$21-AK26*(AJ26-$T$13)/12-(AK26-$U$13)*$T$13/12</f>
        <v>-314.33333333333331</v>
      </c>
      <c r="AQ26" s="51">
        <f>Cockpit!$Q$22-AL26*(AJ26-$T$13)/12-(AL26-$V$13)*$T$13/12</f>
        <v>-130.33333333333334</v>
      </c>
      <c r="AR26" s="51">
        <f t="shared" si="36"/>
        <v>-194.65466666666663</v>
      </c>
      <c r="AS26" s="51">
        <f>Cockpit!$Q$29</f>
        <v>-173</v>
      </c>
      <c r="AT26" s="51">
        <f>Cockpit!$Q$31-Cockpit!$H$20*Cockpit!$H$21*(1+Cockpit!$D$22)*(AH26-$AH27)/12</f>
        <v>-94.098749999999995</v>
      </c>
      <c r="AU26" s="51">
        <f>(AN26+AP26+AS26+AT26)*Cockpit!$Q$33</f>
        <v>-44.732833333333318</v>
      </c>
      <c r="AV26" s="323">
        <f t="shared" si="31"/>
        <v>-149.92183333333332</v>
      </c>
    </row>
    <row r="27" spans="2:48" ht="13.5" thickBot="1">
      <c r="B27" s="347">
        <f t="shared" si="16"/>
        <v>115000</v>
      </c>
      <c r="C27" s="350">
        <f>$AL$10</f>
        <v>0.8</v>
      </c>
      <c r="D27" s="344">
        <f t="shared" si="17"/>
        <v>92000</v>
      </c>
      <c r="E27" s="345">
        <f t="shared" si="18"/>
        <v>4.1000000000000002E-2</v>
      </c>
      <c r="F27" s="345">
        <f t="shared" si="19"/>
        <v>1.7000000000000001E-2</v>
      </c>
      <c r="G27" s="344">
        <f t="shared" si="20"/>
        <v>313</v>
      </c>
      <c r="H27" s="344">
        <f>G27+Cockpit!$K$9</f>
        <v>449.6</v>
      </c>
      <c r="I27" s="344">
        <f>-Cockpit!$K$12-Cockpit!$H$25*(Szenarien!G27-Szenarien!$AL$13)</f>
        <v>-218.988</v>
      </c>
      <c r="J27" s="344">
        <f>Cockpit!$Q$21-E27*(D27-$D27)/12</f>
        <v>-314.33333333333331</v>
      </c>
      <c r="K27" s="344">
        <f>Cockpit!$Q$22-F27*(D27-$D27)/12</f>
        <v>-130.33333333333334</v>
      </c>
      <c r="L27" s="344">
        <f t="shared" si="32"/>
        <v>-214.05466666666663</v>
      </c>
      <c r="M27" s="344">
        <f>Cockpit!$Q$29</f>
        <v>-173</v>
      </c>
      <c r="N27" s="344">
        <f>Cockpit!$Q$31-Cockpit!$H$20*Cockpit!$H$21*(1+Cockpit!$D$22)*(B27-$B27)/12</f>
        <v>-94.098749999999995</v>
      </c>
      <c r="O27" s="344">
        <f>(H27+J27+M27+N27)*Cockpit!$Q$33</f>
        <v>-52.732833333333318</v>
      </c>
      <c r="P27" s="346">
        <f>L27-O27</f>
        <v>-161.3218333333333</v>
      </c>
      <c r="R27" s="347">
        <f t="shared" si="22"/>
        <v>115000</v>
      </c>
      <c r="S27" s="343">
        <f t="shared" si="23"/>
        <v>0.8</v>
      </c>
      <c r="T27" s="344">
        <f t="shared" si="33"/>
        <v>92000</v>
      </c>
      <c r="U27" s="345">
        <f t="shared" si="24"/>
        <v>4.1000000000000002E-2</v>
      </c>
      <c r="V27" s="348">
        <f>$AL$12</f>
        <v>1.7000000000000001E-2</v>
      </c>
      <c r="W27" s="344">
        <f t="shared" si="25"/>
        <v>313</v>
      </c>
      <c r="X27" s="344">
        <f>W27+Cockpit!$K$9</f>
        <v>449.6</v>
      </c>
      <c r="Y27" s="344">
        <f>-Cockpit!$K$12-Cockpit!$H$25*(Szenarien!W27-Szenarien!$AL$13)</f>
        <v>-218.988</v>
      </c>
      <c r="Z27" s="344">
        <f>Cockpit!$Q$21-U27*(T27-$T$13)/12-(U27-$U$13)*$T$13/12</f>
        <v>-314.33333333333331</v>
      </c>
      <c r="AA27" s="344">
        <f>Cockpit!$Q$22-V27*(T27-$T$13)/12-(V27-$V$13)*$T$13/12</f>
        <v>-130.33333333333334</v>
      </c>
      <c r="AB27" s="344">
        <f t="shared" si="34"/>
        <v>-214.05466666666663</v>
      </c>
      <c r="AC27" s="344">
        <f>Cockpit!$Q$29</f>
        <v>-173</v>
      </c>
      <c r="AD27" s="344">
        <f>Cockpit!$Q$31-Cockpit!$H$20*Cockpit!$H$21*(1+Cockpit!$D$22)*(R27-$R27)/12</f>
        <v>-94.098749999999995</v>
      </c>
      <c r="AE27" s="344">
        <f>(X27+Z27+AC27+AD27)*Cockpit!$Q$33</f>
        <v>-52.732833333333318</v>
      </c>
      <c r="AF27" s="346">
        <f>AB27-AE27</f>
        <v>-161.3218333333333</v>
      </c>
      <c r="AH27" s="347">
        <f t="shared" si="27"/>
        <v>115000</v>
      </c>
      <c r="AI27" s="343">
        <f t="shared" si="28"/>
        <v>0.8</v>
      </c>
      <c r="AJ27" s="344">
        <f t="shared" si="35"/>
        <v>92000</v>
      </c>
      <c r="AK27" s="345">
        <f t="shared" si="29"/>
        <v>4.1000000000000002E-2</v>
      </c>
      <c r="AL27" s="345">
        <f t="shared" si="30"/>
        <v>1.7000000000000001E-2</v>
      </c>
      <c r="AM27" s="349">
        <f>$AL$13</f>
        <v>313</v>
      </c>
      <c r="AN27" s="344">
        <f>AM27+Cockpit!$K$9</f>
        <v>449.6</v>
      </c>
      <c r="AO27" s="344">
        <f>-Cockpit!$K$12-Cockpit!$H$25*(Szenarien!AM27-Szenarien!$AL$13)</f>
        <v>-218.988</v>
      </c>
      <c r="AP27" s="344">
        <f>Cockpit!$Q$21-AK27*(AJ27-$T$13)/12-(AK27-$U$13)*$T$13/12</f>
        <v>-314.33333333333331</v>
      </c>
      <c r="AQ27" s="344">
        <f>Cockpit!$Q$22-AL27*(AJ27-$T$13)/12-(AL27-$V$13)*$T$13/12</f>
        <v>-130.33333333333334</v>
      </c>
      <c r="AR27" s="344">
        <f t="shared" si="36"/>
        <v>-214.05466666666663</v>
      </c>
      <c r="AS27" s="344">
        <f>Cockpit!$Q$29</f>
        <v>-173</v>
      </c>
      <c r="AT27" s="344">
        <f>Cockpit!$Q$31-Cockpit!$H$20*Cockpit!$H$21*(1+Cockpit!$D$22)*(AH27-$AH27)/12</f>
        <v>-94.098749999999995</v>
      </c>
      <c r="AU27" s="344">
        <f>(AN27+AP27+AS27+AT27)*Cockpit!$Q$33</f>
        <v>-52.732833333333318</v>
      </c>
      <c r="AV27" s="346">
        <f>AR27-AU27</f>
        <v>-161.3218333333333</v>
      </c>
    </row>
    <row r="28" spans="2:48">
      <c r="B28" s="335">
        <f t="shared" si="16"/>
        <v>115000</v>
      </c>
      <c r="C28" s="127">
        <f>C27-$C$21</f>
        <v>0.75</v>
      </c>
      <c r="D28" s="314">
        <f t="shared" si="17"/>
        <v>86250</v>
      </c>
      <c r="E28" s="56">
        <f t="shared" si="18"/>
        <v>4.1000000000000002E-2</v>
      </c>
      <c r="F28" s="56">
        <f t="shared" si="19"/>
        <v>1.7000000000000001E-2</v>
      </c>
      <c r="G28" s="55">
        <f t="shared" si="20"/>
        <v>313</v>
      </c>
      <c r="H28" s="55">
        <f>G28+Cockpit!$K$9</f>
        <v>449.6</v>
      </c>
      <c r="I28" s="55">
        <f>-Cockpit!$K$12-Cockpit!$H$25*(Szenarien!G28-Szenarien!$AL$13)</f>
        <v>-218.988</v>
      </c>
      <c r="J28" s="55">
        <f>Cockpit!$Q$21-E28*(D28-$D27)/12</f>
        <v>-294.6875</v>
      </c>
      <c r="K28" s="55">
        <f>Cockpit!$Q$22-F28*(D28-$D27)/12</f>
        <v>-122.18750000000001</v>
      </c>
      <c r="L28" s="55">
        <f t="shared" si="32"/>
        <v>-186.26299999999998</v>
      </c>
      <c r="M28" s="55">
        <f>Cockpit!$Q$29</f>
        <v>-173</v>
      </c>
      <c r="N28" s="55">
        <f>Cockpit!$Q$31-Cockpit!$H$20*Cockpit!$H$21*(1+Cockpit!$D$22)*(B28-$B27)/12</f>
        <v>-94.098749999999995</v>
      </c>
      <c r="O28" s="55">
        <f>(H28+J28+M28+N28)*Cockpit!$Q$33</f>
        <v>-44.874499999999991</v>
      </c>
      <c r="P28" s="325">
        <f t="shared" ref="P28:P31" si="37">L28-O28</f>
        <v>-141.38849999999999</v>
      </c>
      <c r="R28" s="335">
        <f t="shared" si="22"/>
        <v>115000</v>
      </c>
      <c r="S28" s="54">
        <f t="shared" si="23"/>
        <v>0.8</v>
      </c>
      <c r="T28" s="55">
        <f t="shared" si="33"/>
        <v>92000</v>
      </c>
      <c r="U28" s="56">
        <f t="shared" si="24"/>
        <v>4.1000000000000002E-2</v>
      </c>
      <c r="V28" s="131">
        <f>V27-$V$21</f>
        <v>1.2E-2</v>
      </c>
      <c r="W28" s="55">
        <f t="shared" si="25"/>
        <v>313</v>
      </c>
      <c r="X28" s="55">
        <f>W28+Cockpit!$K$9</f>
        <v>449.6</v>
      </c>
      <c r="Y28" s="55">
        <f>-Cockpit!$K$12-Cockpit!$H$25*(Szenarien!W28-Szenarien!$AL$13)</f>
        <v>-218.988</v>
      </c>
      <c r="Z28" s="55">
        <f>Cockpit!$Q$21-U28*(T28-$T$13)/12-(U28-$U$13)*$T$13/12</f>
        <v>-314.33333333333331</v>
      </c>
      <c r="AA28" s="55">
        <f>Cockpit!$Q$22-V28*(T28-$T$13)/12-(V28-$V$13)*$T$13/12</f>
        <v>-92</v>
      </c>
      <c r="AB28" s="55">
        <f t="shared" si="34"/>
        <v>-175.72133333333329</v>
      </c>
      <c r="AC28" s="55">
        <f>Cockpit!$Q$29</f>
        <v>-173</v>
      </c>
      <c r="AD28" s="55">
        <f>Cockpit!$Q$31-Cockpit!$H$20*Cockpit!$H$21*(1+Cockpit!$D$22)*(R28-$R27)/12</f>
        <v>-94.098749999999995</v>
      </c>
      <c r="AE28" s="55">
        <f>(X28+Z28+AC28+AD28)*Cockpit!$Q$33</f>
        <v>-52.732833333333318</v>
      </c>
      <c r="AF28" s="325">
        <f t="shared" ref="AF28:AF31" si="38">AB28-AE28</f>
        <v>-122.98849999999997</v>
      </c>
      <c r="AH28" s="335">
        <f t="shared" si="27"/>
        <v>115000</v>
      </c>
      <c r="AI28" s="54">
        <f t="shared" si="28"/>
        <v>0.8</v>
      </c>
      <c r="AJ28" s="55">
        <f t="shared" si="35"/>
        <v>92000</v>
      </c>
      <c r="AK28" s="56">
        <f t="shared" si="29"/>
        <v>4.1000000000000002E-2</v>
      </c>
      <c r="AL28" s="56">
        <f t="shared" si="30"/>
        <v>1.7000000000000001E-2</v>
      </c>
      <c r="AM28" s="134">
        <f>AM27-$AM$21</f>
        <v>293</v>
      </c>
      <c r="AN28" s="55">
        <f>AM28+Cockpit!$K$9</f>
        <v>429.6</v>
      </c>
      <c r="AO28" s="55">
        <f>-Cockpit!$K$12-Cockpit!$H$25*(Szenarien!AM28-Szenarien!$AL$13)</f>
        <v>-218.38800000000001</v>
      </c>
      <c r="AP28" s="55">
        <f>Cockpit!$Q$21-AK28*(AJ28-$T$13)/12-(AK28-$U$13)*$T$13/12</f>
        <v>-314.33333333333331</v>
      </c>
      <c r="AQ28" s="55">
        <f>Cockpit!$Q$22-AL28*(AJ28-$T$13)/12-(AL28-$V$13)*$T$13/12</f>
        <v>-130.33333333333334</v>
      </c>
      <c r="AR28" s="55">
        <f t="shared" si="36"/>
        <v>-233.45466666666664</v>
      </c>
      <c r="AS28" s="55">
        <f>Cockpit!$Q$29</f>
        <v>-173</v>
      </c>
      <c r="AT28" s="55">
        <f>Cockpit!$Q$31-Cockpit!$H$20*Cockpit!$H$21*(1+Cockpit!$D$22)*(AH28-$AH27)/12</f>
        <v>-94.098749999999995</v>
      </c>
      <c r="AU28" s="55">
        <f>(AN28+AP28+AS28+AT28)*Cockpit!$Q$33</f>
        <v>-60.732833333333318</v>
      </c>
      <c r="AV28" s="325">
        <f t="shared" ref="AV28:AV31" si="39">AR28-AU28</f>
        <v>-172.72183333333334</v>
      </c>
    </row>
    <row r="29" spans="2:48">
      <c r="B29" s="333">
        <f t="shared" si="16"/>
        <v>115000</v>
      </c>
      <c r="C29" s="128">
        <f>C28-$C$21</f>
        <v>0.7</v>
      </c>
      <c r="D29" s="51">
        <f t="shared" si="17"/>
        <v>80500</v>
      </c>
      <c r="E29" s="49">
        <f t="shared" si="18"/>
        <v>4.1000000000000002E-2</v>
      </c>
      <c r="F29" s="49">
        <f t="shared" si="19"/>
        <v>1.7000000000000001E-2</v>
      </c>
      <c r="G29" s="48">
        <f t="shared" si="20"/>
        <v>313</v>
      </c>
      <c r="H29" s="48">
        <f>G29+Cockpit!$K$9</f>
        <v>449.6</v>
      </c>
      <c r="I29" s="48">
        <f>-Cockpit!$K$12-Cockpit!$H$25*(Szenarien!G29-Szenarien!$AL$13)</f>
        <v>-218.988</v>
      </c>
      <c r="J29" s="48">
        <f>Cockpit!$Q$21-E29*(D29-$D27)/12</f>
        <v>-275.04166666666663</v>
      </c>
      <c r="K29" s="48">
        <f>Cockpit!$Q$22-F29*(D29-$D27)/12</f>
        <v>-114.04166666666667</v>
      </c>
      <c r="L29" s="48">
        <f t="shared" si="32"/>
        <v>-158.47133333333329</v>
      </c>
      <c r="M29" s="48">
        <f>Cockpit!$Q$29</f>
        <v>-173</v>
      </c>
      <c r="N29" s="48">
        <f>Cockpit!$Q$31-Cockpit!$H$20*Cockpit!$H$21*(1+Cockpit!$D$22)*(B29-$B27)/12</f>
        <v>-94.098749999999995</v>
      </c>
      <c r="O29" s="48">
        <f>(H29+J29+M29+N29)*Cockpit!$Q$33</f>
        <v>-37.016166666666642</v>
      </c>
      <c r="P29" s="286">
        <f t="shared" si="37"/>
        <v>-121.45516666666666</v>
      </c>
      <c r="R29" s="333">
        <f t="shared" si="22"/>
        <v>115000</v>
      </c>
      <c r="S29" s="47">
        <f t="shared" si="23"/>
        <v>0.8</v>
      </c>
      <c r="T29" s="48">
        <f t="shared" si="33"/>
        <v>92000</v>
      </c>
      <c r="U29" s="49">
        <f t="shared" si="24"/>
        <v>4.1000000000000002E-2</v>
      </c>
      <c r="V29" s="129">
        <f>V28-$V$21</f>
        <v>7.0000000000000001E-3</v>
      </c>
      <c r="W29" s="48">
        <f t="shared" si="25"/>
        <v>313</v>
      </c>
      <c r="X29" s="48">
        <f>W29+Cockpit!$K$9</f>
        <v>449.6</v>
      </c>
      <c r="Y29" s="48">
        <f>-Cockpit!$K$12-Cockpit!$H$25*(Szenarien!W29-Szenarien!$AL$13)</f>
        <v>-218.988</v>
      </c>
      <c r="Z29" s="48">
        <f>Cockpit!$Q$21-U29*(T29-$T$13)/12-(U29-$U$13)*$T$13/12</f>
        <v>-314.33333333333331</v>
      </c>
      <c r="AA29" s="48">
        <f>Cockpit!$Q$22-V29*(T29-$T$13)/12-(V29-$V$13)*$T$13/12</f>
        <v>-53.666666666666657</v>
      </c>
      <c r="AB29" s="48">
        <f t="shared" si="34"/>
        <v>-137.38799999999995</v>
      </c>
      <c r="AC29" s="48">
        <f>Cockpit!$Q$29</f>
        <v>-173</v>
      </c>
      <c r="AD29" s="48">
        <f>Cockpit!$Q$31-Cockpit!$H$20*Cockpit!$H$21*(1+Cockpit!$D$22)*(R29-$R27)/12</f>
        <v>-94.098749999999995</v>
      </c>
      <c r="AE29" s="48">
        <f>(X29+Z29+AC29+AD29)*Cockpit!$Q$33</f>
        <v>-52.732833333333318</v>
      </c>
      <c r="AF29" s="286">
        <f t="shared" si="38"/>
        <v>-84.655166666666631</v>
      </c>
      <c r="AH29" s="333">
        <f t="shared" si="27"/>
        <v>115000</v>
      </c>
      <c r="AI29" s="47">
        <f t="shared" si="28"/>
        <v>0.8</v>
      </c>
      <c r="AJ29" s="48">
        <f t="shared" si="35"/>
        <v>92000</v>
      </c>
      <c r="AK29" s="49">
        <f t="shared" si="29"/>
        <v>4.1000000000000002E-2</v>
      </c>
      <c r="AL29" s="49">
        <f t="shared" si="30"/>
        <v>1.7000000000000001E-2</v>
      </c>
      <c r="AM29" s="132">
        <f>AM28-$AM$21</f>
        <v>273</v>
      </c>
      <c r="AN29" s="48">
        <f>AM29+Cockpit!$K$9</f>
        <v>409.6</v>
      </c>
      <c r="AO29" s="48">
        <f>-Cockpit!$K$12-Cockpit!$H$25*(Szenarien!AM29-Szenarien!$AL$13)</f>
        <v>-217.78800000000001</v>
      </c>
      <c r="AP29" s="48">
        <f>Cockpit!$Q$21-AK29*(AJ29-$T$13)/12-(AK29-$U$13)*$T$13/12</f>
        <v>-314.33333333333331</v>
      </c>
      <c r="AQ29" s="48">
        <f>Cockpit!$Q$22-AL29*(AJ29-$T$13)/12-(AL29-$V$13)*$T$13/12</f>
        <v>-130.33333333333334</v>
      </c>
      <c r="AR29" s="48">
        <f t="shared" si="36"/>
        <v>-252.85466666666665</v>
      </c>
      <c r="AS29" s="48">
        <f>Cockpit!$Q$29</f>
        <v>-173</v>
      </c>
      <c r="AT29" s="48">
        <f>Cockpit!$Q$31-Cockpit!$H$20*Cockpit!$H$21*(1+Cockpit!$D$22)*(AH29-$AH27)/12</f>
        <v>-94.098749999999995</v>
      </c>
      <c r="AU29" s="48">
        <f>(AN29+AP29+AS29+AT29)*Cockpit!$Q$33</f>
        <v>-68.732833333333318</v>
      </c>
      <c r="AV29" s="286">
        <f t="shared" si="39"/>
        <v>-184.12183333333331</v>
      </c>
    </row>
    <row r="30" spans="2:48">
      <c r="B30" s="333">
        <f t="shared" si="16"/>
        <v>115000</v>
      </c>
      <c r="C30" s="128">
        <f>C29-$C$21</f>
        <v>0.64999999999999991</v>
      </c>
      <c r="D30" s="51">
        <f t="shared" si="17"/>
        <v>74749.999999999985</v>
      </c>
      <c r="E30" s="49">
        <f t="shared" si="18"/>
        <v>4.1000000000000002E-2</v>
      </c>
      <c r="F30" s="49">
        <f t="shared" si="19"/>
        <v>1.7000000000000001E-2</v>
      </c>
      <c r="G30" s="48">
        <f t="shared" si="20"/>
        <v>313</v>
      </c>
      <c r="H30" s="48">
        <f>G30+Cockpit!$K$9</f>
        <v>449.6</v>
      </c>
      <c r="I30" s="48">
        <f>-Cockpit!$K$12-Cockpit!$H$25*(Szenarien!G30-Szenarien!$AL$13)</f>
        <v>-218.988</v>
      </c>
      <c r="J30" s="48">
        <f>Cockpit!$Q$21-E30*(D30-$D27)/12</f>
        <v>-255.39583333333326</v>
      </c>
      <c r="K30" s="48">
        <f>Cockpit!$Q$22-F30*(D30-$D27)/12</f>
        <v>-105.89583333333331</v>
      </c>
      <c r="L30" s="48">
        <f t="shared" si="32"/>
        <v>-130.67966666666655</v>
      </c>
      <c r="M30" s="48">
        <f>Cockpit!$Q$29</f>
        <v>-173</v>
      </c>
      <c r="N30" s="48">
        <f>Cockpit!$Q$31-Cockpit!$H$20*Cockpit!$H$21*(1+Cockpit!$D$22)*(B30-$B27)/12</f>
        <v>-94.098749999999995</v>
      </c>
      <c r="O30" s="48">
        <f>(H30+J30+M30+N30)*Cockpit!$Q$33</f>
        <v>-29.157833333333294</v>
      </c>
      <c r="P30" s="286">
        <f t="shared" si="37"/>
        <v>-101.52183333333326</v>
      </c>
      <c r="R30" s="333">
        <f t="shared" si="22"/>
        <v>115000</v>
      </c>
      <c r="S30" s="47">
        <f t="shared" si="23"/>
        <v>0.8</v>
      </c>
      <c r="T30" s="48">
        <f t="shared" si="33"/>
        <v>92000</v>
      </c>
      <c r="U30" s="49">
        <f t="shared" si="24"/>
        <v>4.1000000000000002E-2</v>
      </c>
      <c r="V30" s="129">
        <f>V29-$V$21</f>
        <v>2E-3</v>
      </c>
      <c r="W30" s="48">
        <f t="shared" si="25"/>
        <v>313</v>
      </c>
      <c r="X30" s="48">
        <f>W30+Cockpit!$K$9</f>
        <v>449.6</v>
      </c>
      <c r="Y30" s="48">
        <f>-Cockpit!$K$12-Cockpit!$H$25*(Szenarien!W30-Szenarien!$AL$13)</f>
        <v>-218.988</v>
      </c>
      <c r="Z30" s="48">
        <f>Cockpit!$Q$21-U30*(T30-$T$13)/12-(U30-$U$13)*$T$13/12</f>
        <v>-314.33333333333331</v>
      </c>
      <c r="AA30" s="48">
        <f>Cockpit!$Q$22-V30*(T30-$T$13)/12-(V30-$V$13)*$T$13/12</f>
        <v>-15.333333333333343</v>
      </c>
      <c r="AB30" s="48">
        <f t="shared" si="34"/>
        <v>-99.054666666666634</v>
      </c>
      <c r="AC30" s="48">
        <f>Cockpit!$Q$29</f>
        <v>-173</v>
      </c>
      <c r="AD30" s="48">
        <f>Cockpit!$Q$31-Cockpit!$H$20*Cockpit!$H$21*(1+Cockpit!$D$22)*(R30-$R27)/12</f>
        <v>-94.098749999999995</v>
      </c>
      <c r="AE30" s="48">
        <f>(X30+Z30+AC30+AD30)*Cockpit!$Q$33</f>
        <v>-52.732833333333318</v>
      </c>
      <c r="AF30" s="286">
        <f t="shared" si="38"/>
        <v>-46.321833333333316</v>
      </c>
      <c r="AH30" s="333">
        <f t="shared" si="27"/>
        <v>115000</v>
      </c>
      <c r="AI30" s="47">
        <f t="shared" si="28"/>
        <v>0.8</v>
      </c>
      <c r="AJ30" s="48">
        <f t="shared" si="35"/>
        <v>92000</v>
      </c>
      <c r="AK30" s="49">
        <f t="shared" si="29"/>
        <v>4.1000000000000002E-2</v>
      </c>
      <c r="AL30" s="49">
        <f t="shared" si="30"/>
        <v>1.7000000000000001E-2</v>
      </c>
      <c r="AM30" s="132">
        <f>AM29-$AM$21</f>
        <v>253</v>
      </c>
      <c r="AN30" s="48">
        <f>AM30+Cockpit!$K$9</f>
        <v>389.6</v>
      </c>
      <c r="AO30" s="48">
        <f>-Cockpit!$K$12-Cockpit!$H$25*(Szenarien!AM30-Szenarien!$AL$13)</f>
        <v>-217.18799999999999</v>
      </c>
      <c r="AP30" s="48">
        <f>Cockpit!$Q$21-AK30*(AJ30-$T$13)/12-(AK30-$U$13)*$T$13/12</f>
        <v>-314.33333333333331</v>
      </c>
      <c r="AQ30" s="48">
        <f>Cockpit!$Q$22-AL30*(AJ30-$T$13)/12-(AL30-$V$13)*$T$13/12</f>
        <v>-130.33333333333334</v>
      </c>
      <c r="AR30" s="48">
        <f t="shared" si="36"/>
        <v>-272.25466666666659</v>
      </c>
      <c r="AS30" s="48">
        <f>Cockpit!$Q$29</f>
        <v>-173</v>
      </c>
      <c r="AT30" s="48">
        <f>Cockpit!$Q$31-Cockpit!$H$20*Cockpit!$H$21*(1+Cockpit!$D$22)*(AH30-$AH27)/12</f>
        <v>-94.098749999999995</v>
      </c>
      <c r="AU30" s="48">
        <f>(AN30+AP30+AS30+AT30)*Cockpit!$Q$33</f>
        <v>-76.732833333333318</v>
      </c>
      <c r="AV30" s="286">
        <f t="shared" si="39"/>
        <v>-195.52183333333329</v>
      </c>
    </row>
    <row r="31" spans="2:48" ht="13.5" thickBot="1">
      <c r="B31" s="336">
        <f t="shared" si="16"/>
        <v>115000</v>
      </c>
      <c r="C31" s="337">
        <f>C30-$C$21</f>
        <v>0.59999999999999987</v>
      </c>
      <c r="D31" s="328">
        <f t="shared" si="17"/>
        <v>68999.999999999985</v>
      </c>
      <c r="E31" s="329">
        <f t="shared" si="18"/>
        <v>4.1000000000000002E-2</v>
      </c>
      <c r="F31" s="329">
        <f t="shared" si="19"/>
        <v>1.7000000000000001E-2</v>
      </c>
      <c r="G31" s="328">
        <f t="shared" si="20"/>
        <v>313</v>
      </c>
      <c r="H31" s="328">
        <f>G31+Cockpit!$K$9</f>
        <v>449.6</v>
      </c>
      <c r="I31" s="328">
        <f>-Cockpit!$K$12-Cockpit!$H$25*(Szenarien!G31-Szenarien!$AL$13)</f>
        <v>-218.988</v>
      </c>
      <c r="J31" s="328">
        <f>Cockpit!$Q$21-E31*(D31-$D27)/12</f>
        <v>-235.74999999999994</v>
      </c>
      <c r="K31" s="328">
        <f>Cockpit!$Q$22-F31*(D31-$D27)/12</f>
        <v>-97.749999999999986</v>
      </c>
      <c r="L31" s="328">
        <f t="shared" si="32"/>
        <v>-102.88799999999991</v>
      </c>
      <c r="M31" s="328">
        <f>Cockpit!$Q$29</f>
        <v>-173</v>
      </c>
      <c r="N31" s="328">
        <f>Cockpit!$Q$31-Cockpit!$H$20*Cockpit!$H$21*(1+Cockpit!$D$22)*(B31-$B27)/12</f>
        <v>-94.098749999999995</v>
      </c>
      <c r="O31" s="328">
        <f>(H31+J31+M31+N31)*Cockpit!$Q$33</f>
        <v>-21.299499999999966</v>
      </c>
      <c r="P31" s="288">
        <f t="shared" si="37"/>
        <v>-81.588499999999939</v>
      </c>
      <c r="R31" s="336">
        <f t="shared" si="22"/>
        <v>115000</v>
      </c>
      <c r="S31" s="327">
        <f t="shared" si="23"/>
        <v>0.8</v>
      </c>
      <c r="T31" s="328">
        <f t="shared" si="33"/>
        <v>92000</v>
      </c>
      <c r="U31" s="329">
        <f t="shared" si="24"/>
        <v>4.1000000000000002E-2</v>
      </c>
      <c r="V31" s="339">
        <f>V30-$V$21</f>
        <v>-3.0000000000000001E-3</v>
      </c>
      <c r="W31" s="328">
        <f t="shared" si="25"/>
        <v>313</v>
      </c>
      <c r="X31" s="328">
        <f>W31+Cockpit!$K$9</f>
        <v>449.6</v>
      </c>
      <c r="Y31" s="328">
        <f>-Cockpit!$K$12-Cockpit!$H$25*(Szenarien!W31-Szenarien!$AL$13)</f>
        <v>-218.988</v>
      </c>
      <c r="Z31" s="328">
        <f>Cockpit!$Q$21-U31*(T31-$T$13)/12-(U31-$U$13)*$T$13/12</f>
        <v>-314.33333333333331</v>
      </c>
      <c r="AA31" s="328">
        <f>Cockpit!$Q$22-V31*(T31-$T$13)/12-(V31-$V$13)*$T$13/12</f>
        <v>23</v>
      </c>
      <c r="AB31" s="328">
        <f t="shared" si="34"/>
        <v>-60.721333333333291</v>
      </c>
      <c r="AC31" s="328">
        <f>Cockpit!$Q$29</f>
        <v>-173</v>
      </c>
      <c r="AD31" s="328">
        <f>Cockpit!$Q$31-Cockpit!$H$20*Cockpit!$H$21*(1+Cockpit!$D$22)*(R31-$R27)/12</f>
        <v>-94.098749999999995</v>
      </c>
      <c r="AE31" s="328">
        <f>(X31+Z31+AC31+AD31)*Cockpit!$Q$33</f>
        <v>-52.732833333333318</v>
      </c>
      <c r="AF31" s="288">
        <f t="shared" si="38"/>
        <v>-7.9884999999999735</v>
      </c>
      <c r="AH31" s="336">
        <f t="shared" si="27"/>
        <v>115000</v>
      </c>
      <c r="AI31" s="327">
        <f t="shared" si="28"/>
        <v>0.8</v>
      </c>
      <c r="AJ31" s="328">
        <f t="shared" si="35"/>
        <v>92000</v>
      </c>
      <c r="AK31" s="329">
        <f t="shared" si="29"/>
        <v>4.1000000000000002E-2</v>
      </c>
      <c r="AL31" s="329">
        <f t="shared" si="30"/>
        <v>1.7000000000000001E-2</v>
      </c>
      <c r="AM31" s="341">
        <f>AM30-$AM$21</f>
        <v>233</v>
      </c>
      <c r="AN31" s="328">
        <f>AM31+Cockpit!$K$9</f>
        <v>369.6</v>
      </c>
      <c r="AO31" s="328">
        <f>-Cockpit!$K$12-Cockpit!$H$25*(Szenarien!AM31-Szenarien!$AL$13)</f>
        <v>-216.58799999999999</v>
      </c>
      <c r="AP31" s="328">
        <f>Cockpit!$Q$21-AK31*(AJ31-$T$13)/12-(AK31-$U$13)*$T$13/12</f>
        <v>-314.33333333333331</v>
      </c>
      <c r="AQ31" s="328">
        <f>Cockpit!$Q$22-AL31*(AJ31-$T$13)/12-(AL31-$V$13)*$T$13/12</f>
        <v>-130.33333333333334</v>
      </c>
      <c r="AR31" s="328">
        <f t="shared" si="36"/>
        <v>-291.65466666666663</v>
      </c>
      <c r="AS31" s="328">
        <f>Cockpit!$Q$29</f>
        <v>-173</v>
      </c>
      <c r="AT31" s="328">
        <f>Cockpit!$Q$31-Cockpit!$H$20*Cockpit!$H$21*(1+Cockpit!$D$22)*(AH31-$AH27)/12</f>
        <v>-94.098749999999995</v>
      </c>
      <c r="AU31" s="328">
        <f>(AN31+AP31+AS31+AT31)*Cockpit!$Q$33</f>
        <v>-84.732833333333318</v>
      </c>
      <c r="AV31" s="288">
        <f t="shared" si="39"/>
        <v>-206.92183333333332</v>
      </c>
    </row>
    <row r="33" spans="2:2">
      <c r="B33" s="135" t="s">
        <v>372</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H7:H8"/>
    <mergeCell ref="I7:I8"/>
    <mergeCell ref="J7:J8"/>
    <mergeCell ref="K7:K8"/>
    <mergeCell ref="L7:L8"/>
    <mergeCell ref="B21:B22"/>
    <mergeCell ref="D7:D8"/>
    <mergeCell ref="E7:E8"/>
    <mergeCell ref="F7:F8"/>
    <mergeCell ref="G7:G8"/>
    <mergeCell ref="C7:C8"/>
    <mergeCell ref="D21:D22"/>
    <mergeCell ref="E21:E22"/>
    <mergeCell ref="F21:F22"/>
    <mergeCell ref="G21:G22"/>
    <mergeCell ref="H21:H22"/>
    <mergeCell ref="I21:I22"/>
    <mergeCell ref="J21:J22"/>
    <mergeCell ref="K21:K22"/>
    <mergeCell ref="L21:L22"/>
    <mergeCell ref="M21:M22"/>
    <mergeCell ref="N21:N22"/>
    <mergeCell ref="O21:O22"/>
    <mergeCell ref="P21:P22"/>
    <mergeCell ref="P7:P8"/>
    <mergeCell ref="N7:N8"/>
    <mergeCell ref="O7:O8"/>
    <mergeCell ref="M7:M8"/>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AR21:AR22"/>
    <mergeCell ref="AS21:AS22"/>
    <mergeCell ref="AT21:AT22"/>
    <mergeCell ref="AU21:AU22"/>
    <mergeCell ref="AV21:AV22"/>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351</v>
      </c>
      <c r="C1" s="532"/>
      <c r="D1" s="532"/>
      <c r="E1" s="481" t="s">
        <v>114</v>
      </c>
      <c r="F1" s="481"/>
      <c r="G1" s="481"/>
      <c r="N1" s="474"/>
      <c r="O1" s="474"/>
    </row>
    <row r="2" spans="2:18" s="150" customFormat="1" ht="15" customHeight="1">
      <c r="B2" s="532"/>
      <c r="C2" s="532"/>
      <c r="D2" s="532"/>
      <c r="E2" s="481"/>
      <c r="F2" s="481"/>
      <c r="G2" s="481"/>
      <c r="N2" s="474"/>
      <c r="O2" s="474"/>
    </row>
    <row r="3" spans="2:18" s="150" customFormat="1" ht="12.75" customHeight="1">
      <c r="B3" s="532"/>
      <c r="C3" s="532"/>
      <c r="D3" s="532"/>
      <c r="E3" s="481"/>
      <c r="F3" s="481"/>
      <c r="G3" s="481"/>
      <c r="N3" s="474"/>
      <c r="O3" s="474"/>
    </row>
    <row r="4" spans="2:18" ht="18.75" customHeight="1">
      <c r="N4" s="5"/>
      <c r="O4" s="5"/>
      <c r="P4" s="5"/>
      <c r="Q4" s="5"/>
    </row>
    <row r="5" spans="2:18" ht="9" customHeight="1">
      <c r="N5" s="5"/>
      <c r="O5" s="5"/>
      <c r="P5" s="5"/>
      <c r="Q5" s="5"/>
    </row>
    <row r="6" spans="2:18" ht="28.5" customHeight="1">
      <c r="B6" s="531" t="str">
        <f>Cockpit!C9</f>
        <v>Musterstr. 11, 1234 Musterstadt</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115000</v>
      </c>
      <c r="H10" s="6" t="s">
        <v>361</v>
      </c>
      <c r="I10" s="7">
        <f>IF((Cockpit!N17)=0,#N/A,Cockpit!N17)</f>
        <v>92000</v>
      </c>
      <c r="L10" s="6" t="s">
        <v>478</v>
      </c>
      <c r="M10" s="6">
        <f>Cockpit!Q19</f>
        <v>449.6</v>
      </c>
    </row>
    <row r="11" spans="2:18">
      <c r="C11" s="6" t="s">
        <v>367</v>
      </c>
      <c r="D11" s="7">
        <f>IF(Cockpit!E22=0,#N/A,Cockpit!E22)</f>
        <v>11569</v>
      </c>
      <c r="H11" s="6" t="s">
        <v>247</v>
      </c>
      <c r="I11" s="7" t="e">
        <f>IF((Cockpit!N9-Cockpit!N17)=0,#N/A,Cockpit!N9-Cockpit!N17)</f>
        <v>#N/A</v>
      </c>
      <c r="L11" s="6" t="s">
        <v>79</v>
      </c>
      <c r="N11" s="8">
        <f>-Cockpit!Q20</f>
        <v>218.988</v>
      </c>
    </row>
    <row r="12" spans="2:18">
      <c r="C12" s="6" t="s">
        <v>368</v>
      </c>
      <c r="D12" s="7" t="e">
        <f>IF(Cockpit!C30=0,#N/A,Cockpit!C30)</f>
        <v>#N/A</v>
      </c>
      <c r="H12" s="6" t="s">
        <v>26</v>
      </c>
      <c r="I12" s="7">
        <f>Cockpit!N10</f>
        <v>34569</v>
      </c>
      <c r="L12" s="6" t="s">
        <v>43</v>
      </c>
      <c r="N12" s="8">
        <f>-Cockpit!Q21</f>
        <v>314.33333333333331</v>
      </c>
    </row>
    <row r="13" spans="2:18">
      <c r="L13" s="6" t="s">
        <v>44</v>
      </c>
      <c r="N13" s="8">
        <f>-Cockpit!Q22</f>
        <v>130.33333333333334</v>
      </c>
    </row>
    <row r="14" spans="2:18">
      <c r="L14" s="6" t="s">
        <v>101</v>
      </c>
      <c r="N14" s="8">
        <f>-Cockpit!Q24</f>
        <v>-52.732833333333318</v>
      </c>
    </row>
    <row r="15" spans="2:18">
      <c r="N15" s="8"/>
    </row>
    <row r="18" spans="14:14">
      <c r="N18" s="8"/>
    </row>
    <row r="52" ht="5.25" customHeight="1"/>
    <row r="53" ht="5.25" customHeight="1"/>
    <row r="54" ht="5.25" customHeight="1"/>
    <row r="107" spans="2:2">
      <c r="B107" s="135" t="s">
        <v>372</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4" t="s">
        <v>351</v>
      </c>
      <c r="C1" s="474"/>
      <c r="D1" s="474"/>
      <c r="F1" s="481" t="s">
        <v>352</v>
      </c>
      <c r="G1" s="481"/>
      <c r="H1" s="481"/>
      <c r="I1" s="481"/>
      <c r="J1" s="481"/>
      <c r="K1" s="481"/>
      <c r="L1" s="481"/>
      <c r="N1" s="474"/>
      <c r="O1" s="474"/>
      <c r="Q1" s="474"/>
      <c r="R1" s="474"/>
      <c r="S1" s="474"/>
      <c r="U1" s="474"/>
      <c r="V1" s="474"/>
    </row>
    <row r="2" spans="1:54" s="150" customFormat="1" ht="15" customHeight="1">
      <c r="B2" s="474"/>
      <c r="C2" s="474"/>
      <c r="D2" s="474"/>
      <c r="F2" s="481"/>
      <c r="G2" s="481"/>
      <c r="H2" s="481"/>
      <c r="I2" s="481"/>
      <c r="J2" s="481"/>
      <c r="K2" s="481"/>
      <c r="L2" s="481"/>
      <c r="N2" s="474"/>
      <c r="O2" s="474"/>
      <c r="Q2" s="474"/>
      <c r="R2" s="474"/>
      <c r="S2" s="474"/>
      <c r="U2" s="474"/>
      <c r="V2" s="474"/>
    </row>
    <row r="3" spans="1:54" s="150" customFormat="1" ht="12.75" customHeight="1">
      <c r="B3" s="474"/>
      <c r="C3" s="474"/>
      <c r="D3" s="474"/>
      <c r="F3" s="481"/>
      <c r="G3" s="481"/>
      <c r="H3" s="481"/>
      <c r="I3" s="481"/>
      <c r="J3" s="481"/>
      <c r="K3" s="481"/>
      <c r="L3" s="481"/>
      <c r="N3" s="474"/>
      <c r="O3" s="474"/>
      <c r="Q3" s="474"/>
      <c r="R3" s="474"/>
      <c r="S3" s="474"/>
      <c r="U3" s="474"/>
      <c r="V3" s="474"/>
    </row>
    <row r="4" spans="1:54" ht="18.75" customHeight="1">
      <c r="J4" s="6"/>
      <c r="K4" s="6"/>
      <c r="L4" s="6"/>
      <c r="M4" s="6"/>
      <c r="N4" s="5"/>
      <c r="O4" s="5"/>
      <c r="P4" s="5"/>
      <c r="Q4" s="5"/>
    </row>
    <row r="5" spans="1:54" s="5" customFormat="1" ht="9" customHeight="1" thickBot="1"/>
    <row r="6" spans="1:54" s="5" customFormat="1" ht="13.5" thickBot="1">
      <c r="A6" s="19"/>
      <c r="B6" s="359" t="s">
        <v>328</v>
      </c>
      <c r="C6" s="370" t="s">
        <v>345</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326</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4" t="s">
        <v>261</v>
      </c>
      <c r="C10" s="534"/>
      <c r="D10" s="485"/>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3"/>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3"/>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502" t="s">
        <v>301</v>
      </c>
      <c r="C13" s="535"/>
      <c r="D13" s="50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6" t="s">
        <v>302</v>
      </c>
      <c r="C15" s="537"/>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4" t="s">
        <v>261</v>
      </c>
      <c r="C17" s="534"/>
      <c r="D17" s="485"/>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3"/>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3"/>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502" t="s">
        <v>301</v>
      </c>
      <c r="C20" s="535"/>
      <c r="D20" s="50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6" t="s">
        <v>303</v>
      </c>
      <c r="C22" s="537"/>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4" t="s">
        <v>261</v>
      </c>
      <c r="C24" s="534"/>
      <c r="D24" s="485"/>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3"/>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3"/>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502" t="s">
        <v>301</v>
      </c>
      <c r="C27" s="535"/>
      <c r="D27" s="50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6" t="s">
        <v>304</v>
      </c>
      <c r="C29" s="537"/>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4" t="s">
        <v>261</v>
      </c>
      <c r="C31" s="534"/>
      <c r="D31" s="485"/>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3"/>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3"/>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502" t="s">
        <v>301</v>
      </c>
      <c r="C34" s="535"/>
      <c r="D34" s="50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6" t="s">
        <v>305</v>
      </c>
      <c r="C36" s="537"/>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4" t="s">
        <v>261</v>
      </c>
      <c r="C38" s="534"/>
      <c r="D38" s="485"/>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3"/>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3"/>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502" t="s">
        <v>301</v>
      </c>
      <c r="C41" s="535"/>
      <c r="D41" s="50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6" t="s">
        <v>295</v>
      </c>
      <c r="C43" s="537"/>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4" t="s">
        <v>261</v>
      </c>
      <c r="C45" s="534"/>
      <c r="D45" s="485"/>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3"/>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3"/>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502" t="s">
        <v>301</v>
      </c>
      <c r="C48" s="535"/>
      <c r="D48" s="50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6" t="s">
        <v>296</v>
      </c>
      <c r="C50" s="537"/>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4" t="s">
        <v>261</v>
      </c>
      <c r="C52" s="534"/>
      <c r="D52" s="485"/>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3"/>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3"/>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502" t="s">
        <v>301</v>
      </c>
      <c r="C55" s="535"/>
      <c r="D55" s="50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6" t="s">
        <v>297</v>
      </c>
      <c r="C57" s="537"/>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4" t="s">
        <v>261</v>
      </c>
      <c r="C59" s="534"/>
      <c r="D59" s="485"/>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3"/>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3"/>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502" t="s">
        <v>301</v>
      </c>
      <c r="C62" s="535"/>
      <c r="D62" s="50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6" t="s">
        <v>298</v>
      </c>
      <c r="C64" s="537"/>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4" t="s">
        <v>261</v>
      </c>
      <c r="C66" s="534"/>
      <c r="D66" s="485"/>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3"/>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3"/>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502" t="s">
        <v>301</v>
      </c>
      <c r="C69" s="535"/>
      <c r="D69" s="50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6" t="s">
        <v>306</v>
      </c>
      <c r="C71" s="537"/>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4" t="s">
        <v>261</v>
      </c>
      <c r="C73" s="534"/>
      <c r="D73" s="485"/>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3"/>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3"/>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502" t="s">
        <v>301</v>
      </c>
      <c r="C76" s="535"/>
      <c r="D76" s="50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6" t="s">
        <v>299</v>
      </c>
      <c r="C78" s="537"/>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4" t="s">
        <v>261</v>
      </c>
      <c r="C80" s="534"/>
      <c r="D80" s="485"/>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3"/>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3"/>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502" t="s">
        <v>301</v>
      </c>
      <c r="C83" s="535"/>
      <c r="D83" s="50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6" t="s">
        <v>300</v>
      </c>
      <c r="C85" s="537"/>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4" t="s">
        <v>261</v>
      </c>
      <c r="C87" s="534"/>
      <c r="D87" s="485"/>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3"/>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3"/>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502" t="s">
        <v>301</v>
      </c>
      <c r="C90" s="535"/>
      <c r="D90" s="50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6" t="s">
        <v>307</v>
      </c>
      <c r="C92" s="537"/>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4" t="s">
        <v>261</v>
      </c>
      <c r="C94" s="534"/>
      <c r="D94" s="485"/>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3"/>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3"/>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502" t="s">
        <v>301</v>
      </c>
      <c r="C97" s="535"/>
      <c r="D97" s="50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6" t="s">
        <v>308</v>
      </c>
      <c r="C99" s="537"/>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4" t="s">
        <v>261</v>
      </c>
      <c r="C101" s="534"/>
      <c r="D101" s="485"/>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3"/>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3"/>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502" t="s">
        <v>301</v>
      </c>
      <c r="C104" s="535"/>
      <c r="D104" s="50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6" t="s">
        <v>309</v>
      </c>
      <c r="C106" s="537"/>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4" t="s">
        <v>261</v>
      </c>
      <c r="C108" s="534"/>
      <c r="D108" s="485"/>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3"/>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3"/>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502" t="s">
        <v>301</v>
      </c>
      <c r="C111" s="535"/>
      <c r="D111" s="50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6" t="s">
        <v>310</v>
      </c>
      <c r="C113" s="537"/>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4" t="s">
        <v>261</v>
      </c>
      <c r="C115" s="534"/>
      <c r="D115" s="485"/>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3"/>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3"/>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502" t="s">
        <v>301</v>
      </c>
      <c r="C118" s="535"/>
      <c r="D118" s="50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6" t="s">
        <v>311</v>
      </c>
      <c r="C120" s="537"/>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4" t="s">
        <v>261</v>
      </c>
      <c r="C122" s="534"/>
      <c r="D122" s="485"/>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3"/>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3"/>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502" t="s">
        <v>301</v>
      </c>
      <c r="C125" s="535"/>
      <c r="D125" s="50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6" t="s">
        <v>312</v>
      </c>
      <c r="C127" s="537"/>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4" t="s">
        <v>261</v>
      </c>
      <c r="C129" s="534"/>
      <c r="D129" s="485"/>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3"/>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3"/>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502" t="s">
        <v>301</v>
      </c>
      <c r="C132" s="535"/>
      <c r="D132" s="50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6" t="s">
        <v>313</v>
      </c>
      <c r="C134" s="537"/>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4" t="s">
        <v>261</v>
      </c>
      <c r="C136" s="534"/>
      <c r="D136" s="485"/>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3"/>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3"/>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502" t="s">
        <v>301</v>
      </c>
      <c r="C139" s="535"/>
      <c r="D139" s="50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6" t="s">
        <v>314</v>
      </c>
      <c r="C141" s="537"/>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4" t="s">
        <v>261</v>
      </c>
      <c r="C143" s="534"/>
      <c r="D143" s="485"/>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3"/>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3"/>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502" t="s">
        <v>301</v>
      </c>
      <c r="C146" s="535"/>
      <c r="D146" s="50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6" t="s">
        <v>315</v>
      </c>
      <c r="C148" s="537"/>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4" t="s">
        <v>261</v>
      </c>
      <c r="C150" s="534"/>
      <c r="D150" s="485"/>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3"/>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3"/>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502" t="s">
        <v>301</v>
      </c>
      <c r="C153" s="535"/>
      <c r="D153" s="50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6" t="s">
        <v>316</v>
      </c>
      <c r="C155" s="537"/>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4" t="s">
        <v>261</v>
      </c>
      <c r="C157" s="534"/>
      <c r="D157" s="485"/>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3"/>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3"/>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502" t="s">
        <v>301</v>
      </c>
      <c r="C160" s="535"/>
      <c r="D160" s="50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6" t="s">
        <v>317</v>
      </c>
      <c r="C162" s="537"/>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4" t="s">
        <v>261</v>
      </c>
      <c r="C164" s="534"/>
      <c r="D164" s="485"/>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3"/>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3"/>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502" t="s">
        <v>301</v>
      </c>
      <c r="C167" s="535"/>
      <c r="D167" s="50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6" t="s">
        <v>318</v>
      </c>
      <c r="C169" s="537"/>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4" t="s">
        <v>261</v>
      </c>
      <c r="C171" s="534"/>
      <c r="D171" s="485"/>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3"/>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3"/>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502" t="s">
        <v>301</v>
      </c>
      <c r="C174" s="535"/>
      <c r="D174" s="50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6" t="s">
        <v>319</v>
      </c>
      <c r="C176" s="537"/>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4" t="s">
        <v>261</v>
      </c>
      <c r="C178" s="534"/>
      <c r="D178" s="485"/>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3"/>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3"/>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502" t="s">
        <v>301</v>
      </c>
      <c r="C181" s="535"/>
      <c r="D181" s="50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6" t="s">
        <v>320</v>
      </c>
      <c r="C183" s="537"/>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4" t="s">
        <v>261</v>
      </c>
      <c r="C185" s="534"/>
      <c r="D185" s="485"/>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3"/>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3"/>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502" t="s">
        <v>301</v>
      </c>
      <c r="C188" s="535"/>
      <c r="D188" s="50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6" t="s">
        <v>321</v>
      </c>
      <c r="C190" s="537"/>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4" t="s">
        <v>261</v>
      </c>
      <c r="C192" s="534"/>
      <c r="D192" s="485"/>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3"/>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3"/>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502" t="s">
        <v>301</v>
      </c>
      <c r="C195" s="535"/>
      <c r="D195" s="50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6" t="s">
        <v>322</v>
      </c>
      <c r="C197" s="537"/>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4" t="s">
        <v>261</v>
      </c>
      <c r="C199" s="534"/>
      <c r="D199" s="485"/>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3"/>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3"/>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502" t="s">
        <v>301</v>
      </c>
      <c r="C202" s="535"/>
      <c r="D202" s="50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6" t="s">
        <v>323</v>
      </c>
      <c r="C204" s="537"/>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4" t="s">
        <v>261</v>
      </c>
      <c r="C206" s="534"/>
      <c r="D206" s="485"/>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3"/>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3"/>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502" t="s">
        <v>301</v>
      </c>
      <c r="C209" s="535"/>
      <c r="D209" s="50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6" t="s">
        <v>324</v>
      </c>
      <c r="C211" s="537"/>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4" t="s">
        <v>261</v>
      </c>
      <c r="C213" s="534"/>
      <c r="D213" s="485"/>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3"/>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3"/>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502" t="s">
        <v>301</v>
      </c>
      <c r="C216" s="535"/>
      <c r="D216" s="50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6" t="s">
        <v>325</v>
      </c>
      <c r="C218" s="537"/>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4" t="s">
        <v>261</v>
      </c>
      <c r="C220" s="534"/>
      <c r="D220" s="485"/>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3"/>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3"/>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502" t="s">
        <v>301</v>
      </c>
      <c r="C223" s="535"/>
      <c r="D223" s="50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372</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09:D109"/>
    <mergeCell ref="B110:D110"/>
    <mergeCell ref="B111:D111"/>
    <mergeCell ref="B137:D137"/>
    <mergeCell ref="B138:D138"/>
    <mergeCell ref="B139:D139"/>
    <mergeCell ref="B141:C141"/>
    <mergeCell ref="B143:D143"/>
    <mergeCell ref="B144:D144"/>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4" t="s">
        <v>351</v>
      </c>
      <c r="C1" s="475" t="s">
        <v>349</v>
      </c>
      <c r="D1" s="475"/>
      <c r="E1" s="475"/>
      <c r="F1" s="475"/>
      <c r="H1" s="238"/>
      <c r="K1" s="474"/>
      <c r="L1" s="474"/>
      <c r="M1" s="237"/>
      <c r="N1" s="474"/>
      <c r="O1" s="474"/>
      <c r="P1" s="237"/>
      <c r="Q1" s="474"/>
      <c r="R1" s="474"/>
      <c r="T1" s="474"/>
      <c r="U1" s="424"/>
    </row>
    <row r="2" spans="1:21" s="150" customFormat="1" ht="15" customHeight="1">
      <c r="B2" s="474"/>
      <c r="C2" s="475"/>
      <c r="D2" s="475"/>
      <c r="E2" s="475"/>
      <c r="F2" s="475"/>
      <c r="H2" s="238"/>
      <c r="K2" s="474"/>
      <c r="L2" s="474"/>
      <c r="M2" s="237"/>
      <c r="N2" s="474"/>
      <c r="O2" s="474"/>
      <c r="P2" s="237"/>
      <c r="Q2" s="474"/>
      <c r="R2" s="474"/>
      <c r="T2" s="474"/>
      <c r="U2" s="424"/>
    </row>
    <row r="3" spans="1:21" s="150" customFormat="1" ht="12.75" customHeight="1">
      <c r="B3" s="474"/>
      <c r="C3" s="475"/>
      <c r="D3" s="475"/>
      <c r="E3" s="475"/>
      <c r="F3" s="475"/>
      <c r="H3" s="238"/>
      <c r="K3" s="474"/>
      <c r="L3" s="474"/>
      <c r="M3" s="237"/>
      <c r="N3" s="474"/>
      <c r="O3" s="474"/>
      <c r="P3" s="237"/>
      <c r="Q3" s="474"/>
      <c r="R3" s="474"/>
      <c r="T3" s="474"/>
      <c r="U3" s="424"/>
    </row>
    <row r="4" spans="1:21" s="6" customFormat="1" ht="18.75" customHeight="1">
      <c r="M4" s="5"/>
      <c r="N4" s="5"/>
      <c r="O4" s="5"/>
      <c r="P4" s="5"/>
    </row>
    <row r="5" spans="1:21" ht="15.75" customHeight="1" thickBot="1">
      <c r="A5" s="372" t="s">
        <v>238</v>
      </c>
      <c r="B5" s="371" t="s">
        <v>237</v>
      </c>
      <c r="C5" s="13"/>
      <c r="E5" s="6"/>
      <c r="F5" s="5"/>
      <c r="G5" s="5"/>
    </row>
    <row r="6" spans="1:21" ht="26.25" customHeight="1" thickBot="1">
      <c r="A6" s="373"/>
      <c r="B6" s="374" t="s">
        <v>213</v>
      </c>
      <c r="C6" s="375" t="s">
        <v>214</v>
      </c>
      <c r="D6" s="375" t="s">
        <v>215</v>
      </c>
      <c r="E6" s="375" t="s">
        <v>240</v>
      </c>
      <c r="F6" s="376" t="s">
        <v>239</v>
      </c>
      <c r="G6" s="376" t="s">
        <v>241</v>
      </c>
      <c r="H6" s="376" t="s">
        <v>216</v>
      </c>
      <c r="I6" s="376" t="s">
        <v>217</v>
      </c>
      <c r="J6" s="558" t="s">
        <v>148</v>
      </c>
      <c r="K6" s="559"/>
    </row>
    <row r="7" spans="1:21" s="6" customFormat="1" ht="10.5" customHeight="1">
      <c r="A7" s="15" t="s">
        <v>236</v>
      </c>
    </row>
    <row r="8" spans="1:21" s="6" customFormat="1" ht="15" customHeight="1">
      <c r="A8" s="15"/>
      <c r="B8" s="540" t="s">
        <v>382</v>
      </c>
      <c r="C8" s="540"/>
      <c r="D8" s="540"/>
      <c r="E8" s="540"/>
      <c r="F8" s="540"/>
      <c r="G8" s="540"/>
      <c r="H8" s="540"/>
      <c r="I8" s="540"/>
      <c r="J8" s="540"/>
      <c r="K8" s="540"/>
    </row>
    <row r="9" spans="1:21" s="6" customFormat="1" ht="10.5" customHeight="1">
      <c r="A9" s="15"/>
      <c r="B9" s="540"/>
      <c r="C9" s="540"/>
      <c r="D9" s="540"/>
      <c r="E9" s="540"/>
      <c r="F9" s="540"/>
      <c r="G9" s="540"/>
      <c r="H9" s="540"/>
      <c r="I9" s="540"/>
      <c r="J9" s="540"/>
      <c r="K9" s="540"/>
    </row>
    <row r="10" spans="1:21" s="6" customFormat="1" ht="10.5" customHeight="1">
      <c r="A10" s="15"/>
      <c r="B10" s="540"/>
      <c r="C10" s="540"/>
      <c r="D10" s="540"/>
      <c r="E10" s="540"/>
      <c r="F10" s="540"/>
      <c r="G10" s="540"/>
      <c r="H10" s="540"/>
      <c r="I10" s="540"/>
      <c r="J10" s="540"/>
      <c r="K10" s="540"/>
    </row>
    <row r="11" spans="1:21" s="6" customFormat="1" ht="10.5" customHeight="1">
      <c r="A11" s="15"/>
      <c r="B11" s="540"/>
      <c r="C11" s="540"/>
      <c r="D11" s="540"/>
      <c r="E11" s="540"/>
      <c r="F11" s="540"/>
      <c r="G11" s="540"/>
      <c r="H11" s="540"/>
      <c r="I11" s="540"/>
      <c r="J11" s="540"/>
      <c r="K11" s="540"/>
    </row>
    <row r="12" spans="1:21" s="6" customFormat="1" ht="10.5" customHeight="1">
      <c r="A12" s="15"/>
      <c r="B12" s="540"/>
      <c r="C12" s="540"/>
      <c r="D12" s="540"/>
      <c r="E12" s="540"/>
      <c r="F12" s="540"/>
      <c r="G12" s="540"/>
      <c r="H12" s="540"/>
      <c r="I12" s="540"/>
      <c r="J12" s="540"/>
      <c r="K12" s="540"/>
    </row>
    <row r="13" spans="1:21" s="6" customFormat="1" ht="10.5" customHeight="1">
      <c r="A13" s="15"/>
      <c r="B13" s="540"/>
      <c r="C13" s="540"/>
      <c r="D13" s="540"/>
      <c r="E13" s="540"/>
      <c r="F13" s="540"/>
      <c r="G13" s="540"/>
      <c r="H13" s="540"/>
      <c r="I13" s="540"/>
      <c r="J13" s="540"/>
      <c r="K13" s="540"/>
    </row>
    <row r="14" spans="1:21" s="6" customFormat="1" ht="10.5" customHeight="1">
      <c r="A14" s="15"/>
      <c r="B14" s="540"/>
      <c r="C14" s="540"/>
      <c r="D14" s="540"/>
      <c r="E14" s="540"/>
      <c r="F14" s="540"/>
      <c r="G14" s="540"/>
      <c r="H14" s="540"/>
      <c r="I14" s="540"/>
      <c r="J14" s="540"/>
      <c r="K14" s="540"/>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235</v>
      </c>
      <c r="C16" s="380"/>
      <c r="D16" s="380"/>
      <c r="E16" s="380"/>
      <c r="F16" s="380"/>
      <c r="G16" s="381">
        <f>SUM(G17:G31)</f>
        <v>5810</v>
      </c>
      <c r="H16" s="381">
        <f>SUM(H17:H31)</f>
        <v>4887</v>
      </c>
      <c r="I16" s="381">
        <f>SUM(I17:I31)</f>
        <v>6733</v>
      </c>
      <c r="J16" s="548"/>
      <c r="K16" s="549"/>
    </row>
    <row r="17" spans="1:11">
      <c r="A17" s="14" t="str">
        <f t="shared" ref="A17:A31" si="0">IF(OR(H17&gt;0,I17&gt;0),"Nur Tätigkeiten mit geplantem Aufwand","")</f>
        <v>Nur Tätigkeiten mit geplantem Aufwand</v>
      </c>
      <c r="B17" s="230" t="s">
        <v>218</v>
      </c>
      <c r="C17" s="382" t="s">
        <v>219</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0"/>
      <c r="K17" s="551"/>
    </row>
    <row r="18" spans="1:11">
      <c r="A18" s="14" t="str">
        <f t="shared" si="0"/>
        <v>Nur Tätigkeiten mit geplantem Aufwand</v>
      </c>
      <c r="B18" s="231" t="s">
        <v>220</v>
      </c>
      <c r="C18" s="386" t="s">
        <v>219</v>
      </c>
      <c r="D18" s="387">
        <v>20.5</v>
      </c>
      <c r="E18" s="388">
        <v>10</v>
      </c>
      <c r="F18" s="389">
        <v>200</v>
      </c>
      <c r="G18" s="17">
        <f t="shared" si="1"/>
        <v>4100</v>
      </c>
      <c r="H18" s="17">
        <f t="shared" si="2"/>
        <v>3690</v>
      </c>
      <c r="I18" s="17">
        <f t="shared" si="3"/>
        <v>4510</v>
      </c>
      <c r="J18" s="541"/>
      <c r="K18" s="542"/>
    </row>
    <row r="19" spans="1:11">
      <c r="A19" s="14" t="str">
        <f t="shared" si="0"/>
        <v/>
      </c>
      <c r="B19" s="231"/>
      <c r="C19" s="386"/>
      <c r="D19" s="387"/>
      <c r="E19" s="388"/>
      <c r="F19" s="389"/>
      <c r="G19" s="17">
        <f t="shared" ref="G19" si="4">D19*F19</f>
        <v>0</v>
      </c>
      <c r="H19" s="17">
        <f t="shared" ref="H19" si="5">G19*(100-E19)/100</f>
        <v>0</v>
      </c>
      <c r="I19" s="17">
        <f t="shared" ref="I19" si="6">G19*(100+E19)/100</f>
        <v>0</v>
      </c>
      <c r="J19" s="543"/>
      <c r="K19" s="544"/>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1"/>
      <c r="K20" s="542"/>
    </row>
    <row r="21" spans="1:11">
      <c r="A21" s="14" t="str">
        <f t="shared" si="0"/>
        <v/>
      </c>
      <c r="B21" s="231"/>
      <c r="C21" s="386"/>
      <c r="D21" s="387"/>
      <c r="E21" s="388"/>
      <c r="F21" s="389"/>
      <c r="G21" s="17">
        <f t="shared" si="7"/>
        <v>0</v>
      </c>
      <c r="H21" s="17">
        <f t="shared" si="8"/>
        <v>0</v>
      </c>
      <c r="I21" s="17">
        <f t="shared" si="9"/>
        <v>0</v>
      </c>
      <c r="J21" s="541"/>
      <c r="K21" s="542"/>
    </row>
    <row r="22" spans="1:11">
      <c r="A22" s="14" t="str">
        <f t="shared" si="0"/>
        <v/>
      </c>
      <c r="B22" s="231"/>
      <c r="C22" s="386"/>
      <c r="D22" s="387"/>
      <c r="E22" s="388"/>
      <c r="F22" s="389"/>
      <c r="G22" s="17">
        <f t="shared" si="7"/>
        <v>0</v>
      </c>
      <c r="H22" s="17">
        <f t="shared" si="8"/>
        <v>0</v>
      </c>
      <c r="I22" s="17">
        <f t="shared" si="9"/>
        <v>0</v>
      </c>
      <c r="J22" s="541"/>
      <c r="K22" s="542"/>
    </row>
    <row r="23" spans="1:11">
      <c r="A23" s="14" t="str">
        <f t="shared" si="0"/>
        <v/>
      </c>
      <c r="B23" s="231"/>
      <c r="C23" s="386"/>
      <c r="D23" s="387"/>
      <c r="E23" s="388"/>
      <c r="F23" s="389"/>
      <c r="G23" s="17">
        <f t="shared" si="7"/>
        <v>0</v>
      </c>
      <c r="H23" s="17">
        <f t="shared" si="8"/>
        <v>0</v>
      </c>
      <c r="I23" s="17">
        <f t="shared" si="9"/>
        <v>0</v>
      </c>
      <c r="J23" s="541"/>
      <c r="K23" s="542"/>
    </row>
    <row r="24" spans="1:11">
      <c r="A24" s="14" t="str">
        <f t="shared" si="0"/>
        <v/>
      </c>
      <c r="B24" s="231"/>
      <c r="C24" s="386"/>
      <c r="D24" s="387"/>
      <c r="E24" s="388"/>
      <c r="F24" s="389"/>
      <c r="G24" s="17">
        <f t="shared" si="7"/>
        <v>0</v>
      </c>
      <c r="H24" s="17">
        <f t="shared" si="8"/>
        <v>0</v>
      </c>
      <c r="I24" s="17">
        <f t="shared" si="9"/>
        <v>0</v>
      </c>
      <c r="J24" s="541"/>
      <c r="K24" s="542"/>
    </row>
    <row r="25" spans="1:11">
      <c r="A25" s="14" t="str">
        <f t="shared" si="0"/>
        <v/>
      </c>
      <c r="B25" s="231"/>
      <c r="C25" s="386"/>
      <c r="D25" s="387"/>
      <c r="E25" s="388"/>
      <c r="F25" s="389"/>
      <c r="G25" s="17">
        <f t="shared" si="7"/>
        <v>0</v>
      </c>
      <c r="H25" s="17">
        <f t="shared" si="8"/>
        <v>0</v>
      </c>
      <c r="I25" s="17">
        <f t="shared" si="9"/>
        <v>0</v>
      </c>
      <c r="J25" s="541"/>
      <c r="K25" s="542"/>
    </row>
    <row r="26" spans="1:11">
      <c r="A26" s="14" t="str">
        <f t="shared" si="0"/>
        <v/>
      </c>
      <c r="B26" s="231"/>
      <c r="C26" s="386"/>
      <c r="D26" s="387"/>
      <c r="E26" s="388"/>
      <c r="F26" s="389"/>
      <c r="G26" s="17">
        <f t="shared" si="7"/>
        <v>0</v>
      </c>
      <c r="H26" s="17">
        <f t="shared" si="8"/>
        <v>0</v>
      </c>
      <c r="I26" s="17">
        <f t="shared" si="9"/>
        <v>0</v>
      </c>
      <c r="J26" s="541"/>
      <c r="K26" s="542"/>
    </row>
    <row r="27" spans="1:11">
      <c r="A27" s="14" t="str">
        <f t="shared" si="0"/>
        <v/>
      </c>
      <c r="B27" s="231"/>
      <c r="C27" s="386"/>
      <c r="D27" s="387"/>
      <c r="E27" s="388"/>
      <c r="F27" s="389"/>
      <c r="G27" s="17">
        <f t="shared" si="7"/>
        <v>0</v>
      </c>
      <c r="H27" s="17">
        <f t="shared" si="8"/>
        <v>0</v>
      </c>
      <c r="I27" s="17">
        <f t="shared" si="9"/>
        <v>0</v>
      </c>
      <c r="J27" s="541"/>
      <c r="K27" s="542"/>
    </row>
    <row r="28" spans="1:11">
      <c r="A28" s="14" t="str">
        <f t="shared" si="0"/>
        <v/>
      </c>
      <c r="B28" s="231"/>
      <c r="C28" s="386"/>
      <c r="D28" s="387"/>
      <c r="E28" s="388"/>
      <c r="F28" s="389"/>
      <c r="G28" s="17">
        <f t="shared" si="7"/>
        <v>0</v>
      </c>
      <c r="H28" s="17">
        <f t="shared" si="8"/>
        <v>0</v>
      </c>
      <c r="I28" s="17">
        <f t="shared" si="9"/>
        <v>0</v>
      </c>
      <c r="J28" s="541"/>
      <c r="K28" s="542"/>
    </row>
    <row r="29" spans="1:11">
      <c r="A29" s="14" t="str">
        <f t="shared" si="0"/>
        <v/>
      </c>
      <c r="B29" s="231"/>
      <c r="C29" s="386"/>
      <c r="D29" s="387"/>
      <c r="E29" s="388"/>
      <c r="F29" s="389"/>
      <c r="G29" s="17">
        <f t="shared" si="7"/>
        <v>0</v>
      </c>
      <c r="H29" s="17">
        <f t="shared" si="8"/>
        <v>0</v>
      </c>
      <c r="I29" s="17">
        <f t="shared" si="9"/>
        <v>0</v>
      </c>
      <c r="J29" s="541"/>
      <c r="K29" s="542"/>
    </row>
    <row r="30" spans="1:11">
      <c r="A30" s="14" t="str">
        <f t="shared" si="0"/>
        <v/>
      </c>
      <c r="B30" s="231"/>
      <c r="C30" s="386"/>
      <c r="D30" s="387"/>
      <c r="E30" s="388"/>
      <c r="F30" s="389"/>
      <c r="G30" s="17">
        <f t="shared" si="7"/>
        <v>0</v>
      </c>
      <c r="H30" s="17">
        <f t="shared" si="8"/>
        <v>0</v>
      </c>
      <c r="I30" s="17">
        <f t="shared" si="9"/>
        <v>0</v>
      </c>
      <c r="J30" s="541"/>
      <c r="K30" s="542"/>
    </row>
    <row r="31" spans="1:11" ht="13.5" thickBot="1">
      <c r="A31" s="14" t="str">
        <f t="shared" si="0"/>
        <v/>
      </c>
      <c r="B31" s="390"/>
      <c r="C31" s="391"/>
      <c r="D31" s="392"/>
      <c r="E31" s="393"/>
      <c r="F31" s="394"/>
      <c r="G31" s="378">
        <f t="shared" si="7"/>
        <v>0</v>
      </c>
      <c r="H31" s="378">
        <f t="shared" si="8"/>
        <v>0</v>
      </c>
      <c r="I31" s="378">
        <f t="shared" si="9"/>
        <v>0</v>
      </c>
      <c r="J31" s="545"/>
      <c r="K31" s="546"/>
    </row>
    <row r="32" spans="1:11" ht="13.5" thickBot="1">
      <c r="A32" s="14" t="str">
        <f>IF(COUNTIF(A34:A48,"Nur Tätigkeiten mit geplantem Aufwand")&gt;0,"Nur Tätigkeiten mit geplantem Aufwand","")</f>
        <v/>
      </c>
      <c r="B32" s="405"/>
      <c r="C32" s="405"/>
      <c r="D32" s="405"/>
      <c r="E32" s="405"/>
      <c r="F32" s="405"/>
      <c r="G32" s="405"/>
      <c r="H32" s="405"/>
      <c r="I32" s="405"/>
      <c r="J32" s="547"/>
      <c r="K32" s="547"/>
    </row>
    <row r="33" spans="1:11" ht="13.5" thickBot="1">
      <c r="A33" s="14" t="str">
        <f>IF(COUNTIF(A34:A48,"Nur Tätigkeiten mit geplantem Aufwand")&gt;0,"Nur Tätigkeiten mit geplantem Aufwand","")</f>
        <v/>
      </c>
      <c r="B33" s="379" t="s">
        <v>229</v>
      </c>
      <c r="C33" s="380"/>
      <c r="D33" s="380"/>
      <c r="E33" s="380"/>
      <c r="F33" s="380"/>
      <c r="G33" s="381">
        <f>SUM(G34:G48)</f>
        <v>0</v>
      </c>
      <c r="H33" s="381">
        <f>SUM(H34:H48)</f>
        <v>0</v>
      </c>
      <c r="I33" s="381">
        <f>SUM(I34:I48)</f>
        <v>0</v>
      </c>
      <c r="J33" s="548"/>
      <c r="K33" s="549"/>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0"/>
      <c r="K34" s="551"/>
    </row>
    <row r="35" spans="1:11">
      <c r="A35" s="14" t="str">
        <f t="shared" si="10"/>
        <v/>
      </c>
      <c r="B35" s="231"/>
      <c r="C35" s="386"/>
      <c r="D35" s="387"/>
      <c r="E35" s="388"/>
      <c r="F35" s="389"/>
      <c r="G35" s="17">
        <f t="shared" si="11"/>
        <v>0</v>
      </c>
      <c r="H35" s="17">
        <f t="shared" si="12"/>
        <v>0</v>
      </c>
      <c r="I35" s="17">
        <f t="shared" si="13"/>
        <v>0</v>
      </c>
      <c r="J35" s="541"/>
      <c r="K35" s="542"/>
    </row>
    <row r="36" spans="1:11">
      <c r="A36" s="14" t="str">
        <f t="shared" si="10"/>
        <v/>
      </c>
      <c r="B36" s="231"/>
      <c r="C36" s="386"/>
      <c r="D36" s="387"/>
      <c r="E36" s="388"/>
      <c r="F36" s="389"/>
      <c r="G36" s="17">
        <f t="shared" si="11"/>
        <v>0</v>
      </c>
      <c r="H36" s="17">
        <f t="shared" si="12"/>
        <v>0</v>
      </c>
      <c r="I36" s="17">
        <f t="shared" si="13"/>
        <v>0</v>
      </c>
      <c r="J36" s="543"/>
      <c r="K36" s="544"/>
    </row>
    <row r="37" spans="1:11">
      <c r="A37" s="14" t="str">
        <f t="shared" si="10"/>
        <v/>
      </c>
      <c r="B37" s="231"/>
      <c r="C37" s="386"/>
      <c r="D37" s="387"/>
      <c r="E37" s="388"/>
      <c r="F37" s="389"/>
      <c r="G37" s="17">
        <f t="shared" si="11"/>
        <v>0</v>
      </c>
      <c r="H37" s="17">
        <f t="shared" si="12"/>
        <v>0</v>
      </c>
      <c r="I37" s="17">
        <f t="shared" si="13"/>
        <v>0</v>
      </c>
      <c r="J37" s="541"/>
      <c r="K37" s="542"/>
    </row>
    <row r="38" spans="1:11">
      <c r="A38" s="14" t="str">
        <f t="shared" si="10"/>
        <v/>
      </c>
      <c r="B38" s="231"/>
      <c r="C38" s="386"/>
      <c r="D38" s="387"/>
      <c r="E38" s="388"/>
      <c r="F38" s="389"/>
      <c r="G38" s="17">
        <f t="shared" si="11"/>
        <v>0</v>
      </c>
      <c r="H38" s="17">
        <f t="shared" si="12"/>
        <v>0</v>
      </c>
      <c r="I38" s="17">
        <f t="shared" si="13"/>
        <v>0</v>
      </c>
      <c r="J38" s="541"/>
      <c r="K38" s="542"/>
    </row>
    <row r="39" spans="1:11">
      <c r="A39" s="14" t="str">
        <f t="shared" si="10"/>
        <v/>
      </c>
      <c r="B39" s="231"/>
      <c r="C39" s="386"/>
      <c r="D39" s="387"/>
      <c r="E39" s="388"/>
      <c r="F39" s="389"/>
      <c r="G39" s="17">
        <f t="shared" si="11"/>
        <v>0</v>
      </c>
      <c r="H39" s="17">
        <f t="shared" si="12"/>
        <v>0</v>
      </c>
      <c r="I39" s="17">
        <f t="shared" si="13"/>
        <v>0</v>
      </c>
      <c r="J39" s="541"/>
      <c r="K39" s="542"/>
    </row>
    <row r="40" spans="1:11">
      <c r="A40" s="14" t="str">
        <f t="shared" si="10"/>
        <v/>
      </c>
      <c r="B40" s="231"/>
      <c r="C40" s="386"/>
      <c r="D40" s="387"/>
      <c r="E40" s="388"/>
      <c r="F40" s="389"/>
      <c r="G40" s="17">
        <f t="shared" si="11"/>
        <v>0</v>
      </c>
      <c r="H40" s="17">
        <f t="shared" si="12"/>
        <v>0</v>
      </c>
      <c r="I40" s="17">
        <f t="shared" si="13"/>
        <v>0</v>
      </c>
      <c r="J40" s="541"/>
      <c r="K40" s="542"/>
    </row>
    <row r="41" spans="1:11">
      <c r="A41" s="14" t="str">
        <f t="shared" si="10"/>
        <v/>
      </c>
      <c r="B41" s="231"/>
      <c r="C41" s="386"/>
      <c r="D41" s="387"/>
      <c r="E41" s="388"/>
      <c r="F41" s="389"/>
      <c r="G41" s="17">
        <f t="shared" si="11"/>
        <v>0</v>
      </c>
      <c r="H41" s="17">
        <f t="shared" si="12"/>
        <v>0</v>
      </c>
      <c r="I41" s="17">
        <f t="shared" si="13"/>
        <v>0</v>
      </c>
      <c r="J41" s="541"/>
      <c r="K41" s="542"/>
    </row>
    <row r="42" spans="1:11">
      <c r="A42" s="14" t="str">
        <f t="shared" si="10"/>
        <v/>
      </c>
      <c r="B42" s="231"/>
      <c r="C42" s="386"/>
      <c r="D42" s="387"/>
      <c r="E42" s="388"/>
      <c r="F42" s="389"/>
      <c r="G42" s="17">
        <f t="shared" si="11"/>
        <v>0</v>
      </c>
      <c r="H42" s="17">
        <f t="shared" si="12"/>
        <v>0</v>
      </c>
      <c r="I42" s="17">
        <f t="shared" si="13"/>
        <v>0</v>
      </c>
      <c r="J42" s="541"/>
      <c r="K42" s="542"/>
    </row>
    <row r="43" spans="1:11">
      <c r="A43" s="14" t="str">
        <f t="shared" si="10"/>
        <v/>
      </c>
      <c r="B43" s="231"/>
      <c r="C43" s="386"/>
      <c r="D43" s="387"/>
      <c r="E43" s="388"/>
      <c r="F43" s="389"/>
      <c r="G43" s="17">
        <f t="shared" si="11"/>
        <v>0</v>
      </c>
      <c r="H43" s="17">
        <f t="shared" si="12"/>
        <v>0</v>
      </c>
      <c r="I43" s="17">
        <f t="shared" si="13"/>
        <v>0</v>
      </c>
      <c r="J43" s="541"/>
      <c r="K43" s="542"/>
    </row>
    <row r="44" spans="1:11">
      <c r="A44" s="14" t="str">
        <f t="shared" si="10"/>
        <v/>
      </c>
      <c r="B44" s="231"/>
      <c r="C44" s="386"/>
      <c r="D44" s="387"/>
      <c r="E44" s="388"/>
      <c r="F44" s="389"/>
      <c r="G44" s="17">
        <f t="shared" si="11"/>
        <v>0</v>
      </c>
      <c r="H44" s="17">
        <f t="shared" si="12"/>
        <v>0</v>
      </c>
      <c r="I44" s="17">
        <f t="shared" si="13"/>
        <v>0</v>
      </c>
      <c r="J44" s="541"/>
      <c r="K44" s="542"/>
    </row>
    <row r="45" spans="1:11">
      <c r="A45" s="14" t="str">
        <f t="shared" si="10"/>
        <v/>
      </c>
      <c r="B45" s="231"/>
      <c r="C45" s="386"/>
      <c r="D45" s="387"/>
      <c r="E45" s="388"/>
      <c r="F45" s="389"/>
      <c r="G45" s="17">
        <f t="shared" si="11"/>
        <v>0</v>
      </c>
      <c r="H45" s="17">
        <f t="shared" si="12"/>
        <v>0</v>
      </c>
      <c r="I45" s="17">
        <f t="shared" si="13"/>
        <v>0</v>
      </c>
      <c r="J45" s="541"/>
      <c r="K45" s="542"/>
    </row>
    <row r="46" spans="1:11">
      <c r="A46" s="14" t="str">
        <f t="shared" si="10"/>
        <v/>
      </c>
      <c r="B46" s="231"/>
      <c r="C46" s="386"/>
      <c r="D46" s="387"/>
      <c r="E46" s="388"/>
      <c r="F46" s="389"/>
      <c r="G46" s="17">
        <f t="shared" si="11"/>
        <v>0</v>
      </c>
      <c r="H46" s="17">
        <f t="shared" si="12"/>
        <v>0</v>
      </c>
      <c r="I46" s="17">
        <f t="shared" si="13"/>
        <v>0</v>
      </c>
      <c r="J46" s="541"/>
      <c r="K46" s="542"/>
    </row>
    <row r="47" spans="1:11">
      <c r="A47" s="14" t="str">
        <f t="shared" si="10"/>
        <v/>
      </c>
      <c r="B47" s="231"/>
      <c r="C47" s="386"/>
      <c r="D47" s="387"/>
      <c r="E47" s="388"/>
      <c r="F47" s="389"/>
      <c r="G47" s="17">
        <f t="shared" si="11"/>
        <v>0</v>
      </c>
      <c r="H47" s="17">
        <f t="shared" si="12"/>
        <v>0</v>
      </c>
      <c r="I47" s="17">
        <f t="shared" si="13"/>
        <v>0</v>
      </c>
      <c r="J47" s="541"/>
      <c r="K47" s="542"/>
    </row>
    <row r="48" spans="1:11" ht="13.5" thickBot="1">
      <c r="A48" s="14" t="str">
        <f t="shared" si="10"/>
        <v/>
      </c>
      <c r="B48" s="390"/>
      <c r="C48" s="391"/>
      <c r="D48" s="392"/>
      <c r="E48" s="393"/>
      <c r="F48" s="394"/>
      <c r="G48" s="378">
        <f t="shared" si="11"/>
        <v>0</v>
      </c>
      <c r="H48" s="378">
        <f t="shared" si="12"/>
        <v>0</v>
      </c>
      <c r="I48" s="378">
        <f t="shared" si="13"/>
        <v>0</v>
      </c>
      <c r="J48" s="545"/>
      <c r="K48" s="546"/>
    </row>
    <row r="49" spans="1:11" ht="13.5" thickBot="1">
      <c r="A49" s="14" t="str">
        <f>IF(COUNTIF(A51:A65,"Nur Tätigkeiten mit geplantem Aufwand")&gt;0,"Nur Tätigkeiten mit geplantem Aufwand","")</f>
        <v/>
      </c>
      <c r="B49" s="405"/>
      <c r="C49" s="405"/>
      <c r="D49" s="405"/>
      <c r="E49" s="405"/>
      <c r="F49" s="405"/>
      <c r="G49" s="405"/>
      <c r="H49" s="405"/>
      <c r="I49" s="405"/>
      <c r="J49" s="547"/>
      <c r="K49" s="547"/>
    </row>
    <row r="50" spans="1:11" ht="13.5" thickBot="1">
      <c r="A50" s="14" t="str">
        <f>IF(COUNTIF(A51:A65,"Nur Tätigkeiten mit geplantem Aufwand")&gt;0,"Nur Tätigkeiten mit geplantem Aufwand","")</f>
        <v/>
      </c>
      <c r="B50" s="379" t="s">
        <v>221</v>
      </c>
      <c r="C50" s="380"/>
      <c r="D50" s="380"/>
      <c r="E50" s="380"/>
      <c r="F50" s="380"/>
      <c r="G50" s="381">
        <f>SUM(G51:G65)</f>
        <v>0</v>
      </c>
      <c r="H50" s="381">
        <f>SUM(H51:H65)</f>
        <v>0</v>
      </c>
      <c r="I50" s="381">
        <f>SUM(I51:I65)</f>
        <v>0</v>
      </c>
      <c r="J50" s="548"/>
      <c r="K50" s="549"/>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0"/>
      <c r="K51" s="551"/>
    </row>
    <row r="52" spans="1:11">
      <c r="A52" s="14" t="str">
        <f t="shared" si="14"/>
        <v/>
      </c>
      <c r="B52" s="231"/>
      <c r="C52" s="386"/>
      <c r="D52" s="387"/>
      <c r="E52" s="388"/>
      <c r="F52" s="389"/>
      <c r="G52" s="17">
        <f t="shared" si="15"/>
        <v>0</v>
      </c>
      <c r="H52" s="17">
        <f t="shared" si="16"/>
        <v>0</v>
      </c>
      <c r="I52" s="17">
        <f t="shared" si="17"/>
        <v>0</v>
      </c>
      <c r="J52" s="541"/>
      <c r="K52" s="542"/>
    </row>
    <row r="53" spans="1:11">
      <c r="A53" s="14" t="str">
        <f t="shared" si="14"/>
        <v/>
      </c>
      <c r="B53" s="231"/>
      <c r="C53" s="386"/>
      <c r="D53" s="387"/>
      <c r="E53" s="388"/>
      <c r="F53" s="389"/>
      <c r="G53" s="17">
        <f t="shared" si="15"/>
        <v>0</v>
      </c>
      <c r="H53" s="17">
        <f t="shared" si="16"/>
        <v>0</v>
      </c>
      <c r="I53" s="17">
        <f t="shared" si="17"/>
        <v>0</v>
      </c>
      <c r="J53" s="543"/>
      <c r="K53" s="544"/>
    </row>
    <row r="54" spans="1:11">
      <c r="A54" s="14" t="str">
        <f t="shared" si="14"/>
        <v/>
      </c>
      <c r="B54" s="231"/>
      <c r="C54" s="386"/>
      <c r="D54" s="387"/>
      <c r="E54" s="388"/>
      <c r="F54" s="389"/>
      <c r="G54" s="17">
        <f t="shared" si="15"/>
        <v>0</v>
      </c>
      <c r="H54" s="17">
        <f t="shared" si="16"/>
        <v>0</v>
      </c>
      <c r="I54" s="17">
        <f t="shared" si="17"/>
        <v>0</v>
      </c>
      <c r="J54" s="541"/>
      <c r="K54" s="542"/>
    </row>
    <row r="55" spans="1:11">
      <c r="A55" s="14" t="str">
        <f t="shared" si="14"/>
        <v/>
      </c>
      <c r="B55" s="231"/>
      <c r="C55" s="386"/>
      <c r="D55" s="387"/>
      <c r="E55" s="388"/>
      <c r="F55" s="389"/>
      <c r="G55" s="17">
        <f t="shared" si="15"/>
        <v>0</v>
      </c>
      <c r="H55" s="17">
        <f t="shared" si="16"/>
        <v>0</v>
      </c>
      <c r="I55" s="17">
        <f t="shared" si="17"/>
        <v>0</v>
      </c>
      <c r="J55" s="541"/>
      <c r="K55" s="542"/>
    </row>
    <row r="56" spans="1:11">
      <c r="A56" s="14" t="str">
        <f t="shared" si="14"/>
        <v/>
      </c>
      <c r="B56" s="231"/>
      <c r="C56" s="386"/>
      <c r="D56" s="387"/>
      <c r="E56" s="388"/>
      <c r="F56" s="389"/>
      <c r="G56" s="17">
        <f t="shared" si="15"/>
        <v>0</v>
      </c>
      <c r="H56" s="17">
        <f t="shared" si="16"/>
        <v>0</v>
      </c>
      <c r="I56" s="17">
        <f t="shared" si="17"/>
        <v>0</v>
      </c>
      <c r="J56" s="541"/>
      <c r="K56" s="542"/>
    </row>
    <row r="57" spans="1:11">
      <c r="A57" s="14" t="str">
        <f t="shared" si="14"/>
        <v/>
      </c>
      <c r="B57" s="231"/>
      <c r="C57" s="386"/>
      <c r="D57" s="387"/>
      <c r="E57" s="388"/>
      <c r="F57" s="389"/>
      <c r="G57" s="17">
        <f t="shared" si="15"/>
        <v>0</v>
      </c>
      <c r="H57" s="17">
        <f t="shared" si="16"/>
        <v>0</v>
      </c>
      <c r="I57" s="17">
        <f t="shared" si="17"/>
        <v>0</v>
      </c>
      <c r="J57" s="541"/>
      <c r="K57" s="542"/>
    </row>
    <row r="58" spans="1:11">
      <c r="A58" s="14" t="str">
        <f t="shared" si="14"/>
        <v/>
      </c>
      <c r="B58" s="231"/>
      <c r="C58" s="386"/>
      <c r="D58" s="387"/>
      <c r="E58" s="388"/>
      <c r="F58" s="389"/>
      <c r="G58" s="17">
        <f t="shared" si="15"/>
        <v>0</v>
      </c>
      <c r="H58" s="17">
        <f t="shared" si="16"/>
        <v>0</v>
      </c>
      <c r="I58" s="17">
        <f t="shared" si="17"/>
        <v>0</v>
      </c>
      <c r="J58" s="541"/>
      <c r="K58" s="542"/>
    </row>
    <row r="59" spans="1:11">
      <c r="A59" s="14" t="str">
        <f t="shared" si="14"/>
        <v/>
      </c>
      <c r="B59" s="231"/>
      <c r="C59" s="386"/>
      <c r="D59" s="387"/>
      <c r="E59" s="388"/>
      <c r="F59" s="389"/>
      <c r="G59" s="17">
        <f t="shared" si="15"/>
        <v>0</v>
      </c>
      <c r="H59" s="17">
        <f t="shared" si="16"/>
        <v>0</v>
      </c>
      <c r="I59" s="17">
        <f t="shared" si="17"/>
        <v>0</v>
      </c>
      <c r="J59" s="541"/>
      <c r="K59" s="542"/>
    </row>
    <row r="60" spans="1:11">
      <c r="A60" s="14" t="str">
        <f t="shared" si="14"/>
        <v/>
      </c>
      <c r="B60" s="231"/>
      <c r="C60" s="386"/>
      <c r="D60" s="387"/>
      <c r="E60" s="388"/>
      <c r="F60" s="389"/>
      <c r="G60" s="17">
        <f t="shared" si="15"/>
        <v>0</v>
      </c>
      <c r="H60" s="17">
        <f t="shared" si="16"/>
        <v>0</v>
      </c>
      <c r="I60" s="17">
        <f t="shared" si="17"/>
        <v>0</v>
      </c>
      <c r="J60" s="541"/>
      <c r="K60" s="542"/>
    </row>
    <row r="61" spans="1:11">
      <c r="A61" s="14" t="str">
        <f t="shared" si="14"/>
        <v/>
      </c>
      <c r="B61" s="231"/>
      <c r="C61" s="386"/>
      <c r="D61" s="387"/>
      <c r="E61" s="388"/>
      <c r="F61" s="389"/>
      <c r="G61" s="17">
        <f t="shared" si="15"/>
        <v>0</v>
      </c>
      <c r="H61" s="17">
        <f t="shared" si="16"/>
        <v>0</v>
      </c>
      <c r="I61" s="17">
        <f t="shared" si="17"/>
        <v>0</v>
      </c>
      <c r="J61" s="541"/>
      <c r="K61" s="542"/>
    </row>
    <row r="62" spans="1:11">
      <c r="A62" s="14" t="str">
        <f t="shared" si="14"/>
        <v/>
      </c>
      <c r="B62" s="231"/>
      <c r="C62" s="386"/>
      <c r="D62" s="387"/>
      <c r="E62" s="388"/>
      <c r="F62" s="389"/>
      <c r="G62" s="17">
        <f t="shared" si="15"/>
        <v>0</v>
      </c>
      <c r="H62" s="17">
        <f t="shared" si="16"/>
        <v>0</v>
      </c>
      <c r="I62" s="17">
        <f t="shared" si="17"/>
        <v>0</v>
      </c>
      <c r="J62" s="541"/>
      <c r="K62" s="542"/>
    </row>
    <row r="63" spans="1:11">
      <c r="A63" s="14" t="str">
        <f t="shared" si="14"/>
        <v/>
      </c>
      <c r="B63" s="231"/>
      <c r="C63" s="386"/>
      <c r="D63" s="387"/>
      <c r="E63" s="388"/>
      <c r="F63" s="389"/>
      <c r="G63" s="17">
        <f t="shared" si="15"/>
        <v>0</v>
      </c>
      <c r="H63" s="17">
        <f t="shared" si="16"/>
        <v>0</v>
      </c>
      <c r="I63" s="17">
        <f t="shared" si="17"/>
        <v>0</v>
      </c>
      <c r="J63" s="541"/>
      <c r="K63" s="542"/>
    </row>
    <row r="64" spans="1:11">
      <c r="A64" s="14" t="str">
        <f t="shared" si="14"/>
        <v/>
      </c>
      <c r="B64" s="231"/>
      <c r="C64" s="386"/>
      <c r="D64" s="387"/>
      <c r="E64" s="388"/>
      <c r="F64" s="389"/>
      <c r="G64" s="17">
        <f t="shared" si="15"/>
        <v>0</v>
      </c>
      <c r="H64" s="17">
        <f t="shared" si="16"/>
        <v>0</v>
      </c>
      <c r="I64" s="17">
        <f t="shared" si="17"/>
        <v>0</v>
      </c>
      <c r="J64" s="541"/>
      <c r="K64" s="542"/>
    </row>
    <row r="65" spans="1:11" ht="13.5" thickBot="1">
      <c r="A65" s="14" t="str">
        <f t="shared" si="14"/>
        <v/>
      </c>
      <c r="B65" s="390"/>
      <c r="C65" s="391"/>
      <c r="D65" s="392"/>
      <c r="E65" s="393"/>
      <c r="F65" s="394"/>
      <c r="G65" s="378">
        <f t="shared" si="15"/>
        <v>0</v>
      </c>
      <c r="H65" s="378">
        <f t="shared" si="16"/>
        <v>0</v>
      </c>
      <c r="I65" s="378">
        <f t="shared" si="17"/>
        <v>0</v>
      </c>
      <c r="J65" s="545"/>
      <c r="K65" s="546"/>
    </row>
    <row r="66" spans="1:11" ht="13.5" thickBot="1">
      <c r="A66" s="14" t="str">
        <f>IF(COUNTIF(A68:A82,"Nur Tätigkeiten mit geplantem Aufwand")&gt;0,"Nur Tätigkeiten mit geplantem Aufwand","")</f>
        <v/>
      </c>
      <c r="B66" s="405"/>
      <c r="C66" s="405"/>
      <c r="D66" s="405"/>
      <c r="E66" s="405"/>
      <c r="F66" s="405"/>
      <c r="G66" s="405"/>
      <c r="H66" s="405"/>
      <c r="I66" s="405"/>
      <c r="J66" s="547"/>
      <c r="K66" s="547"/>
    </row>
    <row r="67" spans="1:11" ht="13.5" thickBot="1">
      <c r="A67" s="14" t="str">
        <f>IF(COUNTIF(A68:A82,"Nur Tätigkeiten mit geplantem Aufwand")&gt;0,"Nur Tätigkeiten mit geplantem Aufwand","")</f>
        <v/>
      </c>
      <c r="B67" s="379" t="s">
        <v>230</v>
      </c>
      <c r="C67" s="380"/>
      <c r="D67" s="380"/>
      <c r="E67" s="380"/>
      <c r="F67" s="380"/>
      <c r="G67" s="381">
        <f>SUM(G68:G82)</f>
        <v>0</v>
      </c>
      <c r="H67" s="381">
        <f>SUM(H68:H82)</f>
        <v>0</v>
      </c>
      <c r="I67" s="381">
        <f>SUM(I68:I82)</f>
        <v>0</v>
      </c>
      <c r="J67" s="548"/>
      <c r="K67" s="549"/>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0"/>
      <c r="K68" s="551"/>
    </row>
    <row r="69" spans="1:11">
      <c r="A69" s="14" t="str">
        <f t="shared" si="18"/>
        <v/>
      </c>
      <c r="B69" s="231"/>
      <c r="C69" s="386"/>
      <c r="D69" s="387"/>
      <c r="E69" s="388"/>
      <c r="F69" s="389"/>
      <c r="G69" s="17">
        <f t="shared" si="19"/>
        <v>0</v>
      </c>
      <c r="H69" s="17">
        <f t="shared" si="20"/>
        <v>0</v>
      </c>
      <c r="I69" s="17">
        <f t="shared" si="21"/>
        <v>0</v>
      </c>
      <c r="J69" s="541"/>
      <c r="K69" s="542"/>
    </row>
    <row r="70" spans="1:11">
      <c r="A70" s="14" t="str">
        <f t="shared" si="18"/>
        <v/>
      </c>
      <c r="B70" s="231"/>
      <c r="C70" s="386"/>
      <c r="D70" s="387"/>
      <c r="E70" s="388"/>
      <c r="F70" s="389"/>
      <c r="G70" s="17">
        <f t="shared" si="19"/>
        <v>0</v>
      </c>
      <c r="H70" s="17">
        <f t="shared" si="20"/>
        <v>0</v>
      </c>
      <c r="I70" s="17">
        <f t="shared" si="21"/>
        <v>0</v>
      </c>
      <c r="J70" s="543"/>
      <c r="K70" s="544"/>
    </row>
    <row r="71" spans="1:11">
      <c r="A71" s="14" t="str">
        <f t="shared" si="18"/>
        <v/>
      </c>
      <c r="B71" s="231"/>
      <c r="C71" s="386"/>
      <c r="D71" s="387"/>
      <c r="E71" s="388"/>
      <c r="F71" s="389"/>
      <c r="G71" s="17">
        <f t="shared" si="19"/>
        <v>0</v>
      </c>
      <c r="H71" s="17">
        <f t="shared" si="20"/>
        <v>0</v>
      </c>
      <c r="I71" s="17">
        <f t="shared" si="21"/>
        <v>0</v>
      </c>
      <c r="J71" s="541"/>
      <c r="K71" s="542"/>
    </row>
    <row r="72" spans="1:11">
      <c r="A72" s="14" t="str">
        <f t="shared" si="18"/>
        <v/>
      </c>
      <c r="B72" s="231"/>
      <c r="C72" s="386"/>
      <c r="D72" s="387"/>
      <c r="E72" s="388"/>
      <c r="F72" s="389"/>
      <c r="G72" s="17">
        <f t="shared" si="19"/>
        <v>0</v>
      </c>
      <c r="H72" s="17">
        <f t="shared" si="20"/>
        <v>0</v>
      </c>
      <c r="I72" s="17">
        <f t="shared" si="21"/>
        <v>0</v>
      </c>
      <c r="J72" s="541"/>
      <c r="K72" s="542"/>
    </row>
    <row r="73" spans="1:11">
      <c r="A73" s="14" t="str">
        <f t="shared" si="18"/>
        <v/>
      </c>
      <c r="B73" s="231"/>
      <c r="C73" s="386"/>
      <c r="D73" s="387"/>
      <c r="E73" s="388"/>
      <c r="F73" s="389"/>
      <c r="G73" s="17">
        <f t="shared" si="19"/>
        <v>0</v>
      </c>
      <c r="H73" s="17">
        <f t="shared" si="20"/>
        <v>0</v>
      </c>
      <c r="I73" s="17">
        <f t="shared" si="21"/>
        <v>0</v>
      </c>
      <c r="J73" s="541"/>
      <c r="K73" s="542"/>
    </row>
    <row r="74" spans="1:11">
      <c r="A74" s="14" t="str">
        <f t="shared" si="18"/>
        <v/>
      </c>
      <c r="B74" s="231"/>
      <c r="C74" s="386"/>
      <c r="D74" s="387"/>
      <c r="E74" s="388"/>
      <c r="F74" s="389"/>
      <c r="G74" s="17">
        <f t="shared" si="19"/>
        <v>0</v>
      </c>
      <c r="H74" s="17">
        <f t="shared" si="20"/>
        <v>0</v>
      </c>
      <c r="I74" s="17">
        <f t="shared" si="21"/>
        <v>0</v>
      </c>
      <c r="J74" s="541"/>
      <c r="K74" s="542"/>
    </row>
    <row r="75" spans="1:11">
      <c r="A75" s="14" t="str">
        <f t="shared" si="18"/>
        <v/>
      </c>
      <c r="B75" s="231"/>
      <c r="C75" s="386"/>
      <c r="D75" s="387"/>
      <c r="E75" s="388"/>
      <c r="F75" s="389"/>
      <c r="G75" s="17">
        <f t="shared" si="19"/>
        <v>0</v>
      </c>
      <c r="H75" s="17">
        <f t="shared" si="20"/>
        <v>0</v>
      </c>
      <c r="I75" s="17">
        <f t="shared" si="21"/>
        <v>0</v>
      </c>
      <c r="J75" s="541"/>
      <c r="K75" s="542"/>
    </row>
    <row r="76" spans="1:11">
      <c r="A76" s="14" t="str">
        <f t="shared" si="18"/>
        <v/>
      </c>
      <c r="B76" s="231"/>
      <c r="C76" s="386"/>
      <c r="D76" s="387"/>
      <c r="E76" s="388"/>
      <c r="F76" s="389"/>
      <c r="G76" s="17">
        <f t="shared" si="19"/>
        <v>0</v>
      </c>
      <c r="H76" s="17">
        <f t="shared" si="20"/>
        <v>0</v>
      </c>
      <c r="I76" s="17">
        <f t="shared" si="21"/>
        <v>0</v>
      </c>
      <c r="J76" s="541"/>
      <c r="K76" s="542"/>
    </row>
    <row r="77" spans="1:11">
      <c r="A77" s="14" t="str">
        <f t="shared" si="18"/>
        <v/>
      </c>
      <c r="B77" s="231"/>
      <c r="C77" s="386"/>
      <c r="D77" s="387"/>
      <c r="E77" s="388"/>
      <c r="F77" s="389"/>
      <c r="G77" s="17">
        <f t="shared" si="19"/>
        <v>0</v>
      </c>
      <c r="H77" s="17">
        <f t="shared" si="20"/>
        <v>0</v>
      </c>
      <c r="I77" s="17">
        <f t="shared" si="21"/>
        <v>0</v>
      </c>
      <c r="J77" s="541"/>
      <c r="K77" s="542"/>
    </row>
    <row r="78" spans="1:11">
      <c r="A78" s="14" t="str">
        <f t="shared" si="18"/>
        <v/>
      </c>
      <c r="B78" s="231"/>
      <c r="C78" s="386"/>
      <c r="D78" s="387"/>
      <c r="E78" s="388"/>
      <c r="F78" s="389"/>
      <c r="G78" s="17">
        <f t="shared" si="19"/>
        <v>0</v>
      </c>
      <c r="H78" s="17">
        <f t="shared" si="20"/>
        <v>0</v>
      </c>
      <c r="I78" s="17">
        <f t="shared" si="21"/>
        <v>0</v>
      </c>
      <c r="J78" s="541"/>
      <c r="K78" s="542"/>
    </row>
    <row r="79" spans="1:11">
      <c r="A79" s="14" t="str">
        <f t="shared" si="18"/>
        <v/>
      </c>
      <c r="B79" s="231"/>
      <c r="C79" s="386"/>
      <c r="D79" s="387"/>
      <c r="E79" s="388"/>
      <c r="F79" s="389"/>
      <c r="G79" s="17">
        <f t="shared" si="19"/>
        <v>0</v>
      </c>
      <c r="H79" s="17">
        <f t="shared" si="20"/>
        <v>0</v>
      </c>
      <c r="I79" s="17">
        <f t="shared" si="21"/>
        <v>0</v>
      </c>
      <c r="J79" s="541"/>
      <c r="K79" s="542"/>
    </row>
    <row r="80" spans="1:11">
      <c r="A80" s="14" t="str">
        <f t="shared" si="18"/>
        <v/>
      </c>
      <c r="B80" s="231"/>
      <c r="C80" s="386"/>
      <c r="D80" s="387"/>
      <c r="E80" s="388"/>
      <c r="F80" s="389"/>
      <c r="G80" s="17">
        <f t="shared" si="19"/>
        <v>0</v>
      </c>
      <c r="H80" s="17">
        <f t="shared" si="20"/>
        <v>0</v>
      </c>
      <c r="I80" s="17">
        <f t="shared" si="21"/>
        <v>0</v>
      </c>
      <c r="J80" s="541"/>
      <c r="K80" s="542"/>
    </row>
    <row r="81" spans="1:11">
      <c r="A81" s="14" t="str">
        <f t="shared" si="18"/>
        <v/>
      </c>
      <c r="B81" s="231"/>
      <c r="C81" s="386"/>
      <c r="D81" s="387"/>
      <c r="E81" s="388"/>
      <c r="F81" s="389"/>
      <c r="G81" s="17">
        <f t="shared" si="19"/>
        <v>0</v>
      </c>
      <c r="H81" s="17">
        <f t="shared" si="20"/>
        <v>0</v>
      </c>
      <c r="I81" s="17">
        <f t="shared" si="21"/>
        <v>0</v>
      </c>
      <c r="J81" s="541"/>
      <c r="K81" s="542"/>
    </row>
    <row r="82" spans="1:11" ht="13.5" thickBot="1">
      <c r="A82" s="14" t="str">
        <f t="shared" si="18"/>
        <v/>
      </c>
      <c r="B82" s="390"/>
      <c r="C82" s="391"/>
      <c r="D82" s="392"/>
      <c r="E82" s="393"/>
      <c r="F82" s="394"/>
      <c r="G82" s="378">
        <f t="shared" si="19"/>
        <v>0</v>
      </c>
      <c r="H82" s="378">
        <f t="shared" si="20"/>
        <v>0</v>
      </c>
      <c r="I82" s="378">
        <f t="shared" si="21"/>
        <v>0</v>
      </c>
      <c r="J82" s="545"/>
      <c r="K82" s="546"/>
    </row>
    <row r="83" spans="1:11" ht="13.5" thickBot="1">
      <c r="A83" s="14" t="str">
        <f>IF(COUNTIF(A85:A98,"Nur Tätigkeiten mit geplantem Aufwand")&gt;0,"Nur Tätigkeiten mit geplantem Aufwand","")</f>
        <v/>
      </c>
      <c r="B83" s="405"/>
      <c r="C83" s="405"/>
      <c r="D83" s="405"/>
      <c r="E83" s="405"/>
      <c r="F83" s="405"/>
      <c r="G83" s="405"/>
      <c r="H83" s="405"/>
      <c r="I83" s="405"/>
      <c r="J83" s="547"/>
      <c r="K83" s="547"/>
    </row>
    <row r="84" spans="1:11" ht="13.5" thickBot="1">
      <c r="A84" s="14" t="str">
        <f>IF(COUNTIF(A85:A98,"Nur Tätigkeiten mit geplantem Aufwand")&gt;0,"Nur Tätigkeiten mit geplantem Aufwand","")</f>
        <v/>
      </c>
      <c r="B84" s="379" t="s">
        <v>222</v>
      </c>
      <c r="C84" s="380"/>
      <c r="D84" s="380"/>
      <c r="E84" s="380"/>
      <c r="F84" s="380"/>
      <c r="G84" s="381">
        <f>SUM(G85:G99)</f>
        <v>0</v>
      </c>
      <c r="H84" s="381">
        <f>SUM(H85:H99)</f>
        <v>0</v>
      </c>
      <c r="I84" s="381">
        <f>SUM(I85:I99)</f>
        <v>0</v>
      </c>
      <c r="J84" s="548"/>
      <c r="K84" s="549"/>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0"/>
      <c r="K85" s="551"/>
    </row>
    <row r="86" spans="1:11">
      <c r="A86" s="14" t="str">
        <f t="shared" si="22"/>
        <v/>
      </c>
      <c r="B86" s="231"/>
      <c r="C86" s="386"/>
      <c r="D86" s="387"/>
      <c r="E86" s="388"/>
      <c r="F86" s="389"/>
      <c r="G86" s="17">
        <f t="shared" si="23"/>
        <v>0</v>
      </c>
      <c r="H86" s="17">
        <f t="shared" si="24"/>
        <v>0</v>
      </c>
      <c r="I86" s="17">
        <f t="shared" si="25"/>
        <v>0</v>
      </c>
      <c r="J86" s="541"/>
      <c r="K86" s="542"/>
    </row>
    <row r="87" spans="1:11">
      <c r="A87" s="14" t="str">
        <f t="shared" si="22"/>
        <v/>
      </c>
      <c r="B87" s="231"/>
      <c r="C87" s="386"/>
      <c r="D87" s="387"/>
      <c r="E87" s="388"/>
      <c r="F87" s="389"/>
      <c r="G87" s="17">
        <f t="shared" si="23"/>
        <v>0</v>
      </c>
      <c r="H87" s="17">
        <f t="shared" si="24"/>
        <v>0</v>
      </c>
      <c r="I87" s="17">
        <f t="shared" si="25"/>
        <v>0</v>
      </c>
      <c r="J87" s="543"/>
      <c r="K87" s="544"/>
    </row>
    <row r="88" spans="1:11">
      <c r="A88" s="14" t="str">
        <f t="shared" si="22"/>
        <v/>
      </c>
      <c r="B88" s="231"/>
      <c r="C88" s="386"/>
      <c r="D88" s="387"/>
      <c r="E88" s="388"/>
      <c r="F88" s="389"/>
      <c r="G88" s="17">
        <f t="shared" si="23"/>
        <v>0</v>
      </c>
      <c r="H88" s="17">
        <f t="shared" si="24"/>
        <v>0</v>
      </c>
      <c r="I88" s="17">
        <f t="shared" si="25"/>
        <v>0</v>
      </c>
      <c r="J88" s="541"/>
      <c r="K88" s="542"/>
    </row>
    <row r="89" spans="1:11">
      <c r="A89" s="14" t="str">
        <f t="shared" si="22"/>
        <v/>
      </c>
      <c r="B89" s="231"/>
      <c r="C89" s="386"/>
      <c r="D89" s="387"/>
      <c r="E89" s="388"/>
      <c r="F89" s="389"/>
      <c r="G89" s="17">
        <f t="shared" si="23"/>
        <v>0</v>
      </c>
      <c r="H89" s="17">
        <f t="shared" si="24"/>
        <v>0</v>
      </c>
      <c r="I89" s="17">
        <f t="shared" si="25"/>
        <v>0</v>
      </c>
      <c r="J89" s="541"/>
      <c r="K89" s="542"/>
    </row>
    <row r="90" spans="1:11">
      <c r="A90" s="14" t="str">
        <f t="shared" si="22"/>
        <v/>
      </c>
      <c r="B90" s="231"/>
      <c r="C90" s="386"/>
      <c r="D90" s="387"/>
      <c r="E90" s="388"/>
      <c r="F90" s="389"/>
      <c r="G90" s="17">
        <f t="shared" si="23"/>
        <v>0</v>
      </c>
      <c r="H90" s="17">
        <f t="shared" si="24"/>
        <v>0</v>
      </c>
      <c r="I90" s="17">
        <f t="shared" si="25"/>
        <v>0</v>
      </c>
      <c r="J90" s="541"/>
      <c r="K90" s="542"/>
    </row>
    <row r="91" spans="1:11">
      <c r="A91" s="14" t="str">
        <f t="shared" si="22"/>
        <v/>
      </c>
      <c r="B91" s="231"/>
      <c r="C91" s="386"/>
      <c r="D91" s="387"/>
      <c r="E91" s="388"/>
      <c r="F91" s="389"/>
      <c r="G91" s="17">
        <f t="shared" si="23"/>
        <v>0</v>
      </c>
      <c r="H91" s="17">
        <f t="shared" si="24"/>
        <v>0</v>
      </c>
      <c r="I91" s="17">
        <f t="shared" si="25"/>
        <v>0</v>
      </c>
      <c r="J91" s="541"/>
      <c r="K91" s="542"/>
    </row>
    <row r="92" spans="1:11">
      <c r="A92" s="14" t="str">
        <f t="shared" si="22"/>
        <v/>
      </c>
      <c r="B92" s="231"/>
      <c r="C92" s="386"/>
      <c r="D92" s="387"/>
      <c r="E92" s="388"/>
      <c r="F92" s="389"/>
      <c r="G92" s="17">
        <f t="shared" si="23"/>
        <v>0</v>
      </c>
      <c r="H92" s="17">
        <f t="shared" si="24"/>
        <v>0</v>
      </c>
      <c r="I92" s="17">
        <f t="shared" si="25"/>
        <v>0</v>
      </c>
      <c r="J92" s="541"/>
      <c r="K92" s="542"/>
    </row>
    <row r="93" spans="1:11">
      <c r="A93" s="14" t="str">
        <f t="shared" si="22"/>
        <v/>
      </c>
      <c r="B93" s="231"/>
      <c r="C93" s="386"/>
      <c r="D93" s="387"/>
      <c r="E93" s="388"/>
      <c r="F93" s="389"/>
      <c r="G93" s="17">
        <f t="shared" si="23"/>
        <v>0</v>
      </c>
      <c r="H93" s="17">
        <f t="shared" si="24"/>
        <v>0</v>
      </c>
      <c r="I93" s="17">
        <f t="shared" si="25"/>
        <v>0</v>
      </c>
      <c r="J93" s="541"/>
      <c r="K93" s="542"/>
    </row>
    <row r="94" spans="1:11">
      <c r="A94" s="14" t="str">
        <f t="shared" si="22"/>
        <v/>
      </c>
      <c r="B94" s="231"/>
      <c r="C94" s="386"/>
      <c r="D94" s="387"/>
      <c r="E94" s="388"/>
      <c r="F94" s="389"/>
      <c r="G94" s="17">
        <f t="shared" si="23"/>
        <v>0</v>
      </c>
      <c r="H94" s="17">
        <f t="shared" si="24"/>
        <v>0</v>
      </c>
      <c r="I94" s="17">
        <f t="shared" si="25"/>
        <v>0</v>
      </c>
      <c r="J94" s="541"/>
      <c r="K94" s="542"/>
    </row>
    <row r="95" spans="1:11">
      <c r="A95" s="14" t="str">
        <f t="shared" si="22"/>
        <v/>
      </c>
      <c r="B95" s="231"/>
      <c r="C95" s="386"/>
      <c r="D95" s="387"/>
      <c r="E95" s="388"/>
      <c r="F95" s="389"/>
      <c r="G95" s="17">
        <f t="shared" si="23"/>
        <v>0</v>
      </c>
      <c r="H95" s="17">
        <f t="shared" si="24"/>
        <v>0</v>
      </c>
      <c r="I95" s="17">
        <f t="shared" si="25"/>
        <v>0</v>
      </c>
      <c r="J95" s="541"/>
      <c r="K95" s="542"/>
    </row>
    <row r="96" spans="1:11">
      <c r="A96" s="14" t="str">
        <f t="shared" si="22"/>
        <v/>
      </c>
      <c r="B96" s="231"/>
      <c r="C96" s="386"/>
      <c r="D96" s="387"/>
      <c r="E96" s="388"/>
      <c r="F96" s="389"/>
      <c r="G96" s="17">
        <f t="shared" si="23"/>
        <v>0</v>
      </c>
      <c r="H96" s="17">
        <f t="shared" si="24"/>
        <v>0</v>
      </c>
      <c r="I96" s="17">
        <f t="shared" si="25"/>
        <v>0</v>
      </c>
      <c r="J96" s="541"/>
      <c r="K96" s="542"/>
    </row>
    <row r="97" spans="1:11">
      <c r="A97" s="14" t="str">
        <f t="shared" si="22"/>
        <v/>
      </c>
      <c r="B97" s="231"/>
      <c r="C97" s="386"/>
      <c r="D97" s="387"/>
      <c r="E97" s="388"/>
      <c r="F97" s="389"/>
      <c r="G97" s="17">
        <f t="shared" si="23"/>
        <v>0</v>
      </c>
      <c r="H97" s="17">
        <f t="shared" si="24"/>
        <v>0</v>
      </c>
      <c r="I97" s="17">
        <f t="shared" si="25"/>
        <v>0</v>
      </c>
      <c r="J97" s="541"/>
      <c r="K97" s="542"/>
    </row>
    <row r="98" spans="1:11">
      <c r="A98" s="14" t="str">
        <f t="shared" si="22"/>
        <v/>
      </c>
      <c r="B98" s="231"/>
      <c r="C98" s="386"/>
      <c r="D98" s="387"/>
      <c r="E98" s="388"/>
      <c r="F98" s="389"/>
      <c r="G98" s="17">
        <f t="shared" si="23"/>
        <v>0</v>
      </c>
      <c r="H98" s="17">
        <f t="shared" si="24"/>
        <v>0</v>
      </c>
      <c r="I98" s="17">
        <f t="shared" si="25"/>
        <v>0</v>
      </c>
      <c r="J98" s="541"/>
      <c r="K98" s="542"/>
    </row>
    <row r="99" spans="1:11" ht="13.5" thickBot="1">
      <c r="A99" s="14" t="str">
        <f t="shared" si="22"/>
        <v/>
      </c>
      <c r="B99" s="390"/>
      <c r="C99" s="391"/>
      <c r="D99" s="392"/>
      <c r="E99" s="393"/>
      <c r="F99" s="394"/>
      <c r="G99" s="378">
        <f t="shared" si="23"/>
        <v>0</v>
      </c>
      <c r="H99" s="378">
        <f t="shared" si="24"/>
        <v>0</v>
      </c>
      <c r="I99" s="378">
        <f t="shared" si="25"/>
        <v>0</v>
      </c>
      <c r="J99" s="545"/>
      <c r="K99" s="546"/>
    </row>
    <row r="100" spans="1:11" ht="13.5" thickBot="1">
      <c r="A100" s="14" t="str">
        <f>IF(COUNTIF(A102:A115,"Nur Tätigkeiten mit geplantem Aufwand")&gt;0,"Nur Tätigkeiten mit geplantem Aufwand","")</f>
        <v/>
      </c>
      <c r="B100" s="405"/>
      <c r="C100" s="405"/>
      <c r="D100" s="405"/>
      <c r="E100" s="405"/>
      <c r="F100" s="405"/>
      <c r="G100" s="405"/>
      <c r="H100" s="405"/>
      <c r="I100" s="405"/>
      <c r="J100" s="547"/>
      <c r="K100" s="547"/>
    </row>
    <row r="101" spans="1:11" ht="13.5" thickBot="1">
      <c r="A101" s="14" t="str">
        <f>IF(COUNTIF(A102:A115,"Nur Tätigkeiten mit geplantem Aufwand")&gt;0,"Nur Tätigkeiten mit geplantem Aufwand","")</f>
        <v/>
      </c>
      <c r="B101" s="379" t="s">
        <v>223</v>
      </c>
      <c r="C101" s="380"/>
      <c r="D101" s="380"/>
      <c r="E101" s="380"/>
      <c r="F101" s="380"/>
      <c r="G101" s="381">
        <f>SUM(G102:G116)</f>
        <v>0</v>
      </c>
      <c r="H101" s="381">
        <f>SUM(H102:H116)</f>
        <v>0</v>
      </c>
      <c r="I101" s="381">
        <f>SUM(I102:I116)</f>
        <v>0</v>
      </c>
      <c r="J101" s="548"/>
      <c r="K101" s="549"/>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0"/>
      <c r="K102" s="551"/>
    </row>
    <row r="103" spans="1:11">
      <c r="A103" s="14" t="str">
        <f t="shared" si="26"/>
        <v/>
      </c>
      <c r="B103" s="231"/>
      <c r="C103" s="386"/>
      <c r="D103" s="387"/>
      <c r="E103" s="388"/>
      <c r="F103" s="389"/>
      <c r="G103" s="17">
        <f t="shared" si="27"/>
        <v>0</v>
      </c>
      <c r="H103" s="17">
        <f t="shared" si="28"/>
        <v>0</v>
      </c>
      <c r="I103" s="17">
        <f t="shared" si="29"/>
        <v>0</v>
      </c>
      <c r="J103" s="541"/>
      <c r="K103" s="542"/>
    </row>
    <row r="104" spans="1:11">
      <c r="A104" s="14" t="str">
        <f t="shared" si="26"/>
        <v/>
      </c>
      <c r="B104" s="231"/>
      <c r="C104" s="386"/>
      <c r="D104" s="387"/>
      <c r="E104" s="388"/>
      <c r="F104" s="389"/>
      <c r="G104" s="17">
        <f t="shared" si="27"/>
        <v>0</v>
      </c>
      <c r="H104" s="17">
        <f t="shared" si="28"/>
        <v>0</v>
      </c>
      <c r="I104" s="17">
        <f t="shared" si="29"/>
        <v>0</v>
      </c>
      <c r="J104" s="543"/>
      <c r="K104" s="544"/>
    </row>
    <row r="105" spans="1:11">
      <c r="A105" s="14" t="str">
        <f t="shared" si="26"/>
        <v/>
      </c>
      <c r="B105" s="231"/>
      <c r="C105" s="386"/>
      <c r="D105" s="387"/>
      <c r="E105" s="388"/>
      <c r="F105" s="389"/>
      <c r="G105" s="17">
        <f t="shared" si="27"/>
        <v>0</v>
      </c>
      <c r="H105" s="17">
        <f t="shared" si="28"/>
        <v>0</v>
      </c>
      <c r="I105" s="17">
        <f t="shared" si="29"/>
        <v>0</v>
      </c>
      <c r="J105" s="541"/>
      <c r="K105" s="542"/>
    </row>
    <row r="106" spans="1:11">
      <c r="A106" s="14" t="str">
        <f t="shared" si="26"/>
        <v/>
      </c>
      <c r="B106" s="231"/>
      <c r="C106" s="386"/>
      <c r="D106" s="387"/>
      <c r="E106" s="388"/>
      <c r="F106" s="389"/>
      <c r="G106" s="17">
        <f t="shared" si="27"/>
        <v>0</v>
      </c>
      <c r="H106" s="17">
        <f t="shared" si="28"/>
        <v>0</v>
      </c>
      <c r="I106" s="17">
        <f t="shared" si="29"/>
        <v>0</v>
      </c>
      <c r="J106" s="541"/>
      <c r="K106" s="542"/>
    </row>
    <row r="107" spans="1:11">
      <c r="A107" s="14" t="str">
        <f t="shared" si="26"/>
        <v/>
      </c>
      <c r="B107" s="231"/>
      <c r="C107" s="386"/>
      <c r="D107" s="387"/>
      <c r="E107" s="388"/>
      <c r="F107" s="389"/>
      <c r="G107" s="17">
        <f t="shared" si="27"/>
        <v>0</v>
      </c>
      <c r="H107" s="17">
        <f t="shared" si="28"/>
        <v>0</v>
      </c>
      <c r="I107" s="17">
        <f t="shared" si="29"/>
        <v>0</v>
      </c>
      <c r="J107" s="541"/>
      <c r="K107" s="542"/>
    </row>
    <row r="108" spans="1:11">
      <c r="A108" s="14" t="str">
        <f t="shared" si="26"/>
        <v/>
      </c>
      <c r="B108" s="231"/>
      <c r="C108" s="386"/>
      <c r="D108" s="387"/>
      <c r="E108" s="388"/>
      <c r="F108" s="389"/>
      <c r="G108" s="17">
        <f t="shared" si="27"/>
        <v>0</v>
      </c>
      <c r="H108" s="17">
        <f t="shared" si="28"/>
        <v>0</v>
      </c>
      <c r="I108" s="17">
        <f t="shared" si="29"/>
        <v>0</v>
      </c>
      <c r="J108" s="541"/>
      <c r="K108" s="542"/>
    </row>
    <row r="109" spans="1:11">
      <c r="A109" s="14" t="str">
        <f t="shared" si="26"/>
        <v/>
      </c>
      <c r="B109" s="231"/>
      <c r="C109" s="386"/>
      <c r="D109" s="387"/>
      <c r="E109" s="388"/>
      <c r="F109" s="389"/>
      <c r="G109" s="17">
        <f t="shared" si="27"/>
        <v>0</v>
      </c>
      <c r="H109" s="17">
        <f t="shared" si="28"/>
        <v>0</v>
      </c>
      <c r="I109" s="17">
        <f t="shared" si="29"/>
        <v>0</v>
      </c>
      <c r="J109" s="541"/>
      <c r="K109" s="542"/>
    </row>
    <row r="110" spans="1:11">
      <c r="A110" s="14" t="str">
        <f t="shared" si="26"/>
        <v/>
      </c>
      <c r="B110" s="231"/>
      <c r="C110" s="386"/>
      <c r="D110" s="387"/>
      <c r="E110" s="388"/>
      <c r="F110" s="389"/>
      <c r="G110" s="17">
        <f t="shared" si="27"/>
        <v>0</v>
      </c>
      <c r="H110" s="17">
        <f t="shared" si="28"/>
        <v>0</v>
      </c>
      <c r="I110" s="17">
        <f t="shared" si="29"/>
        <v>0</v>
      </c>
      <c r="J110" s="541"/>
      <c r="K110" s="542"/>
    </row>
    <row r="111" spans="1:11">
      <c r="A111" s="14" t="str">
        <f t="shared" si="26"/>
        <v/>
      </c>
      <c r="B111" s="231"/>
      <c r="C111" s="386"/>
      <c r="D111" s="387"/>
      <c r="E111" s="388"/>
      <c r="F111" s="389"/>
      <c r="G111" s="17">
        <f t="shared" si="27"/>
        <v>0</v>
      </c>
      <c r="H111" s="17">
        <f t="shared" si="28"/>
        <v>0</v>
      </c>
      <c r="I111" s="17">
        <f t="shared" si="29"/>
        <v>0</v>
      </c>
      <c r="J111" s="541"/>
      <c r="K111" s="542"/>
    </row>
    <row r="112" spans="1:11">
      <c r="A112" s="14" t="str">
        <f t="shared" si="26"/>
        <v/>
      </c>
      <c r="B112" s="231"/>
      <c r="C112" s="386"/>
      <c r="D112" s="387"/>
      <c r="E112" s="388"/>
      <c r="F112" s="389"/>
      <c r="G112" s="17">
        <f t="shared" si="27"/>
        <v>0</v>
      </c>
      <c r="H112" s="17">
        <f t="shared" si="28"/>
        <v>0</v>
      </c>
      <c r="I112" s="17">
        <f t="shared" si="29"/>
        <v>0</v>
      </c>
      <c r="J112" s="541"/>
      <c r="K112" s="542"/>
    </row>
    <row r="113" spans="1:11">
      <c r="A113" s="14" t="str">
        <f t="shared" si="26"/>
        <v/>
      </c>
      <c r="B113" s="231"/>
      <c r="C113" s="386"/>
      <c r="D113" s="387"/>
      <c r="E113" s="388"/>
      <c r="F113" s="389"/>
      <c r="G113" s="17">
        <f t="shared" si="27"/>
        <v>0</v>
      </c>
      <c r="H113" s="17">
        <f t="shared" si="28"/>
        <v>0</v>
      </c>
      <c r="I113" s="17">
        <f t="shared" si="29"/>
        <v>0</v>
      </c>
      <c r="J113" s="541"/>
      <c r="K113" s="542"/>
    </row>
    <row r="114" spans="1:11">
      <c r="A114" s="14" t="str">
        <f t="shared" si="26"/>
        <v/>
      </c>
      <c r="B114" s="231"/>
      <c r="C114" s="386"/>
      <c r="D114" s="387"/>
      <c r="E114" s="388"/>
      <c r="F114" s="389"/>
      <c r="G114" s="17">
        <f t="shared" si="27"/>
        <v>0</v>
      </c>
      <c r="H114" s="17">
        <f t="shared" si="28"/>
        <v>0</v>
      </c>
      <c r="I114" s="17">
        <f t="shared" si="29"/>
        <v>0</v>
      </c>
      <c r="J114" s="541"/>
      <c r="K114" s="542"/>
    </row>
    <row r="115" spans="1:11">
      <c r="A115" s="14" t="str">
        <f t="shared" si="26"/>
        <v/>
      </c>
      <c r="B115" s="231"/>
      <c r="C115" s="386"/>
      <c r="D115" s="387"/>
      <c r="E115" s="388"/>
      <c r="F115" s="389"/>
      <c r="G115" s="17">
        <f t="shared" si="27"/>
        <v>0</v>
      </c>
      <c r="H115" s="17">
        <f t="shared" si="28"/>
        <v>0</v>
      </c>
      <c r="I115" s="17">
        <f t="shared" si="29"/>
        <v>0</v>
      </c>
      <c r="J115" s="541"/>
      <c r="K115" s="542"/>
    </row>
    <row r="116" spans="1:11" ht="13.5" thickBot="1">
      <c r="A116" s="14" t="str">
        <f t="shared" si="26"/>
        <v/>
      </c>
      <c r="B116" s="390"/>
      <c r="C116" s="391"/>
      <c r="D116" s="392"/>
      <c r="E116" s="393"/>
      <c r="F116" s="394"/>
      <c r="G116" s="378">
        <f t="shared" si="27"/>
        <v>0</v>
      </c>
      <c r="H116" s="378">
        <f t="shared" si="28"/>
        <v>0</v>
      </c>
      <c r="I116" s="378">
        <f t="shared" si="29"/>
        <v>0</v>
      </c>
      <c r="J116" s="545"/>
      <c r="K116" s="546"/>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47"/>
      <c r="K117" s="547"/>
    </row>
    <row r="118" spans="1:11" ht="13.5" thickBot="1">
      <c r="A118" s="14" t="str">
        <f>IF(COUNTIF(A119:A133,"Nur Tätigkeiten mit geplantem Aufwand")&gt;0,"Nur Tätigkeiten mit geplantem Aufwand","")</f>
        <v>Nur Tätigkeiten mit geplantem Aufwand</v>
      </c>
      <c r="B118" s="379" t="s">
        <v>234</v>
      </c>
      <c r="C118" s="380"/>
      <c r="D118" s="380"/>
      <c r="E118" s="380"/>
      <c r="F118" s="380"/>
      <c r="G118" s="381">
        <f>SUM(G119:G133)</f>
        <v>1260</v>
      </c>
      <c r="H118" s="381">
        <f>SUM(H119:H133)</f>
        <v>1008</v>
      </c>
      <c r="I118" s="381">
        <f>SUM(I119:I133)</f>
        <v>1512</v>
      </c>
      <c r="J118" s="548"/>
      <c r="K118" s="549"/>
    </row>
    <row r="119" spans="1:11">
      <c r="A119" s="14" t="str">
        <f t="shared" ref="A119:A133" si="30">IF(OR(H119&gt;0,I119&gt;0),"Nur Tätigkeiten mit geplantem Aufwand","")</f>
        <v>Nur Tätigkeiten mit geplantem Aufwand</v>
      </c>
      <c r="B119" s="230" t="s">
        <v>225</v>
      </c>
      <c r="C119" s="382" t="s">
        <v>224</v>
      </c>
      <c r="D119" s="383">
        <v>10</v>
      </c>
      <c r="E119" s="384">
        <v>20</v>
      </c>
      <c r="F119" s="385">
        <v>30</v>
      </c>
      <c r="G119" s="377">
        <f t="shared" ref="G119:G120" si="31">D119*F119</f>
        <v>300</v>
      </c>
      <c r="H119" s="377">
        <f t="shared" ref="H119:H120" si="32">G119*(100-E119)/100</f>
        <v>240</v>
      </c>
      <c r="I119" s="377">
        <f t="shared" ref="I119:I120" si="33">G119*(100+E119)/100</f>
        <v>360</v>
      </c>
      <c r="J119" s="550"/>
      <c r="K119" s="551"/>
    </row>
    <row r="120" spans="1:11">
      <c r="A120" s="14" t="str">
        <f t="shared" si="30"/>
        <v>Nur Tätigkeiten mit geplantem Aufwand</v>
      </c>
      <c r="B120" s="231" t="s">
        <v>226</v>
      </c>
      <c r="C120" s="386" t="s">
        <v>224</v>
      </c>
      <c r="D120" s="387">
        <v>32</v>
      </c>
      <c r="E120" s="388">
        <v>20</v>
      </c>
      <c r="F120" s="389">
        <v>30</v>
      </c>
      <c r="G120" s="17">
        <f t="shared" si="31"/>
        <v>960</v>
      </c>
      <c r="H120" s="17">
        <f t="shared" si="32"/>
        <v>768</v>
      </c>
      <c r="I120" s="17">
        <f t="shared" si="33"/>
        <v>1152</v>
      </c>
      <c r="J120" s="541"/>
      <c r="K120" s="542"/>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43"/>
      <c r="K121" s="544"/>
    </row>
    <row r="122" spans="1:11">
      <c r="A122" s="14" t="str">
        <f t="shared" si="30"/>
        <v/>
      </c>
      <c r="B122" s="231"/>
      <c r="C122" s="386"/>
      <c r="D122" s="387"/>
      <c r="E122" s="388"/>
      <c r="F122" s="389"/>
      <c r="G122" s="17">
        <f t="shared" si="34"/>
        <v>0</v>
      </c>
      <c r="H122" s="17">
        <f t="shared" si="35"/>
        <v>0</v>
      </c>
      <c r="I122" s="17">
        <f t="shared" si="36"/>
        <v>0</v>
      </c>
      <c r="J122" s="541"/>
      <c r="K122" s="542"/>
    </row>
    <row r="123" spans="1:11">
      <c r="A123" s="14" t="str">
        <f t="shared" si="30"/>
        <v/>
      </c>
      <c r="B123" s="231"/>
      <c r="C123" s="386"/>
      <c r="D123" s="387"/>
      <c r="E123" s="388"/>
      <c r="F123" s="389"/>
      <c r="G123" s="17">
        <f t="shared" si="34"/>
        <v>0</v>
      </c>
      <c r="H123" s="17">
        <f t="shared" si="35"/>
        <v>0</v>
      </c>
      <c r="I123" s="17">
        <f t="shared" si="36"/>
        <v>0</v>
      </c>
      <c r="J123" s="541"/>
      <c r="K123" s="542"/>
    </row>
    <row r="124" spans="1:11">
      <c r="A124" s="14" t="str">
        <f t="shared" si="30"/>
        <v/>
      </c>
      <c r="B124" s="231"/>
      <c r="C124" s="386"/>
      <c r="D124" s="387"/>
      <c r="E124" s="388"/>
      <c r="F124" s="389"/>
      <c r="G124" s="17">
        <f t="shared" si="34"/>
        <v>0</v>
      </c>
      <c r="H124" s="17">
        <f t="shared" si="35"/>
        <v>0</v>
      </c>
      <c r="I124" s="17">
        <f t="shared" si="36"/>
        <v>0</v>
      </c>
      <c r="J124" s="541"/>
      <c r="K124" s="542"/>
    </row>
    <row r="125" spans="1:11">
      <c r="A125" s="14" t="str">
        <f t="shared" si="30"/>
        <v/>
      </c>
      <c r="B125" s="231"/>
      <c r="C125" s="386"/>
      <c r="D125" s="387"/>
      <c r="E125" s="388"/>
      <c r="F125" s="389"/>
      <c r="G125" s="17">
        <f t="shared" si="34"/>
        <v>0</v>
      </c>
      <c r="H125" s="17">
        <f t="shared" si="35"/>
        <v>0</v>
      </c>
      <c r="I125" s="17">
        <f t="shared" si="36"/>
        <v>0</v>
      </c>
      <c r="J125" s="541"/>
      <c r="K125" s="542"/>
    </row>
    <row r="126" spans="1:11">
      <c r="A126" s="14" t="str">
        <f t="shared" si="30"/>
        <v/>
      </c>
      <c r="B126" s="231"/>
      <c r="C126" s="386"/>
      <c r="D126" s="387"/>
      <c r="E126" s="388"/>
      <c r="F126" s="389"/>
      <c r="G126" s="17">
        <f t="shared" si="34"/>
        <v>0</v>
      </c>
      <c r="H126" s="17">
        <f t="shared" si="35"/>
        <v>0</v>
      </c>
      <c r="I126" s="17">
        <f t="shared" si="36"/>
        <v>0</v>
      </c>
      <c r="J126" s="541"/>
      <c r="K126" s="542"/>
    </row>
    <row r="127" spans="1:11">
      <c r="A127" s="14" t="str">
        <f t="shared" si="30"/>
        <v/>
      </c>
      <c r="B127" s="231"/>
      <c r="C127" s="386"/>
      <c r="D127" s="387"/>
      <c r="E127" s="388"/>
      <c r="F127" s="389"/>
      <c r="G127" s="17">
        <f t="shared" si="34"/>
        <v>0</v>
      </c>
      <c r="H127" s="17">
        <f t="shared" si="35"/>
        <v>0</v>
      </c>
      <c r="I127" s="17">
        <f t="shared" si="36"/>
        <v>0</v>
      </c>
      <c r="J127" s="541"/>
      <c r="K127" s="542"/>
    </row>
    <row r="128" spans="1:11">
      <c r="A128" s="14" t="str">
        <f t="shared" si="30"/>
        <v/>
      </c>
      <c r="B128" s="231"/>
      <c r="C128" s="386"/>
      <c r="D128" s="387"/>
      <c r="E128" s="388"/>
      <c r="F128" s="389"/>
      <c r="G128" s="17">
        <f t="shared" si="34"/>
        <v>0</v>
      </c>
      <c r="H128" s="17">
        <f t="shared" si="35"/>
        <v>0</v>
      </c>
      <c r="I128" s="17">
        <f t="shared" si="36"/>
        <v>0</v>
      </c>
      <c r="J128" s="541"/>
      <c r="K128" s="542"/>
    </row>
    <row r="129" spans="1:11">
      <c r="A129" s="14" t="str">
        <f t="shared" si="30"/>
        <v/>
      </c>
      <c r="B129" s="231"/>
      <c r="C129" s="386"/>
      <c r="D129" s="387"/>
      <c r="E129" s="388"/>
      <c r="F129" s="389"/>
      <c r="G129" s="17">
        <f t="shared" si="34"/>
        <v>0</v>
      </c>
      <c r="H129" s="17">
        <f t="shared" si="35"/>
        <v>0</v>
      </c>
      <c r="I129" s="17">
        <f t="shared" si="36"/>
        <v>0</v>
      </c>
      <c r="J129" s="541"/>
      <c r="K129" s="542"/>
    </row>
    <row r="130" spans="1:11">
      <c r="A130" s="14" t="str">
        <f t="shared" si="30"/>
        <v/>
      </c>
      <c r="B130" s="231"/>
      <c r="C130" s="386"/>
      <c r="D130" s="387"/>
      <c r="E130" s="388"/>
      <c r="F130" s="389"/>
      <c r="G130" s="17">
        <f t="shared" si="34"/>
        <v>0</v>
      </c>
      <c r="H130" s="17">
        <f t="shared" si="35"/>
        <v>0</v>
      </c>
      <c r="I130" s="17">
        <f t="shared" si="36"/>
        <v>0</v>
      </c>
      <c r="J130" s="541"/>
      <c r="K130" s="542"/>
    </row>
    <row r="131" spans="1:11">
      <c r="A131" s="14" t="str">
        <f t="shared" si="30"/>
        <v/>
      </c>
      <c r="B131" s="231"/>
      <c r="C131" s="386"/>
      <c r="D131" s="387"/>
      <c r="E131" s="388"/>
      <c r="F131" s="389"/>
      <c r="G131" s="17">
        <f t="shared" si="34"/>
        <v>0</v>
      </c>
      <c r="H131" s="17">
        <f t="shared" si="35"/>
        <v>0</v>
      </c>
      <c r="I131" s="17">
        <f t="shared" si="36"/>
        <v>0</v>
      </c>
      <c r="J131" s="541"/>
      <c r="K131" s="542"/>
    </row>
    <row r="132" spans="1:11">
      <c r="A132" s="14" t="str">
        <f t="shared" si="30"/>
        <v/>
      </c>
      <c r="B132" s="231"/>
      <c r="C132" s="386"/>
      <c r="D132" s="387"/>
      <c r="E132" s="388"/>
      <c r="F132" s="389"/>
      <c r="G132" s="17">
        <f t="shared" si="34"/>
        <v>0</v>
      </c>
      <c r="H132" s="17">
        <f t="shared" si="35"/>
        <v>0</v>
      </c>
      <c r="I132" s="17">
        <f t="shared" si="36"/>
        <v>0</v>
      </c>
      <c r="J132" s="541"/>
      <c r="K132" s="542"/>
    </row>
    <row r="133" spans="1:11" ht="13.5" thickBot="1">
      <c r="A133" s="14" t="str">
        <f t="shared" si="30"/>
        <v/>
      </c>
      <c r="B133" s="390"/>
      <c r="C133" s="391"/>
      <c r="D133" s="392"/>
      <c r="E133" s="393"/>
      <c r="F133" s="394"/>
      <c r="G133" s="378">
        <f t="shared" si="34"/>
        <v>0</v>
      </c>
      <c r="H133" s="378">
        <f t="shared" si="35"/>
        <v>0</v>
      </c>
      <c r="I133" s="378">
        <f t="shared" si="36"/>
        <v>0</v>
      </c>
      <c r="J133" s="545"/>
      <c r="K133" s="546"/>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47"/>
      <c r="K134" s="547"/>
    </row>
    <row r="135" spans="1:11" ht="13.5" thickBot="1">
      <c r="A135" s="14" t="str">
        <f>IF(COUNTIF(A136:A150,"Nur Tätigkeiten mit geplantem Aufwand")&gt;0,"Nur Tätigkeiten mit geplantem Aufwand","")</f>
        <v/>
      </c>
      <c r="B135" s="379" t="s">
        <v>231</v>
      </c>
      <c r="C135" s="380"/>
      <c r="D135" s="380"/>
      <c r="E135" s="380"/>
      <c r="F135" s="380"/>
      <c r="G135" s="381">
        <f>SUM(G136:G150)</f>
        <v>0</v>
      </c>
      <c r="H135" s="381">
        <f>SUM(H136:H150)</f>
        <v>0</v>
      </c>
      <c r="I135" s="381">
        <f>SUM(I136:I150)</f>
        <v>0</v>
      </c>
      <c r="J135" s="548"/>
      <c r="K135" s="549"/>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0"/>
      <c r="K136" s="551"/>
    </row>
    <row r="137" spans="1:11">
      <c r="A137" s="14" t="str">
        <f t="shared" si="37"/>
        <v/>
      </c>
      <c r="B137" s="231"/>
      <c r="C137" s="386"/>
      <c r="D137" s="387"/>
      <c r="E137" s="388"/>
      <c r="F137" s="389"/>
      <c r="G137" s="17">
        <f t="shared" si="38"/>
        <v>0</v>
      </c>
      <c r="H137" s="17">
        <f t="shared" si="39"/>
        <v>0</v>
      </c>
      <c r="I137" s="17">
        <f t="shared" si="40"/>
        <v>0</v>
      </c>
      <c r="J137" s="541"/>
      <c r="K137" s="542"/>
    </row>
    <row r="138" spans="1:11">
      <c r="A138" s="14" t="str">
        <f t="shared" si="37"/>
        <v/>
      </c>
      <c r="B138" s="231"/>
      <c r="C138" s="386"/>
      <c r="D138" s="387"/>
      <c r="E138" s="388"/>
      <c r="F138" s="389"/>
      <c r="G138" s="17">
        <f t="shared" si="38"/>
        <v>0</v>
      </c>
      <c r="H138" s="17">
        <f t="shared" si="39"/>
        <v>0</v>
      </c>
      <c r="I138" s="17">
        <f t="shared" si="40"/>
        <v>0</v>
      </c>
      <c r="J138" s="543"/>
      <c r="K138" s="544"/>
    </row>
    <row r="139" spans="1:11">
      <c r="A139" s="14" t="str">
        <f t="shared" si="37"/>
        <v/>
      </c>
      <c r="B139" s="231"/>
      <c r="C139" s="386"/>
      <c r="D139" s="387"/>
      <c r="E139" s="388"/>
      <c r="F139" s="389"/>
      <c r="G139" s="17">
        <f t="shared" si="38"/>
        <v>0</v>
      </c>
      <c r="H139" s="17">
        <f t="shared" si="39"/>
        <v>0</v>
      </c>
      <c r="I139" s="17">
        <f t="shared" si="40"/>
        <v>0</v>
      </c>
      <c r="J139" s="541"/>
      <c r="K139" s="542"/>
    </row>
    <row r="140" spans="1:11">
      <c r="A140" s="14" t="str">
        <f t="shared" si="37"/>
        <v/>
      </c>
      <c r="B140" s="231"/>
      <c r="C140" s="386"/>
      <c r="D140" s="387"/>
      <c r="E140" s="388"/>
      <c r="F140" s="389"/>
      <c r="G140" s="17">
        <f t="shared" si="38"/>
        <v>0</v>
      </c>
      <c r="H140" s="17">
        <f t="shared" si="39"/>
        <v>0</v>
      </c>
      <c r="I140" s="17">
        <f t="shared" si="40"/>
        <v>0</v>
      </c>
      <c r="J140" s="541"/>
      <c r="K140" s="542"/>
    </row>
    <row r="141" spans="1:11">
      <c r="A141" s="14" t="str">
        <f t="shared" si="37"/>
        <v/>
      </c>
      <c r="B141" s="231"/>
      <c r="C141" s="386"/>
      <c r="D141" s="387"/>
      <c r="E141" s="388"/>
      <c r="F141" s="389"/>
      <c r="G141" s="17">
        <f t="shared" si="38"/>
        <v>0</v>
      </c>
      <c r="H141" s="17">
        <f t="shared" si="39"/>
        <v>0</v>
      </c>
      <c r="I141" s="17">
        <f t="shared" si="40"/>
        <v>0</v>
      </c>
      <c r="J141" s="541"/>
      <c r="K141" s="542"/>
    </row>
    <row r="142" spans="1:11">
      <c r="A142" s="14" t="str">
        <f t="shared" si="37"/>
        <v/>
      </c>
      <c r="B142" s="231"/>
      <c r="C142" s="386"/>
      <c r="D142" s="387"/>
      <c r="E142" s="388"/>
      <c r="F142" s="389"/>
      <c r="G142" s="17">
        <f t="shared" si="38"/>
        <v>0</v>
      </c>
      <c r="H142" s="17">
        <f t="shared" si="39"/>
        <v>0</v>
      </c>
      <c r="I142" s="17">
        <f t="shared" si="40"/>
        <v>0</v>
      </c>
      <c r="J142" s="541"/>
      <c r="K142" s="542"/>
    </row>
    <row r="143" spans="1:11">
      <c r="A143" s="14" t="str">
        <f t="shared" si="37"/>
        <v/>
      </c>
      <c r="B143" s="231"/>
      <c r="C143" s="386"/>
      <c r="D143" s="387"/>
      <c r="E143" s="388"/>
      <c r="F143" s="389"/>
      <c r="G143" s="17">
        <f t="shared" si="38"/>
        <v>0</v>
      </c>
      <c r="H143" s="17">
        <f t="shared" si="39"/>
        <v>0</v>
      </c>
      <c r="I143" s="17">
        <f t="shared" si="40"/>
        <v>0</v>
      </c>
      <c r="J143" s="541"/>
      <c r="K143" s="542"/>
    </row>
    <row r="144" spans="1:11">
      <c r="A144" s="14" t="str">
        <f t="shared" si="37"/>
        <v/>
      </c>
      <c r="B144" s="231"/>
      <c r="C144" s="386"/>
      <c r="D144" s="387"/>
      <c r="E144" s="388"/>
      <c r="F144" s="389"/>
      <c r="G144" s="17">
        <f t="shared" si="38"/>
        <v>0</v>
      </c>
      <c r="H144" s="17">
        <f t="shared" si="39"/>
        <v>0</v>
      </c>
      <c r="I144" s="17">
        <f t="shared" si="40"/>
        <v>0</v>
      </c>
      <c r="J144" s="541"/>
      <c r="K144" s="542"/>
    </row>
    <row r="145" spans="1:11">
      <c r="A145" s="14" t="str">
        <f t="shared" si="37"/>
        <v/>
      </c>
      <c r="B145" s="231"/>
      <c r="C145" s="386"/>
      <c r="D145" s="387"/>
      <c r="E145" s="388"/>
      <c r="F145" s="389"/>
      <c r="G145" s="17">
        <f t="shared" si="38"/>
        <v>0</v>
      </c>
      <c r="H145" s="17">
        <f t="shared" si="39"/>
        <v>0</v>
      </c>
      <c r="I145" s="17">
        <f t="shared" si="40"/>
        <v>0</v>
      </c>
      <c r="J145" s="541"/>
      <c r="K145" s="542"/>
    </row>
    <row r="146" spans="1:11">
      <c r="A146" s="14" t="str">
        <f t="shared" si="37"/>
        <v/>
      </c>
      <c r="B146" s="231"/>
      <c r="C146" s="386"/>
      <c r="D146" s="387"/>
      <c r="E146" s="388"/>
      <c r="F146" s="389"/>
      <c r="G146" s="17">
        <f t="shared" si="38"/>
        <v>0</v>
      </c>
      <c r="H146" s="17">
        <f t="shared" si="39"/>
        <v>0</v>
      </c>
      <c r="I146" s="17">
        <f t="shared" si="40"/>
        <v>0</v>
      </c>
      <c r="J146" s="541"/>
      <c r="K146" s="542"/>
    </row>
    <row r="147" spans="1:11">
      <c r="A147" s="14" t="str">
        <f t="shared" si="37"/>
        <v/>
      </c>
      <c r="B147" s="231"/>
      <c r="C147" s="386"/>
      <c r="D147" s="387"/>
      <c r="E147" s="388"/>
      <c r="F147" s="389"/>
      <c r="G147" s="17">
        <f t="shared" si="38"/>
        <v>0</v>
      </c>
      <c r="H147" s="17">
        <f t="shared" si="39"/>
        <v>0</v>
      </c>
      <c r="I147" s="17">
        <f t="shared" si="40"/>
        <v>0</v>
      </c>
      <c r="J147" s="541"/>
      <c r="K147" s="542"/>
    </row>
    <row r="148" spans="1:11">
      <c r="A148" s="14" t="str">
        <f t="shared" si="37"/>
        <v/>
      </c>
      <c r="B148" s="231"/>
      <c r="C148" s="386"/>
      <c r="D148" s="387"/>
      <c r="E148" s="388"/>
      <c r="F148" s="389"/>
      <c r="G148" s="17">
        <f t="shared" si="38"/>
        <v>0</v>
      </c>
      <c r="H148" s="17">
        <f t="shared" si="39"/>
        <v>0</v>
      </c>
      <c r="I148" s="17">
        <f t="shared" si="40"/>
        <v>0</v>
      </c>
      <c r="J148" s="541"/>
      <c r="K148" s="542"/>
    </row>
    <row r="149" spans="1:11">
      <c r="A149" s="14" t="str">
        <f t="shared" si="37"/>
        <v/>
      </c>
      <c r="B149" s="231"/>
      <c r="C149" s="386"/>
      <c r="D149" s="387"/>
      <c r="E149" s="388"/>
      <c r="F149" s="389"/>
      <c r="G149" s="17">
        <f t="shared" si="38"/>
        <v>0</v>
      </c>
      <c r="H149" s="17">
        <f t="shared" si="39"/>
        <v>0</v>
      </c>
      <c r="I149" s="17">
        <f t="shared" si="40"/>
        <v>0</v>
      </c>
      <c r="J149" s="541"/>
      <c r="K149" s="542"/>
    </row>
    <row r="150" spans="1:11" ht="13.5" thickBot="1">
      <c r="A150" s="14" t="str">
        <f t="shared" si="37"/>
        <v/>
      </c>
      <c r="B150" s="390"/>
      <c r="C150" s="391"/>
      <c r="D150" s="392"/>
      <c r="E150" s="393"/>
      <c r="F150" s="394"/>
      <c r="G150" s="378">
        <f t="shared" si="38"/>
        <v>0</v>
      </c>
      <c r="H150" s="378">
        <f t="shared" si="39"/>
        <v>0</v>
      </c>
      <c r="I150" s="378">
        <f t="shared" si="40"/>
        <v>0</v>
      </c>
      <c r="J150" s="545"/>
      <c r="K150" s="546"/>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47"/>
      <c r="K151" s="547"/>
    </row>
    <row r="152" spans="1:11" ht="13.5" thickBot="1">
      <c r="A152" s="14" t="str">
        <f>IF(COUNTIF(A153:A166,"Nur Tätigkeiten mit geplantem Aufwand")&gt;0,"Nur Tätigkeiten mit geplantem Aufwand","")</f>
        <v/>
      </c>
      <c r="B152" s="379" t="s">
        <v>232</v>
      </c>
      <c r="C152" s="380"/>
      <c r="D152" s="380"/>
      <c r="E152" s="380"/>
      <c r="F152" s="380"/>
      <c r="G152" s="381">
        <f>SUM(G153:G167)</f>
        <v>0</v>
      </c>
      <c r="H152" s="381">
        <f>SUM(H153:H167)</f>
        <v>0</v>
      </c>
      <c r="I152" s="381">
        <f>SUM(I153:I167)</f>
        <v>0</v>
      </c>
      <c r="J152" s="548"/>
      <c r="K152" s="549"/>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0"/>
      <c r="K153" s="551"/>
    </row>
    <row r="154" spans="1:11">
      <c r="A154" s="14" t="str">
        <f t="shared" si="41"/>
        <v/>
      </c>
      <c r="B154" s="231"/>
      <c r="C154" s="386"/>
      <c r="D154" s="387"/>
      <c r="E154" s="388"/>
      <c r="F154" s="389"/>
      <c r="G154" s="17">
        <f t="shared" si="42"/>
        <v>0</v>
      </c>
      <c r="H154" s="17">
        <f t="shared" si="43"/>
        <v>0</v>
      </c>
      <c r="I154" s="17">
        <f t="shared" si="44"/>
        <v>0</v>
      </c>
      <c r="J154" s="541"/>
      <c r="K154" s="542"/>
    </row>
    <row r="155" spans="1:11">
      <c r="A155" s="14" t="str">
        <f t="shared" si="41"/>
        <v/>
      </c>
      <c r="B155" s="231"/>
      <c r="C155" s="386"/>
      <c r="D155" s="387"/>
      <c r="E155" s="388"/>
      <c r="F155" s="389"/>
      <c r="G155" s="17">
        <f t="shared" si="42"/>
        <v>0</v>
      </c>
      <c r="H155" s="17">
        <f t="shared" si="43"/>
        <v>0</v>
      </c>
      <c r="I155" s="17">
        <f t="shared" si="44"/>
        <v>0</v>
      </c>
      <c r="J155" s="543"/>
      <c r="K155" s="544"/>
    </row>
    <row r="156" spans="1:11">
      <c r="A156" s="14" t="str">
        <f t="shared" si="41"/>
        <v/>
      </c>
      <c r="B156" s="231"/>
      <c r="C156" s="386"/>
      <c r="D156" s="387"/>
      <c r="E156" s="388"/>
      <c r="F156" s="389"/>
      <c r="G156" s="17">
        <f t="shared" si="42"/>
        <v>0</v>
      </c>
      <c r="H156" s="17">
        <f t="shared" si="43"/>
        <v>0</v>
      </c>
      <c r="I156" s="17">
        <f t="shared" si="44"/>
        <v>0</v>
      </c>
      <c r="J156" s="541"/>
      <c r="K156" s="542"/>
    </row>
    <row r="157" spans="1:11">
      <c r="A157" s="14" t="str">
        <f t="shared" si="41"/>
        <v/>
      </c>
      <c r="B157" s="231"/>
      <c r="C157" s="386"/>
      <c r="D157" s="387"/>
      <c r="E157" s="388"/>
      <c r="F157" s="389"/>
      <c r="G157" s="17">
        <f t="shared" si="42"/>
        <v>0</v>
      </c>
      <c r="H157" s="17">
        <f t="shared" si="43"/>
        <v>0</v>
      </c>
      <c r="I157" s="17">
        <f t="shared" si="44"/>
        <v>0</v>
      </c>
      <c r="J157" s="541"/>
      <c r="K157" s="542"/>
    </row>
    <row r="158" spans="1:11">
      <c r="A158" s="14" t="str">
        <f t="shared" si="41"/>
        <v/>
      </c>
      <c r="B158" s="231"/>
      <c r="C158" s="386"/>
      <c r="D158" s="387"/>
      <c r="E158" s="388"/>
      <c r="F158" s="389"/>
      <c r="G158" s="17">
        <f t="shared" si="42"/>
        <v>0</v>
      </c>
      <c r="H158" s="17">
        <f t="shared" si="43"/>
        <v>0</v>
      </c>
      <c r="I158" s="17">
        <f t="shared" si="44"/>
        <v>0</v>
      </c>
      <c r="J158" s="541"/>
      <c r="K158" s="542"/>
    </row>
    <row r="159" spans="1:11">
      <c r="A159" s="14" t="str">
        <f t="shared" si="41"/>
        <v/>
      </c>
      <c r="B159" s="231"/>
      <c r="C159" s="386"/>
      <c r="D159" s="387"/>
      <c r="E159" s="388"/>
      <c r="F159" s="389"/>
      <c r="G159" s="17">
        <f t="shared" si="42"/>
        <v>0</v>
      </c>
      <c r="H159" s="17">
        <f t="shared" si="43"/>
        <v>0</v>
      </c>
      <c r="I159" s="17">
        <f t="shared" si="44"/>
        <v>0</v>
      </c>
      <c r="J159" s="541"/>
      <c r="K159" s="542"/>
    </row>
    <row r="160" spans="1:11">
      <c r="A160" s="14" t="str">
        <f t="shared" si="41"/>
        <v/>
      </c>
      <c r="B160" s="231"/>
      <c r="C160" s="386"/>
      <c r="D160" s="387"/>
      <c r="E160" s="388"/>
      <c r="F160" s="389"/>
      <c r="G160" s="17">
        <f t="shared" si="42"/>
        <v>0</v>
      </c>
      <c r="H160" s="17">
        <f t="shared" si="43"/>
        <v>0</v>
      </c>
      <c r="I160" s="17">
        <f t="shared" si="44"/>
        <v>0</v>
      </c>
      <c r="J160" s="541"/>
      <c r="K160" s="542"/>
    </row>
    <row r="161" spans="1:11">
      <c r="A161" s="14" t="str">
        <f t="shared" si="41"/>
        <v/>
      </c>
      <c r="B161" s="231"/>
      <c r="C161" s="386"/>
      <c r="D161" s="387"/>
      <c r="E161" s="388"/>
      <c r="F161" s="389"/>
      <c r="G161" s="17">
        <f t="shared" si="42"/>
        <v>0</v>
      </c>
      <c r="H161" s="17">
        <f t="shared" si="43"/>
        <v>0</v>
      </c>
      <c r="I161" s="17">
        <f t="shared" si="44"/>
        <v>0</v>
      </c>
      <c r="J161" s="541"/>
      <c r="K161" s="542"/>
    </row>
    <row r="162" spans="1:11">
      <c r="A162" s="14" t="str">
        <f t="shared" si="41"/>
        <v/>
      </c>
      <c r="B162" s="231"/>
      <c r="C162" s="386"/>
      <c r="D162" s="387"/>
      <c r="E162" s="388"/>
      <c r="F162" s="389"/>
      <c r="G162" s="17">
        <f t="shared" si="42"/>
        <v>0</v>
      </c>
      <c r="H162" s="17">
        <f t="shared" si="43"/>
        <v>0</v>
      </c>
      <c r="I162" s="17">
        <f t="shared" si="44"/>
        <v>0</v>
      </c>
      <c r="J162" s="541"/>
      <c r="K162" s="542"/>
    </row>
    <row r="163" spans="1:11">
      <c r="A163" s="14" t="str">
        <f t="shared" si="41"/>
        <v/>
      </c>
      <c r="B163" s="231"/>
      <c r="C163" s="386"/>
      <c r="D163" s="387"/>
      <c r="E163" s="388"/>
      <c r="F163" s="389"/>
      <c r="G163" s="17">
        <f t="shared" si="42"/>
        <v>0</v>
      </c>
      <c r="H163" s="17">
        <f t="shared" si="43"/>
        <v>0</v>
      </c>
      <c r="I163" s="17">
        <f t="shared" si="44"/>
        <v>0</v>
      </c>
      <c r="J163" s="541"/>
      <c r="K163" s="542"/>
    </row>
    <row r="164" spans="1:11">
      <c r="A164" s="14" t="str">
        <f t="shared" si="41"/>
        <v/>
      </c>
      <c r="B164" s="231"/>
      <c r="C164" s="386"/>
      <c r="D164" s="387"/>
      <c r="E164" s="388"/>
      <c r="F164" s="389"/>
      <c r="G164" s="17">
        <f t="shared" si="42"/>
        <v>0</v>
      </c>
      <c r="H164" s="17">
        <f t="shared" si="43"/>
        <v>0</v>
      </c>
      <c r="I164" s="17">
        <f t="shared" si="44"/>
        <v>0</v>
      </c>
      <c r="J164" s="541"/>
      <c r="K164" s="542"/>
    </row>
    <row r="165" spans="1:11">
      <c r="A165" s="14" t="str">
        <f t="shared" si="41"/>
        <v/>
      </c>
      <c r="B165" s="231"/>
      <c r="C165" s="386"/>
      <c r="D165" s="387"/>
      <c r="E165" s="388"/>
      <c r="F165" s="389"/>
      <c r="G165" s="17">
        <f t="shared" si="42"/>
        <v>0</v>
      </c>
      <c r="H165" s="17">
        <f t="shared" si="43"/>
        <v>0</v>
      </c>
      <c r="I165" s="17">
        <f t="shared" si="44"/>
        <v>0</v>
      </c>
      <c r="J165" s="541"/>
      <c r="K165" s="542"/>
    </row>
    <row r="166" spans="1:11">
      <c r="A166" s="14" t="str">
        <f t="shared" si="41"/>
        <v/>
      </c>
      <c r="B166" s="231"/>
      <c r="C166" s="386"/>
      <c r="D166" s="387"/>
      <c r="E166" s="388"/>
      <c r="F166" s="389"/>
      <c r="G166" s="17">
        <f t="shared" si="42"/>
        <v>0</v>
      </c>
      <c r="H166" s="17">
        <f t="shared" si="43"/>
        <v>0</v>
      </c>
      <c r="I166" s="17">
        <f t="shared" si="44"/>
        <v>0</v>
      </c>
      <c r="J166" s="541"/>
      <c r="K166" s="542"/>
    </row>
    <row r="167" spans="1:11" ht="13.5" thickBot="1">
      <c r="A167" s="14" t="str">
        <f t="shared" si="41"/>
        <v/>
      </c>
      <c r="B167" s="390"/>
      <c r="C167" s="391"/>
      <c r="D167" s="392"/>
      <c r="E167" s="393"/>
      <c r="F167" s="394"/>
      <c r="G167" s="378">
        <f t="shared" si="42"/>
        <v>0</v>
      </c>
      <c r="H167" s="378">
        <f t="shared" si="43"/>
        <v>0</v>
      </c>
      <c r="I167" s="378">
        <f t="shared" si="44"/>
        <v>0</v>
      </c>
      <c r="J167" s="545"/>
      <c r="K167" s="546"/>
    </row>
    <row r="168" spans="1:11" ht="13.5" thickBot="1">
      <c r="A168" s="14" t="str">
        <f>IF(COUNTIF(A170:A184,"Nur Tätigkeiten mit geplantem Aufwand")&gt;0,"Nur Tätigkeiten mit geplantem Aufwand","")</f>
        <v/>
      </c>
      <c r="B168" s="405"/>
      <c r="C168" s="405"/>
      <c r="D168" s="405"/>
      <c r="E168" s="405"/>
      <c r="F168" s="405"/>
      <c r="G168" s="405"/>
      <c r="H168" s="405"/>
      <c r="I168" s="405"/>
      <c r="J168" s="547"/>
      <c r="K168" s="547"/>
    </row>
    <row r="169" spans="1:11" ht="13.5" thickBot="1">
      <c r="A169" s="14" t="str">
        <f>IF(COUNTIF(A170:A184,"Nur Tätigkeiten mit geplantem Aufwand")&gt;0,"Nur Tätigkeiten mit geplantem Aufwand","")</f>
        <v/>
      </c>
      <c r="B169" s="379" t="s">
        <v>233</v>
      </c>
      <c r="C169" s="380"/>
      <c r="D169" s="380"/>
      <c r="E169" s="380"/>
      <c r="F169" s="380"/>
      <c r="G169" s="381">
        <f>SUM(G170:G184)</f>
        <v>0</v>
      </c>
      <c r="H169" s="381">
        <f>SUM(H170:H184)</f>
        <v>0</v>
      </c>
      <c r="I169" s="381">
        <f>SUM(I170:I184)</f>
        <v>0</v>
      </c>
      <c r="J169" s="548"/>
      <c r="K169" s="549"/>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0"/>
      <c r="K170" s="551"/>
    </row>
    <row r="171" spans="1:11">
      <c r="A171" s="14" t="str">
        <f t="shared" si="45"/>
        <v/>
      </c>
      <c r="B171" s="231"/>
      <c r="C171" s="386"/>
      <c r="D171" s="387"/>
      <c r="E171" s="388"/>
      <c r="F171" s="389"/>
      <c r="G171" s="17">
        <f t="shared" si="46"/>
        <v>0</v>
      </c>
      <c r="H171" s="17">
        <f t="shared" si="47"/>
        <v>0</v>
      </c>
      <c r="I171" s="17">
        <f t="shared" si="48"/>
        <v>0</v>
      </c>
      <c r="J171" s="541"/>
      <c r="K171" s="542"/>
    </row>
    <row r="172" spans="1:11">
      <c r="A172" s="14" t="str">
        <f t="shared" si="45"/>
        <v/>
      </c>
      <c r="B172" s="231"/>
      <c r="C172" s="386"/>
      <c r="D172" s="387"/>
      <c r="E172" s="388"/>
      <c r="F172" s="389"/>
      <c r="G172" s="17">
        <f t="shared" si="46"/>
        <v>0</v>
      </c>
      <c r="H172" s="17">
        <f t="shared" si="47"/>
        <v>0</v>
      </c>
      <c r="I172" s="17">
        <f t="shared" si="48"/>
        <v>0</v>
      </c>
      <c r="J172" s="543"/>
      <c r="K172" s="544"/>
    </row>
    <row r="173" spans="1:11">
      <c r="A173" s="14" t="str">
        <f t="shared" si="45"/>
        <v/>
      </c>
      <c r="B173" s="231"/>
      <c r="C173" s="386"/>
      <c r="D173" s="387"/>
      <c r="E173" s="388"/>
      <c r="F173" s="389"/>
      <c r="G173" s="17">
        <f t="shared" si="46"/>
        <v>0</v>
      </c>
      <c r="H173" s="17">
        <f t="shared" si="47"/>
        <v>0</v>
      </c>
      <c r="I173" s="17">
        <f t="shared" si="48"/>
        <v>0</v>
      </c>
      <c r="J173" s="541"/>
      <c r="K173" s="542"/>
    </row>
    <row r="174" spans="1:11">
      <c r="A174" s="14" t="str">
        <f t="shared" si="45"/>
        <v/>
      </c>
      <c r="B174" s="231"/>
      <c r="C174" s="386"/>
      <c r="D174" s="387"/>
      <c r="E174" s="388"/>
      <c r="F174" s="389"/>
      <c r="G174" s="17">
        <f t="shared" si="46"/>
        <v>0</v>
      </c>
      <c r="H174" s="17">
        <f t="shared" si="47"/>
        <v>0</v>
      </c>
      <c r="I174" s="17">
        <f t="shared" si="48"/>
        <v>0</v>
      </c>
      <c r="J174" s="541"/>
      <c r="K174" s="542"/>
    </row>
    <row r="175" spans="1:11">
      <c r="A175" s="14" t="str">
        <f t="shared" si="45"/>
        <v/>
      </c>
      <c r="B175" s="231"/>
      <c r="C175" s="386"/>
      <c r="D175" s="387"/>
      <c r="E175" s="388"/>
      <c r="F175" s="389"/>
      <c r="G175" s="17">
        <f t="shared" si="46"/>
        <v>0</v>
      </c>
      <c r="H175" s="17">
        <f t="shared" si="47"/>
        <v>0</v>
      </c>
      <c r="I175" s="17">
        <f t="shared" si="48"/>
        <v>0</v>
      </c>
      <c r="J175" s="541"/>
      <c r="K175" s="542"/>
    </row>
    <row r="176" spans="1:11">
      <c r="A176" s="14" t="str">
        <f t="shared" si="45"/>
        <v/>
      </c>
      <c r="B176" s="231"/>
      <c r="C176" s="386"/>
      <c r="D176" s="387"/>
      <c r="E176" s="388"/>
      <c r="F176" s="389"/>
      <c r="G176" s="17">
        <f t="shared" si="46"/>
        <v>0</v>
      </c>
      <c r="H176" s="17">
        <f t="shared" si="47"/>
        <v>0</v>
      </c>
      <c r="I176" s="17">
        <f t="shared" si="48"/>
        <v>0</v>
      </c>
      <c r="J176" s="541"/>
      <c r="K176" s="542"/>
    </row>
    <row r="177" spans="1:11">
      <c r="A177" s="14" t="str">
        <f t="shared" si="45"/>
        <v/>
      </c>
      <c r="B177" s="231"/>
      <c r="C177" s="386"/>
      <c r="D177" s="387"/>
      <c r="E177" s="388"/>
      <c r="F177" s="389"/>
      <c r="G177" s="17">
        <f t="shared" si="46"/>
        <v>0</v>
      </c>
      <c r="H177" s="17">
        <f t="shared" si="47"/>
        <v>0</v>
      </c>
      <c r="I177" s="17">
        <f t="shared" si="48"/>
        <v>0</v>
      </c>
      <c r="J177" s="541"/>
      <c r="K177" s="542"/>
    </row>
    <row r="178" spans="1:11">
      <c r="A178" s="14" t="str">
        <f t="shared" si="45"/>
        <v/>
      </c>
      <c r="B178" s="231"/>
      <c r="C178" s="386"/>
      <c r="D178" s="387"/>
      <c r="E178" s="388"/>
      <c r="F178" s="389"/>
      <c r="G178" s="17">
        <f t="shared" si="46"/>
        <v>0</v>
      </c>
      <c r="H178" s="17">
        <f t="shared" si="47"/>
        <v>0</v>
      </c>
      <c r="I178" s="17">
        <f t="shared" si="48"/>
        <v>0</v>
      </c>
      <c r="J178" s="541"/>
      <c r="K178" s="542"/>
    </row>
    <row r="179" spans="1:11">
      <c r="A179" s="14" t="str">
        <f t="shared" si="45"/>
        <v/>
      </c>
      <c r="B179" s="231"/>
      <c r="C179" s="386"/>
      <c r="D179" s="387"/>
      <c r="E179" s="388"/>
      <c r="F179" s="389"/>
      <c r="G179" s="17">
        <f t="shared" si="46"/>
        <v>0</v>
      </c>
      <c r="H179" s="17">
        <f t="shared" si="47"/>
        <v>0</v>
      </c>
      <c r="I179" s="17">
        <f t="shared" si="48"/>
        <v>0</v>
      </c>
      <c r="J179" s="541"/>
      <c r="K179" s="542"/>
    </row>
    <row r="180" spans="1:11">
      <c r="A180" s="14" t="str">
        <f t="shared" si="45"/>
        <v/>
      </c>
      <c r="B180" s="231"/>
      <c r="C180" s="386"/>
      <c r="D180" s="387"/>
      <c r="E180" s="388"/>
      <c r="F180" s="389"/>
      <c r="G180" s="17">
        <f t="shared" si="46"/>
        <v>0</v>
      </c>
      <c r="H180" s="17">
        <f t="shared" si="47"/>
        <v>0</v>
      </c>
      <c r="I180" s="17">
        <f t="shared" si="48"/>
        <v>0</v>
      </c>
      <c r="J180" s="541"/>
      <c r="K180" s="542"/>
    </row>
    <row r="181" spans="1:11">
      <c r="A181" s="14" t="str">
        <f t="shared" si="45"/>
        <v/>
      </c>
      <c r="B181" s="231"/>
      <c r="C181" s="386"/>
      <c r="D181" s="387"/>
      <c r="E181" s="388"/>
      <c r="F181" s="389"/>
      <c r="G181" s="17">
        <f t="shared" si="46"/>
        <v>0</v>
      </c>
      <c r="H181" s="17">
        <f t="shared" si="47"/>
        <v>0</v>
      </c>
      <c r="I181" s="17">
        <f t="shared" si="48"/>
        <v>0</v>
      </c>
      <c r="J181" s="541"/>
      <c r="K181" s="542"/>
    </row>
    <row r="182" spans="1:11">
      <c r="A182" s="14" t="str">
        <f t="shared" si="45"/>
        <v/>
      </c>
      <c r="B182" s="231"/>
      <c r="C182" s="386"/>
      <c r="D182" s="387"/>
      <c r="E182" s="388"/>
      <c r="F182" s="389"/>
      <c r="G182" s="17">
        <f t="shared" si="46"/>
        <v>0</v>
      </c>
      <c r="H182" s="17">
        <f t="shared" si="47"/>
        <v>0</v>
      </c>
      <c r="I182" s="17">
        <f t="shared" si="48"/>
        <v>0</v>
      </c>
      <c r="J182" s="541"/>
      <c r="K182" s="542"/>
    </row>
    <row r="183" spans="1:11">
      <c r="A183" s="14" t="str">
        <f t="shared" si="45"/>
        <v/>
      </c>
      <c r="B183" s="231"/>
      <c r="C183" s="386"/>
      <c r="D183" s="387"/>
      <c r="E183" s="388"/>
      <c r="F183" s="389"/>
      <c r="G183" s="17">
        <f t="shared" si="46"/>
        <v>0</v>
      </c>
      <c r="H183" s="17">
        <f t="shared" si="47"/>
        <v>0</v>
      </c>
      <c r="I183" s="17">
        <f t="shared" si="48"/>
        <v>0</v>
      </c>
      <c r="J183" s="541"/>
      <c r="K183" s="542"/>
    </row>
    <row r="184" spans="1:11" ht="13.5" thickBot="1">
      <c r="A184" s="14" t="str">
        <f t="shared" si="45"/>
        <v/>
      </c>
      <c r="B184" s="390"/>
      <c r="C184" s="391"/>
      <c r="D184" s="392"/>
      <c r="E184" s="393"/>
      <c r="F184" s="394"/>
      <c r="G184" s="378">
        <f t="shared" si="46"/>
        <v>0</v>
      </c>
      <c r="H184" s="378">
        <f t="shared" si="47"/>
        <v>0</v>
      </c>
      <c r="I184" s="378">
        <f t="shared" si="48"/>
        <v>0</v>
      </c>
      <c r="J184" s="545"/>
      <c r="K184" s="546"/>
    </row>
    <row r="185" spans="1:11" ht="13.5" thickBot="1">
      <c r="A185" s="14" t="str">
        <f>IF(COUNTIF(A187:A201,"Nur Tätigkeiten mit geplantem Aufwand")&gt;0,"Nur Tätigkeiten mit geplantem Aufwand","")</f>
        <v/>
      </c>
      <c r="B185" s="405"/>
      <c r="C185" s="405"/>
      <c r="D185" s="405"/>
      <c r="E185" s="405"/>
      <c r="F185" s="405"/>
      <c r="G185" s="405"/>
      <c r="H185" s="405"/>
      <c r="I185" s="405"/>
      <c r="J185" s="547"/>
      <c r="K185" s="547"/>
    </row>
    <row r="186" spans="1:11" ht="13.5" thickBot="1">
      <c r="A186" s="14" t="str">
        <f>IF(COUNTIF(A187:A201,"Nur Tätigkeiten mit geplantem Aufwand")&gt;0,"Nur Tätigkeiten mit geplantem Aufwand","")</f>
        <v/>
      </c>
      <c r="B186" s="379" t="s">
        <v>227</v>
      </c>
      <c r="C186" s="380"/>
      <c r="D186" s="380"/>
      <c r="E186" s="380"/>
      <c r="F186" s="380"/>
      <c r="G186" s="381">
        <f>SUM(G187:G201)</f>
        <v>0</v>
      </c>
      <c r="H186" s="381">
        <f>SUM(H187:H201)</f>
        <v>0</v>
      </c>
      <c r="I186" s="381">
        <f>SUM(I187:I201)</f>
        <v>0</v>
      </c>
      <c r="J186" s="548"/>
      <c r="K186" s="549"/>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0"/>
      <c r="K187" s="551"/>
    </row>
    <row r="188" spans="1:11">
      <c r="A188" s="14" t="str">
        <f t="shared" si="49"/>
        <v/>
      </c>
      <c r="B188" s="231"/>
      <c r="C188" s="386"/>
      <c r="D188" s="387"/>
      <c r="E188" s="388"/>
      <c r="F188" s="389"/>
      <c r="G188" s="17">
        <f t="shared" si="50"/>
        <v>0</v>
      </c>
      <c r="H188" s="17">
        <f t="shared" si="51"/>
        <v>0</v>
      </c>
      <c r="I188" s="17">
        <f t="shared" si="52"/>
        <v>0</v>
      </c>
      <c r="J188" s="541"/>
      <c r="K188" s="542"/>
    </row>
    <row r="189" spans="1:11">
      <c r="A189" s="14" t="str">
        <f t="shared" si="49"/>
        <v/>
      </c>
      <c r="B189" s="231"/>
      <c r="C189" s="386"/>
      <c r="D189" s="387"/>
      <c r="E189" s="388"/>
      <c r="F189" s="389"/>
      <c r="G189" s="17">
        <f t="shared" si="50"/>
        <v>0</v>
      </c>
      <c r="H189" s="17">
        <f t="shared" si="51"/>
        <v>0</v>
      </c>
      <c r="I189" s="17">
        <f t="shared" si="52"/>
        <v>0</v>
      </c>
      <c r="J189" s="543"/>
      <c r="K189" s="544"/>
    </row>
    <row r="190" spans="1:11">
      <c r="A190" s="14" t="str">
        <f t="shared" si="49"/>
        <v/>
      </c>
      <c r="B190" s="231"/>
      <c r="C190" s="386"/>
      <c r="D190" s="387"/>
      <c r="E190" s="388"/>
      <c r="F190" s="389"/>
      <c r="G190" s="17">
        <f t="shared" si="50"/>
        <v>0</v>
      </c>
      <c r="H190" s="17">
        <f t="shared" si="51"/>
        <v>0</v>
      </c>
      <c r="I190" s="17">
        <f t="shared" si="52"/>
        <v>0</v>
      </c>
      <c r="J190" s="541"/>
      <c r="K190" s="542"/>
    </row>
    <row r="191" spans="1:11">
      <c r="A191" s="14" t="str">
        <f t="shared" si="49"/>
        <v/>
      </c>
      <c r="B191" s="231"/>
      <c r="C191" s="386"/>
      <c r="D191" s="387"/>
      <c r="E191" s="388"/>
      <c r="F191" s="389"/>
      <c r="G191" s="17">
        <f t="shared" si="50"/>
        <v>0</v>
      </c>
      <c r="H191" s="17">
        <f t="shared" si="51"/>
        <v>0</v>
      </c>
      <c r="I191" s="17">
        <f t="shared" si="52"/>
        <v>0</v>
      </c>
      <c r="J191" s="541"/>
      <c r="K191" s="542"/>
    </row>
    <row r="192" spans="1:11">
      <c r="A192" s="14" t="str">
        <f t="shared" si="49"/>
        <v/>
      </c>
      <c r="B192" s="231"/>
      <c r="C192" s="386"/>
      <c r="D192" s="387"/>
      <c r="E192" s="388"/>
      <c r="F192" s="389"/>
      <c r="G192" s="17">
        <f t="shared" si="50"/>
        <v>0</v>
      </c>
      <c r="H192" s="17">
        <f t="shared" si="51"/>
        <v>0</v>
      </c>
      <c r="I192" s="17">
        <f t="shared" si="52"/>
        <v>0</v>
      </c>
      <c r="J192" s="541"/>
      <c r="K192" s="542"/>
    </row>
    <row r="193" spans="1:11">
      <c r="A193" s="14" t="str">
        <f t="shared" si="49"/>
        <v/>
      </c>
      <c r="B193" s="231"/>
      <c r="C193" s="386"/>
      <c r="D193" s="387"/>
      <c r="E193" s="388"/>
      <c r="F193" s="389"/>
      <c r="G193" s="17">
        <f t="shared" si="50"/>
        <v>0</v>
      </c>
      <c r="H193" s="17">
        <f t="shared" si="51"/>
        <v>0</v>
      </c>
      <c r="I193" s="17">
        <f t="shared" si="52"/>
        <v>0</v>
      </c>
      <c r="J193" s="541"/>
      <c r="K193" s="542"/>
    </row>
    <row r="194" spans="1:11">
      <c r="A194" s="14" t="str">
        <f t="shared" si="49"/>
        <v/>
      </c>
      <c r="B194" s="231"/>
      <c r="C194" s="386"/>
      <c r="D194" s="387"/>
      <c r="E194" s="388"/>
      <c r="F194" s="389"/>
      <c r="G194" s="17">
        <f t="shared" si="50"/>
        <v>0</v>
      </c>
      <c r="H194" s="17">
        <f t="shared" si="51"/>
        <v>0</v>
      </c>
      <c r="I194" s="17">
        <f t="shared" si="52"/>
        <v>0</v>
      </c>
      <c r="J194" s="541"/>
      <c r="K194" s="542"/>
    </row>
    <row r="195" spans="1:11">
      <c r="A195" s="14" t="str">
        <f t="shared" si="49"/>
        <v/>
      </c>
      <c r="B195" s="231"/>
      <c r="C195" s="386"/>
      <c r="D195" s="387"/>
      <c r="E195" s="388"/>
      <c r="F195" s="389"/>
      <c r="G195" s="17">
        <f t="shared" si="50"/>
        <v>0</v>
      </c>
      <c r="H195" s="17">
        <f t="shared" si="51"/>
        <v>0</v>
      </c>
      <c r="I195" s="17">
        <f t="shared" si="52"/>
        <v>0</v>
      </c>
      <c r="J195" s="541"/>
      <c r="K195" s="542"/>
    </row>
    <row r="196" spans="1:11">
      <c r="A196" s="14" t="str">
        <f t="shared" si="49"/>
        <v/>
      </c>
      <c r="B196" s="231"/>
      <c r="C196" s="386"/>
      <c r="D196" s="387"/>
      <c r="E196" s="388"/>
      <c r="F196" s="389"/>
      <c r="G196" s="17">
        <f t="shared" si="50"/>
        <v>0</v>
      </c>
      <c r="H196" s="17">
        <f t="shared" si="51"/>
        <v>0</v>
      </c>
      <c r="I196" s="17">
        <f t="shared" si="52"/>
        <v>0</v>
      </c>
      <c r="J196" s="541"/>
      <c r="K196" s="542"/>
    </row>
    <row r="197" spans="1:11">
      <c r="A197" s="14" t="str">
        <f t="shared" si="49"/>
        <v/>
      </c>
      <c r="B197" s="231"/>
      <c r="C197" s="386"/>
      <c r="D197" s="387"/>
      <c r="E197" s="388"/>
      <c r="F197" s="389"/>
      <c r="G197" s="17">
        <f t="shared" si="50"/>
        <v>0</v>
      </c>
      <c r="H197" s="17">
        <f t="shared" si="51"/>
        <v>0</v>
      </c>
      <c r="I197" s="17">
        <f t="shared" si="52"/>
        <v>0</v>
      </c>
      <c r="J197" s="541"/>
      <c r="K197" s="542"/>
    </row>
    <row r="198" spans="1:11">
      <c r="A198" s="14" t="str">
        <f t="shared" si="49"/>
        <v/>
      </c>
      <c r="B198" s="231"/>
      <c r="C198" s="386"/>
      <c r="D198" s="387"/>
      <c r="E198" s="388"/>
      <c r="F198" s="389"/>
      <c r="G198" s="17">
        <f t="shared" si="50"/>
        <v>0</v>
      </c>
      <c r="H198" s="17">
        <f t="shared" si="51"/>
        <v>0</v>
      </c>
      <c r="I198" s="17">
        <f t="shared" si="52"/>
        <v>0</v>
      </c>
      <c r="J198" s="541"/>
      <c r="K198" s="542"/>
    </row>
    <row r="199" spans="1:11">
      <c r="A199" s="14" t="str">
        <f t="shared" si="49"/>
        <v/>
      </c>
      <c r="B199" s="231"/>
      <c r="C199" s="386"/>
      <c r="D199" s="387"/>
      <c r="E199" s="388"/>
      <c r="F199" s="389"/>
      <c r="G199" s="17">
        <f t="shared" si="50"/>
        <v>0</v>
      </c>
      <c r="H199" s="17">
        <f t="shared" si="51"/>
        <v>0</v>
      </c>
      <c r="I199" s="17">
        <f t="shared" si="52"/>
        <v>0</v>
      </c>
      <c r="J199" s="541"/>
      <c r="K199" s="542"/>
    </row>
    <row r="200" spans="1:11">
      <c r="A200" s="14" t="str">
        <f t="shared" si="49"/>
        <v/>
      </c>
      <c r="B200" s="231"/>
      <c r="C200" s="386"/>
      <c r="D200" s="387"/>
      <c r="E200" s="388"/>
      <c r="F200" s="389"/>
      <c r="G200" s="17">
        <f t="shared" si="50"/>
        <v>0</v>
      </c>
      <c r="H200" s="17">
        <f t="shared" si="51"/>
        <v>0</v>
      </c>
      <c r="I200" s="17">
        <f t="shared" si="52"/>
        <v>0</v>
      </c>
      <c r="J200" s="541"/>
      <c r="K200" s="542"/>
    </row>
    <row r="201" spans="1:11" ht="13.5" thickBot="1">
      <c r="A201" s="14" t="str">
        <f t="shared" si="49"/>
        <v/>
      </c>
      <c r="B201" s="390"/>
      <c r="C201" s="391"/>
      <c r="D201" s="392"/>
      <c r="E201" s="393"/>
      <c r="F201" s="394"/>
      <c r="G201" s="378">
        <f t="shared" si="50"/>
        <v>0</v>
      </c>
      <c r="H201" s="378">
        <f t="shared" si="51"/>
        <v>0</v>
      </c>
      <c r="I201" s="378">
        <f t="shared" si="52"/>
        <v>0</v>
      </c>
      <c r="J201" s="545"/>
      <c r="K201" s="546"/>
    </row>
    <row r="202" spans="1:11" ht="13.5" thickBot="1">
      <c r="A202" s="14" t="str">
        <f>IF(COUNTIF(A204:A218,"Nur Tätigkeiten mit geplantem Aufwand")&gt;0,"Nur Tätigkeiten mit geplantem Aufwand","")</f>
        <v/>
      </c>
      <c r="B202" s="405"/>
      <c r="C202" s="405"/>
      <c r="D202" s="405"/>
      <c r="E202" s="405"/>
      <c r="F202" s="405"/>
      <c r="G202" s="405"/>
      <c r="H202" s="405"/>
      <c r="I202" s="405"/>
      <c r="J202" s="547"/>
      <c r="K202" s="547"/>
    </row>
    <row r="203" spans="1:11" ht="13.5" thickBot="1">
      <c r="A203" s="14" t="str">
        <f>IF(COUNTIF(A204:A218,"Nur Tätigkeiten mit geplantem Aufwand")&gt;0,"Nur Tätigkeiten mit geplantem Aufwand","")</f>
        <v/>
      </c>
      <c r="B203" s="379" t="s">
        <v>228</v>
      </c>
      <c r="C203" s="380"/>
      <c r="D203" s="380"/>
      <c r="E203" s="380"/>
      <c r="F203" s="380"/>
      <c r="G203" s="381">
        <f>SUM(G204:G218)</f>
        <v>0</v>
      </c>
      <c r="H203" s="381">
        <f>SUM(H204:H218)</f>
        <v>0</v>
      </c>
      <c r="I203" s="381">
        <f>SUM(I204:I218)</f>
        <v>0</v>
      </c>
      <c r="J203" s="548"/>
      <c r="K203" s="549"/>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0"/>
      <c r="K204" s="551"/>
    </row>
    <row r="205" spans="1:11">
      <c r="A205" s="14" t="str">
        <f t="shared" si="53"/>
        <v/>
      </c>
      <c r="B205" s="231"/>
      <c r="C205" s="386"/>
      <c r="D205" s="387"/>
      <c r="E205" s="388"/>
      <c r="F205" s="389"/>
      <c r="G205" s="17">
        <f t="shared" si="54"/>
        <v>0</v>
      </c>
      <c r="H205" s="17">
        <f t="shared" si="55"/>
        <v>0</v>
      </c>
      <c r="I205" s="17">
        <f t="shared" si="56"/>
        <v>0</v>
      </c>
      <c r="J205" s="541"/>
      <c r="K205" s="542"/>
    </row>
    <row r="206" spans="1:11">
      <c r="A206" s="14" t="str">
        <f t="shared" si="53"/>
        <v/>
      </c>
      <c r="B206" s="231"/>
      <c r="C206" s="386"/>
      <c r="D206" s="387"/>
      <c r="E206" s="388"/>
      <c r="F206" s="389"/>
      <c r="G206" s="17">
        <f t="shared" si="54"/>
        <v>0</v>
      </c>
      <c r="H206" s="17">
        <f t="shared" si="55"/>
        <v>0</v>
      </c>
      <c r="I206" s="17">
        <f t="shared" si="56"/>
        <v>0</v>
      </c>
      <c r="J206" s="543"/>
      <c r="K206" s="544"/>
    </row>
    <row r="207" spans="1:11">
      <c r="A207" s="14" t="str">
        <f t="shared" si="53"/>
        <v/>
      </c>
      <c r="B207" s="231"/>
      <c r="C207" s="386"/>
      <c r="D207" s="387"/>
      <c r="E207" s="388"/>
      <c r="F207" s="389"/>
      <c r="G207" s="17">
        <f t="shared" si="54"/>
        <v>0</v>
      </c>
      <c r="H207" s="17">
        <f t="shared" si="55"/>
        <v>0</v>
      </c>
      <c r="I207" s="17">
        <f t="shared" si="56"/>
        <v>0</v>
      </c>
      <c r="J207" s="541"/>
      <c r="K207" s="542"/>
    </row>
    <row r="208" spans="1:11">
      <c r="A208" s="14" t="str">
        <f t="shared" si="53"/>
        <v/>
      </c>
      <c r="B208" s="231"/>
      <c r="C208" s="386"/>
      <c r="D208" s="387"/>
      <c r="E208" s="388"/>
      <c r="F208" s="389"/>
      <c r="G208" s="17">
        <f t="shared" si="54"/>
        <v>0</v>
      </c>
      <c r="H208" s="17">
        <f t="shared" si="55"/>
        <v>0</v>
      </c>
      <c r="I208" s="17">
        <f t="shared" si="56"/>
        <v>0</v>
      </c>
      <c r="J208" s="541"/>
      <c r="K208" s="542"/>
    </row>
    <row r="209" spans="1:11">
      <c r="A209" s="14" t="str">
        <f t="shared" si="53"/>
        <v/>
      </c>
      <c r="B209" s="231"/>
      <c r="C209" s="386"/>
      <c r="D209" s="387"/>
      <c r="E209" s="388"/>
      <c r="F209" s="389"/>
      <c r="G209" s="17">
        <f t="shared" si="54"/>
        <v>0</v>
      </c>
      <c r="H209" s="17">
        <f t="shared" si="55"/>
        <v>0</v>
      </c>
      <c r="I209" s="17">
        <f t="shared" si="56"/>
        <v>0</v>
      </c>
      <c r="J209" s="541"/>
      <c r="K209" s="542"/>
    </row>
    <row r="210" spans="1:11">
      <c r="A210" s="14" t="str">
        <f t="shared" si="53"/>
        <v/>
      </c>
      <c r="B210" s="231"/>
      <c r="C210" s="386"/>
      <c r="D210" s="387"/>
      <c r="E210" s="388"/>
      <c r="F210" s="389"/>
      <c r="G210" s="17">
        <f t="shared" si="54"/>
        <v>0</v>
      </c>
      <c r="H210" s="17">
        <f t="shared" si="55"/>
        <v>0</v>
      </c>
      <c r="I210" s="17">
        <f t="shared" si="56"/>
        <v>0</v>
      </c>
      <c r="J210" s="541"/>
      <c r="K210" s="542"/>
    </row>
    <row r="211" spans="1:11">
      <c r="A211" s="14" t="str">
        <f t="shared" si="53"/>
        <v/>
      </c>
      <c r="B211" s="231"/>
      <c r="C211" s="386"/>
      <c r="D211" s="387"/>
      <c r="E211" s="388"/>
      <c r="F211" s="389"/>
      <c r="G211" s="17">
        <f t="shared" si="54"/>
        <v>0</v>
      </c>
      <c r="H211" s="17">
        <f t="shared" si="55"/>
        <v>0</v>
      </c>
      <c r="I211" s="17">
        <f t="shared" si="56"/>
        <v>0</v>
      </c>
      <c r="J211" s="541"/>
      <c r="K211" s="542"/>
    </row>
    <row r="212" spans="1:11">
      <c r="A212" s="14" t="str">
        <f t="shared" si="53"/>
        <v/>
      </c>
      <c r="B212" s="231"/>
      <c r="C212" s="386"/>
      <c r="D212" s="387"/>
      <c r="E212" s="388"/>
      <c r="F212" s="389"/>
      <c r="G212" s="17">
        <f t="shared" si="54"/>
        <v>0</v>
      </c>
      <c r="H212" s="17">
        <f t="shared" si="55"/>
        <v>0</v>
      </c>
      <c r="I212" s="17">
        <f t="shared" si="56"/>
        <v>0</v>
      </c>
      <c r="J212" s="541"/>
      <c r="K212" s="542"/>
    </row>
    <row r="213" spans="1:11">
      <c r="A213" s="14" t="str">
        <f t="shared" si="53"/>
        <v/>
      </c>
      <c r="B213" s="231"/>
      <c r="C213" s="386"/>
      <c r="D213" s="387"/>
      <c r="E213" s="388"/>
      <c r="F213" s="389"/>
      <c r="G213" s="17">
        <f t="shared" si="54"/>
        <v>0</v>
      </c>
      <c r="H213" s="17">
        <f t="shared" si="55"/>
        <v>0</v>
      </c>
      <c r="I213" s="17">
        <f t="shared" si="56"/>
        <v>0</v>
      </c>
      <c r="J213" s="541"/>
      <c r="K213" s="542"/>
    </row>
    <row r="214" spans="1:11">
      <c r="A214" s="14" t="str">
        <f t="shared" si="53"/>
        <v/>
      </c>
      <c r="B214" s="231"/>
      <c r="C214" s="386"/>
      <c r="D214" s="387"/>
      <c r="E214" s="388"/>
      <c r="F214" s="389"/>
      <c r="G214" s="17">
        <f t="shared" si="54"/>
        <v>0</v>
      </c>
      <c r="H214" s="17">
        <f t="shared" si="55"/>
        <v>0</v>
      </c>
      <c r="I214" s="17">
        <f t="shared" si="56"/>
        <v>0</v>
      </c>
      <c r="J214" s="541"/>
      <c r="K214" s="542"/>
    </row>
    <row r="215" spans="1:11">
      <c r="A215" s="14" t="str">
        <f t="shared" si="53"/>
        <v/>
      </c>
      <c r="B215" s="231"/>
      <c r="C215" s="386"/>
      <c r="D215" s="387"/>
      <c r="E215" s="388"/>
      <c r="F215" s="389"/>
      <c r="G215" s="17">
        <f t="shared" si="54"/>
        <v>0</v>
      </c>
      <c r="H215" s="17">
        <f t="shared" si="55"/>
        <v>0</v>
      </c>
      <c r="I215" s="17">
        <f t="shared" si="56"/>
        <v>0</v>
      </c>
      <c r="J215" s="541"/>
      <c r="K215" s="542"/>
    </row>
    <row r="216" spans="1:11">
      <c r="A216" s="14" t="str">
        <f t="shared" si="53"/>
        <v/>
      </c>
      <c r="B216" s="231"/>
      <c r="C216" s="386"/>
      <c r="D216" s="387"/>
      <c r="E216" s="388"/>
      <c r="F216" s="389"/>
      <c r="G216" s="17">
        <f t="shared" si="54"/>
        <v>0</v>
      </c>
      <c r="H216" s="17">
        <f t="shared" si="55"/>
        <v>0</v>
      </c>
      <c r="I216" s="17">
        <f t="shared" si="56"/>
        <v>0</v>
      </c>
      <c r="J216" s="541"/>
      <c r="K216" s="542"/>
    </row>
    <row r="217" spans="1:11">
      <c r="A217" s="14" t="str">
        <f t="shared" si="53"/>
        <v/>
      </c>
      <c r="B217" s="231"/>
      <c r="C217" s="386"/>
      <c r="D217" s="387"/>
      <c r="E217" s="388"/>
      <c r="F217" s="389"/>
      <c r="G217" s="17">
        <f t="shared" si="54"/>
        <v>0</v>
      </c>
      <c r="H217" s="17">
        <f t="shared" si="55"/>
        <v>0</v>
      </c>
      <c r="I217" s="17">
        <f t="shared" si="56"/>
        <v>0</v>
      </c>
      <c r="J217" s="541"/>
      <c r="K217" s="542"/>
    </row>
    <row r="218" spans="1:11" ht="13.5" thickBot="1">
      <c r="A218" s="14" t="str">
        <f t="shared" si="53"/>
        <v/>
      </c>
      <c r="B218" s="390"/>
      <c r="C218" s="391"/>
      <c r="D218" s="392"/>
      <c r="E218" s="393"/>
      <c r="F218" s="394"/>
      <c r="G218" s="378">
        <f t="shared" si="54"/>
        <v>0</v>
      </c>
      <c r="H218" s="378">
        <f t="shared" si="55"/>
        <v>0</v>
      </c>
      <c r="I218" s="378">
        <f t="shared" si="56"/>
        <v>0</v>
      </c>
      <c r="J218" s="545"/>
      <c r="K218" s="546"/>
    </row>
    <row r="219" spans="1:11" ht="13.5" thickBot="1">
      <c r="A219" s="14" t="str">
        <f>IF(COUNTIF(A221:A235,"Nur Tätigkeiten mit geplantem Aufwand")&gt;0,"Nur Tätigkeiten mit geplantem Aufwand","")</f>
        <v/>
      </c>
      <c r="B219" s="405"/>
      <c r="C219" s="405"/>
      <c r="D219" s="405"/>
      <c r="E219" s="405"/>
      <c r="F219" s="405"/>
      <c r="G219" s="405"/>
      <c r="H219" s="405"/>
      <c r="I219" s="405"/>
      <c r="J219" s="547"/>
      <c r="K219" s="547"/>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48"/>
      <c r="K220" s="549"/>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0"/>
      <c r="K221" s="551"/>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1"/>
      <c r="K222" s="542"/>
    </row>
    <row r="223" spans="1:11">
      <c r="A223" s="14" t="str">
        <f t="shared" si="60"/>
        <v/>
      </c>
      <c r="B223" s="231"/>
      <c r="C223" s="386"/>
      <c r="D223" s="387"/>
      <c r="E223" s="388"/>
      <c r="F223" s="389"/>
      <c r="G223" s="17">
        <f t="shared" si="57"/>
        <v>0</v>
      </c>
      <c r="H223" s="17">
        <f t="shared" si="58"/>
        <v>0</v>
      </c>
      <c r="I223" s="17">
        <f t="shared" si="59"/>
        <v>0</v>
      </c>
      <c r="J223" s="543"/>
      <c r="K223" s="544"/>
    </row>
    <row r="224" spans="1:11">
      <c r="A224" s="14" t="str">
        <f t="shared" si="60"/>
        <v/>
      </c>
      <c r="B224" s="231"/>
      <c r="C224" s="386"/>
      <c r="D224" s="387"/>
      <c r="E224" s="388"/>
      <c r="F224" s="389"/>
      <c r="G224" s="17">
        <f t="shared" si="57"/>
        <v>0</v>
      </c>
      <c r="H224" s="17">
        <f t="shared" si="58"/>
        <v>0</v>
      </c>
      <c r="I224" s="17">
        <f t="shared" si="59"/>
        <v>0</v>
      </c>
      <c r="J224" s="541"/>
      <c r="K224" s="542"/>
    </row>
    <row r="225" spans="1:11">
      <c r="A225" s="14" t="str">
        <f t="shared" si="60"/>
        <v/>
      </c>
      <c r="B225" s="231"/>
      <c r="C225" s="386"/>
      <c r="D225" s="387"/>
      <c r="E225" s="388"/>
      <c r="F225" s="389"/>
      <c r="G225" s="17">
        <f t="shared" si="57"/>
        <v>0</v>
      </c>
      <c r="H225" s="17">
        <f t="shared" si="58"/>
        <v>0</v>
      </c>
      <c r="I225" s="17">
        <f t="shared" si="59"/>
        <v>0</v>
      </c>
      <c r="J225" s="541"/>
      <c r="K225" s="542"/>
    </row>
    <row r="226" spans="1:11">
      <c r="A226" s="14" t="str">
        <f t="shared" si="60"/>
        <v/>
      </c>
      <c r="B226" s="231"/>
      <c r="C226" s="386"/>
      <c r="D226" s="387"/>
      <c r="E226" s="388"/>
      <c r="F226" s="389"/>
      <c r="G226" s="17">
        <f t="shared" si="57"/>
        <v>0</v>
      </c>
      <c r="H226" s="17">
        <f t="shared" si="58"/>
        <v>0</v>
      </c>
      <c r="I226" s="17">
        <f t="shared" si="59"/>
        <v>0</v>
      </c>
      <c r="J226" s="541"/>
      <c r="K226" s="542"/>
    </row>
    <row r="227" spans="1:11">
      <c r="A227" s="14" t="str">
        <f t="shared" si="60"/>
        <v/>
      </c>
      <c r="B227" s="231"/>
      <c r="C227" s="386"/>
      <c r="D227" s="387"/>
      <c r="E227" s="388"/>
      <c r="F227" s="389"/>
      <c r="G227" s="17">
        <f t="shared" si="57"/>
        <v>0</v>
      </c>
      <c r="H227" s="17">
        <f t="shared" si="58"/>
        <v>0</v>
      </c>
      <c r="I227" s="17">
        <f t="shared" si="59"/>
        <v>0</v>
      </c>
      <c r="J227" s="541"/>
      <c r="K227" s="542"/>
    </row>
    <row r="228" spans="1:11">
      <c r="A228" s="14" t="str">
        <f t="shared" si="60"/>
        <v/>
      </c>
      <c r="B228" s="231"/>
      <c r="C228" s="386"/>
      <c r="D228" s="387"/>
      <c r="E228" s="388"/>
      <c r="F228" s="389"/>
      <c r="G228" s="17">
        <f t="shared" si="57"/>
        <v>0</v>
      </c>
      <c r="H228" s="17">
        <f t="shared" si="58"/>
        <v>0</v>
      </c>
      <c r="I228" s="17">
        <f t="shared" si="59"/>
        <v>0</v>
      </c>
      <c r="J228" s="541"/>
      <c r="K228" s="542"/>
    </row>
    <row r="229" spans="1:11">
      <c r="A229" s="14" t="str">
        <f t="shared" si="60"/>
        <v/>
      </c>
      <c r="B229" s="231"/>
      <c r="C229" s="386"/>
      <c r="D229" s="387"/>
      <c r="E229" s="388"/>
      <c r="F229" s="389"/>
      <c r="G229" s="17">
        <f t="shared" si="57"/>
        <v>0</v>
      </c>
      <c r="H229" s="17">
        <f t="shared" si="58"/>
        <v>0</v>
      </c>
      <c r="I229" s="17">
        <f t="shared" si="59"/>
        <v>0</v>
      </c>
      <c r="J229" s="541"/>
      <c r="K229" s="542"/>
    </row>
    <row r="230" spans="1:11">
      <c r="A230" s="14" t="str">
        <f t="shared" si="60"/>
        <v/>
      </c>
      <c r="B230" s="231"/>
      <c r="C230" s="386"/>
      <c r="D230" s="387"/>
      <c r="E230" s="388"/>
      <c r="F230" s="389"/>
      <c r="G230" s="17">
        <f t="shared" si="57"/>
        <v>0</v>
      </c>
      <c r="H230" s="17">
        <f t="shared" si="58"/>
        <v>0</v>
      </c>
      <c r="I230" s="17">
        <f t="shared" si="59"/>
        <v>0</v>
      </c>
      <c r="J230" s="541"/>
      <c r="K230" s="542"/>
    </row>
    <row r="231" spans="1:11">
      <c r="A231" s="14" t="str">
        <f t="shared" si="60"/>
        <v/>
      </c>
      <c r="B231" s="231"/>
      <c r="C231" s="386"/>
      <c r="D231" s="387"/>
      <c r="E231" s="388"/>
      <c r="F231" s="389"/>
      <c r="G231" s="17">
        <f t="shared" si="57"/>
        <v>0</v>
      </c>
      <c r="H231" s="17">
        <f t="shared" si="58"/>
        <v>0</v>
      </c>
      <c r="I231" s="17">
        <f t="shared" si="59"/>
        <v>0</v>
      </c>
      <c r="J231" s="541"/>
      <c r="K231" s="542"/>
    </row>
    <row r="232" spans="1:11">
      <c r="A232" s="14" t="str">
        <f t="shared" si="60"/>
        <v/>
      </c>
      <c r="B232" s="231"/>
      <c r="C232" s="386"/>
      <c r="D232" s="387"/>
      <c r="E232" s="388"/>
      <c r="F232" s="389"/>
      <c r="G232" s="17">
        <f t="shared" si="57"/>
        <v>0</v>
      </c>
      <c r="H232" s="17">
        <f t="shared" si="58"/>
        <v>0</v>
      </c>
      <c r="I232" s="17">
        <f t="shared" si="59"/>
        <v>0</v>
      </c>
      <c r="J232" s="541"/>
      <c r="K232" s="542"/>
    </row>
    <row r="233" spans="1:11">
      <c r="A233" s="14" t="str">
        <f t="shared" si="60"/>
        <v/>
      </c>
      <c r="B233" s="231"/>
      <c r="C233" s="386"/>
      <c r="D233" s="387"/>
      <c r="E233" s="388"/>
      <c r="F233" s="389"/>
      <c r="G233" s="17">
        <f t="shared" si="57"/>
        <v>0</v>
      </c>
      <c r="H233" s="17">
        <f t="shared" si="58"/>
        <v>0</v>
      </c>
      <c r="I233" s="17">
        <f t="shared" si="59"/>
        <v>0</v>
      </c>
      <c r="J233" s="541"/>
      <c r="K233" s="542"/>
    </row>
    <row r="234" spans="1:11">
      <c r="A234" s="14" t="str">
        <f t="shared" si="60"/>
        <v/>
      </c>
      <c r="B234" s="231"/>
      <c r="C234" s="386"/>
      <c r="D234" s="387"/>
      <c r="E234" s="388"/>
      <c r="F234" s="389"/>
      <c r="G234" s="17">
        <f t="shared" si="57"/>
        <v>0</v>
      </c>
      <c r="H234" s="17">
        <f t="shared" si="58"/>
        <v>0</v>
      </c>
      <c r="I234" s="17">
        <f t="shared" si="59"/>
        <v>0</v>
      </c>
      <c r="J234" s="541"/>
      <c r="K234" s="542"/>
    </row>
    <row r="235" spans="1:11" ht="13.5" thickBot="1">
      <c r="A235" s="14" t="str">
        <f t="shared" si="60"/>
        <v/>
      </c>
      <c r="B235" s="390"/>
      <c r="C235" s="391"/>
      <c r="D235" s="392"/>
      <c r="E235" s="393"/>
      <c r="F235" s="394"/>
      <c r="G235" s="378">
        <f t="shared" si="57"/>
        <v>0</v>
      </c>
      <c r="H235" s="378">
        <f t="shared" si="58"/>
        <v>0</v>
      </c>
      <c r="I235" s="378">
        <f t="shared" si="59"/>
        <v>0</v>
      </c>
      <c r="J235" s="545"/>
      <c r="K235" s="546"/>
    </row>
    <row r="236" spans="1:11" ht="13.5" thickBot="1">
      <c r="A236" s="14" t="s">
        <v>236</v>
      </c>
      <c r="B236" s="407"/>
      <c r="C236" s="408"/>
      <c r="D236" s="408"/>
      <c r="E236" s="405"/>
      <c r="F236" s="405"/>
      <c r="G236" s="405"/>
      <c r="H236" s="405"/>
      <c r="I236" s="405"/>
      <c r="J236" s="408"/>
      <c r="K236" s="408"/>
    </row>
    <row r="237" spans="1:11">
      <c r="A237" s="14" t="s">
        <v>236</v>
      </c>
      <c r="B237" s="5"/>
      <c r="C237" s="5"/>
      <c r="E237" s="552" t="s">
        <v>242</v>
      </c>
      <c r="F237" s="553"/>
      <c r="G237" s="17">
        <f>G118+G135+G152+G101+G84+G169+G67+G16+G33+G203+G50+G220+G186</f>
        <v>7070</v>
      </c>
      <c r="H237" s="17">
        <f>H118+H135+H152+H101+H84+H169+H67+H16+H33+H203+H50+H220+H186</f>
        <v>5895</v>
      </c>
      <c r="I237" s="406">
        <f>I118+I135+I152+I101+I84+I169+I67+I16+I33+I203+I50+I220+I186</f>
        <v>8245</v>
      </c>
      <c r="J237" s="16"/>
    </row>
    <row r="238" spans="1:11" ht="15">
      <c r="A238" s="14" t="s">
        <v>236</v>
      </c>
      <c r="B238" s="5"/>
      <c r="E238" s="554" t="s">
        <v>243</v>
      </c>
      <c r="F238" s="555"/>
      <c r="G238" s="396">
        <v>0.1</v>
      </c>
      <c r="H238" s="396">
        <v>0.05</v>
      </c>
      <c r="I238" s="397">
        <v>0.15</v>
      </c>
      <c r="J238" s="16"/>
    </row>
    <row r="239" spans="1:11" ht="15.75" thickBot="1">
      <c r="A239" s="14" t="s">
        <v>236</v>
      </c>
      <c r="B239" s="5"/>
      <c r="E239" s="556" t="s">
        <v>244</v>
      </c>
      <c r="F239" s="557"/>
      <c r="G239" s="395">
        <f>G237*(1+G238)</f>
        <v>7777.0000000000009</v>
      </c>
      <c r="H239" s="395">
        <f>H237*(1+H238)</f>
        <v>6189.75</v>
      </c>
      <c r="I239" s="175">
        <f>I237*(1+I238)</f>
        <v>9481.75</v>
      </c>
      <c r="J239" s="16"/>
    </row>
    <row r="240" spans="1:11">
      <c r="B240" s="5"/>
      <c r="F240" s="5"/>
      <c r="G240" s="5"/>
    </row>
    <row r="241" spans="2:2">
      <c r="B241" s="135" t="s">
        <v>372</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 ref="J37:K37"/>
    <mergeCell ref="J38:K38"/>
    <mergeCell ref="J23:K23"/>
    <mergeCell ref="J24:K24"/>
    <mergeCell ref="J25:K25"/>
    <mergeCell ref="J30:K30"/>
    <mergeCell ref="J31:K31"/>
    <mergeCell ref="J32:K32"/>
    <mergeCell ref="J26:K26"/>
    <mergeCell ref="J27:K27"/>
    <mergeCell ref="J28:K28"/>
    <mergeCell ref="J29:K29"/>
    <mergeCell ref="J45:K45"/>
    <mergeCell ref="J46:K46"/>
    <mergeCell ref="J47:K47"/>
    <mergeCell ref="J48:K48"/>
    <mergeCell ref="J49:K49"/>
    <mergeCell ref="J50:K50"/>
    <mergeCell ref="J39:K39"/>
    <mergeCell ref="J40:K40"/>
    <mergeCell ref="J41:K41"/>
    <mergeCell ref="J42:K42"/>
    <mergeCell ref="J43:K43"/>
    <mergeCell ref="J44:K44"/>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118:K118"/>
    <mergeCell ref="J119:K119"/>
    <mergeCell ref="J120:K120"/>
    <mergeCell ref="J121:K121"/>
    <mergeCell ref="J122:K122"/>
    <mergeCell ref="J123:K123"/>
    <mergeCell ref="J112:K112"/>
    <mergeCell ref="J113:K113"/>
    <mergeCell ref="J114:K114"/>
    <mergeCell ref="J115:K115"/>
    <mergeCell ref="J116:K116"/>
    <mergeCell ref="J117:K117"/>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52:K152"/>
    <mergeCell ref="J153:K153"/>
    <mergeCell ref="J154:K154"/>
    <mergeCell ref="J155:K155"/>
    <mergeCell ref="J161:K161"/>
    <mergeCell ref="J162:K162"/>
    <mergeCell ref="J156:K156"/>
    <mergeCell ref="J157:K157"/>
    <mergeCell ref="J158:K158"/>
    <mergeCell ref="J159:K159"/>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202:K202"/>
    <mergeCell ref="J203:K203"/>
    <mergeCell ref="J204:K204"/>
    <mergeCell ref="J205:K205"/>
    <mergeCell ref="J193:K193"/>
    <mergeCell ref="J194:K194"/>
    <mergeCell ref="J195:K195"/>
    <mergeCell ref="J196:K196"/>
    <mergeCell ref="J197:K197"/>
    <mergeCell ref="J198:K198"/>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351</v>
      </c>
      <c r="C1" s="425"/>
      <c r="D1" s="425"/>
      <c r="E1" s="433" t="s">
        <v>129</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5" spans="2:17" ht="13.5" thickBot="1"/>
    <row r="6" spans="2:17" ht="13.5" thickBot="1">
      <c r="B6" s="431" t="s">
        <v>72</v>
      </c>
      <c r="C6" s="435"/>
      <c r="D6" s="435"/>
      <c r="E6" s="432"/>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372</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351</v>
      </c>
      <c r="C1" s="425"/>
      <c r="D1" s="425"/>
      <c r="E1" s="433" t="s">
        <v>401</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6" spans="2:17" ht="18.75">
      <c r="B6" s="415" t="s">
        <v>481</v>
      </c>
    </row>
    <row r="7" spans="2:17" ht="15.75">
      <c r="B7" s="411" t="s">
        <v>484</v>
      </c>
    </row>
    <row r="8" spans="2:17" s="6" customFormat="1" ht="15"/>
    <row r="9" spans="2:17" s="6" customFormat="1" ht="18.75">
      <c r="B9" s="415" t="s">
        <v>409</v>
      </c>
    </row>
    <row r="10" spans="2:17" s="6" customFormat="1" ht="7.5" customHeight="1"/>
    <row r="11" spans="2:17" s="6" customFormat="1" ht="15">
      <c r="B11" s="6" t="s">
        <v>402</v>
      </c>
      <c r="D11" s="414">
        <v>0</v>
      </c>
    </row>
    <row r="12" spans="2:17" s="6" customFormat="1" ht="15">
      <c r="B12" s="6" t="s">
        <v>403</v>
      </c>
      <c r="D12" s="414">
        <v>0.25</v>
      </c>
    </row>
    <row r="13" spans="2:17" s="6" customFormat="1" ht="15">
      <c r="B13" s="6" t="s">
        <v>404</v>
      </c>
      <c r="D13" s="414">
        <v>0.35</v>
      </c>
    </row>
    <row r="14" spans="2:17" s="6" customFormat="1" ht="15">
      <c r="B14" s="6" t="s">
        <v>405</v>
      </c>
      <c r="D14" s="414">
        <v>0.42</v>
      </c>
    </row>
    <row r="15" spans="2:17" s="6" customFormat="1" ht="15">
      <c r="B15" s="6" t="s">
        <v>406</v>
      </c>
      <c r="D15" s="414">
        <v>0.48</v>
      </c>
    </row>
    <row r="16" spans="2:17" s="6" customFormat="1" ht="15">
      <c r="B16" s="6" t="s">
        <v>407</v>
      </c>
      <c r="D16" s="414">
        <v>0.5</v>
      </c>
    </row>
    <row r="17" spans="2:14" s="6" customFormat="1" ht="15">
      <c r="B17" s="6" t="s">
        <v>408</v>
      </c>
      <c r="D17" s="414">
        <v>0.55000000000000004</v>
      </c>
    </row>
    <row r="18" spans="2:14" s="6" customFormat="1" ht="15"/>
    <row r="19" spans="2:14" s="6" customFormat="1" ht="15">
      <c r="B19" s="560" t="s">
        <v>418</v>
      </c>
      <c r="C19" s="560"/>
      <c r="D19" s="560"/>
      <c r="E19" s="560"/>
      <c r="F19" s="560"/>
      <c r="G19" s="560"/>
      <c r="H19" s="560"/>
      <c r="I19" s="560"/>
      <c r="J19" s="560"/>
      <c r="K19" s="560"/>
      <c r="L19" s="560"/>
      <c r="M19" s="560"/>
      <c r="N19" s="560"/>
    </row>
    <row r="20" spans="2:14" s="6" customFormat="1" ht="15">
      <c r="B20" s="560"/>
      <c r="C20" s="560"/>
      <c r="D20" s="560"/>
      <c r="E20" s="560"/>
      <c r="F20" s="560"/>
      <c r="G20" s="560"/>
      <c r="H20" s="560"/>
      <c r="I20" s="560"/>
      <c r="J20" s="560"/>
      <c r="K20" s="560"/>
      <c r="L20" s="560"/>
      <c r="M20" s="560"/>
      <c r="N20" s="560"/>
    </row>
    <row r="21" spans="2:14" s="6" customFormat="1" ht="15"/>
    <row r="22" spans="2:14" s="6" customFormat="1" ht="15"/>
    <row r="23" spans="2:14" s="6" customFormat="1" ht="15"/>
    <row r="24" spans="2:14" s="6" customFormat="1" ht="15"/>
    <row r="25" spans="2:14" s="6" customFormat="1" ht="15"/>
    <row r="26" spans="2:14" s="6" customFormat="1" ht="18.75">
      <c r="B26" s="415" t="s">
        <v>410</v>
      </c>
    </row>
    <row r="27" spans="2:14" s="6" customFormat="1" ht="6.75" customHeight="1"/>
    <row r="28" spans="2:14" s="6" customFormat="1" ht="15">
      <c r="B28" s="561" t="s">
        <v>419</v>
      </c>
      <c r="C28" s="561"/>
      <c r="D28" s="561"/>
      <c r="E28" s="561"/>
      <c r="F28" s="561"/>
      <c r="G28" s="561"/>
      <c r="H28" s="561"/>
      <c r="I28" s="561"/>
      <c r="J28" s="561"/>
      <c r="K28" s="561"/>
      <c r="L28" s="561"/>
      <c r="M28" s="561"/>
      <c r="N28" s="561"/>
    </row>
    <row r="29" spans="2:14" s="6" customFormat="1" ht="15">
      <c r="B29" s="561"/>
      <c r="C29" s="561"/>
      <c r="D29" s="561"/>
      <c r="E29" s="561"/>
      <c r="F29" s="561"/>
      <c r="G29" s="561"/>
      <c r="H29" s="561"/>
      <c r="I29" s="561"/>
      <c r="J29" s="561"/>
      <c r="K29" s="561"/>
      <c r="L29" s="561"/>
      <c r="M29" s="561"/>
      <c r="N29" s="561"/>
    </row>
    <row r="30" spans="2:14" s="6" customFormat="1" ht="15"/>
    <row r="31" spans="2:14" s="6" customFormat="1" ht="15">
      <c r="B31" s="413" t="s">
        <v>411</v>
      </c>
    </row>
    <row r="32" spans="2:14" s="6" customFormat="1" ht="15">
      <c r="B32" s="413"/>
    </row>
    <row r="33" spans="2:14" s="6" customFormat="1" ht="15">
      <c r="B33" s="412" t="s">
        <v>412</v>
      </c>
    </row>
    <row r="34" spans="2:14" s="6" customFormat="1" ht="15">
      <c r="B34" s="6" t="s">
        <v>413</v>
      </c>
    </row>
    <row r="35" spans="2:14" s="6" customFormat="1" ht="15">
      <c r="B35" s="6" t="s">
        <v>414</v>
      </c>
    </row>
    <row r="36" spans="2:14" s="6" customFormat="1" ht="15"/>
    <row r="37" spans="2:14" s="6" customFormat="1" ht="15">
      <c r="B37" s="412" t="s">
        <v>415</v>
      </c>
    </row>
    <row r="38" spans="2:14" s="6" customFormat="1" ht="15">
      <c r="B38" s="6" t="s">
        <v>416</v>
      </c>
    </row>
    <row r="39" spans="2:14" s="6" customFormat="1" ht="15">
      <c r="B39" s="6" t="s">
        <v>459</v>
      </c>
    </row>
    <row r="40" spans="2:14" s="6" customFormat="1" ht="15"/>
    <row r="41" spans="2:14" s="6" customFormat="1" ht="15">
      <c r="B41" s="412" t="s">
        <v>417</v>
      </c>
    </row>
    <row r="42" spans="2:14" s="6" customFormat="1" ht="15">
      <c r="B42" s="6" t="s">
        <v>416</v>
      </c>
    </row>
    <row r="43" spans="2:14" s="6" customFormat="1" ht="15">
      <c r="B43" s="6" t="s">
        <v>460</v>
      </c>
    </row>
    <row r="44" spans="2:14" s="6" customFormat="1" ht="15"/>
    <row r="45" spans="2:14" s="6" customFormat="1" ht="15">
      <c r="B45" s="6" t="s">
        <v>421</v>
      </c>
    </row>
    <row r="46" spans="2:14" s="6" customFormat="1" ht="15"/>
    <row r="47" spans="2:14" s="6" customFormat="1" ht="15">
      <c r="B47" s="561" t="s">
        <v>420</v>
      </c>
      <c r="C47" s="561"/>
      <c r="D47" s="561"/>
      <c r="E47" s="561"/>
      <c r="F47" s="561"/>
      <c r="G47" s="561"/>
      <c r="H47" s="561"/>
      <c r="I47" s="561"/>
      <c r="J47" s="561"/>
      <c r="K47" s="561"/>
      <c r="L47" s="561"/>
      <c r="M47" s="561"/>
      <c r="N47" s="561"/>
    </row>
    <row r="48" spans="2:14" s="6" customFormat="1" ht="15">
      <c r="B48" s="561"/>
      <c r="C48" s="561"/>
      <c r="D48" s="561"/>
      <c r="E48" s="561"/>
      <c r="F48" s="561"/>
      <c r="G48" s="561"/>
      <c r="H48" s="561"/>
      <c r="I48" s="561"/>
      <c r="J48" s="561"/>
      <c r="K48" s="561"/>
      <c r="L48" s="561"/>
      <c r="M48" s="561"/>
      <c r="N48" s="561"/>
    </row>
    <row r="49" spans="2:14" s="6" customFormat="1" ht="15"/>
    <row r="50" spans="2:14" s="6" customFormat="1" ht="15"/>
    <row r="51" spans="2:14" s="6" customFormat="1" ht="15"/>
    <row r="52" spans="2:14" s="6" customFormat="1" ht="15"/>
    <row r="53" spans="2:14" s="6" customFormat="1" ht="15"/>
    <row r="54" spans="2:14" s="6" customFormat="1" ht="18.75">
      <c r="B54" s="415" t="s">
        <v>422</v>
      </c>
    </row>
    <row r="55" spans="2:14" s="6" customFormat="1" ht="15"/>
    <row r="56" spans="2:14" s="6" customFormat="1" ht="15">
      <c r="B56" s="6" t="s">
        <v>461</v>
      </c>
    </row>
    <row r="57" spans="2:14" s="6" customFormat="1" ht="15"/>
    <row r="58" spans="2:14" s="6" customFormat="1" ht="15"/>
    <row r="59" spans="2:14" s="6" customFormat="1" ht="15">
      <c r="B59" s="412" t="s">
        <v>423</v>
      </c>
    </row>
    <row r="60" spans="2:14" s="6" customFormat="1" ht="15">
      <c r="B60" s="561" t="s">
        <v>462</v>
      </c>
      <c r="C60" s="561"/>
      <c r="D60" s="561"/>
      <c r="E60" s="561"/>
      <c r="F60" s="561"/>
      <c r="G60" s="561"/>
      <c r="H60" s="561"/>
      <c r="I60" s="561"/>
      <c r="J60" s="561"/>
      <c r="K60" s="561"/>
      <c r="L60" s="561"/>
      <c r="M60" s="561"/>
      <c r="N60" s="561"/>
    </row>
    <row r="61" spans="2:14" s="6" customFormat="1" ht="15">
      <c r="B61" s="561"/>
      <c r="C61" s="561"/>
      <c r="D61" s="561"/>
      <c r="E61" s="561"/>
      <c r="F61" s="561"/>
      <c r="G61" s="561"/>
      <c r="H61" s="561"/>
      <c r="I61" s="561"/>
      <c r="J61" s="561"/>
      <c r="K61" s="561"/>
      <c r="L61" s="561"/>
      <c r="M61" s="561"/>
      <c r="N61" s="561"/>
    </row>
    <row r="62" spans="2:14" s="6" customFormat="1" ht="15"/>
    <row r="63" spans="2:14" s="6" customFormat="1" ht="15">
      <c r="B63" s="413" t="s">
        <v>424</v>
      </c>
      <c r="C63" s="6" t="s">
        <v>425</v>
      </c>
    </row>
    <row r="64" spans="2:14" s="6" customFormat="1" ht="15">
      <c r="C64" s="6" t="s">
        <v>426</v>
      </c>
    </row>
    <row r="65" spans="2:14" s="6" customFormat="1" ht="15">
      <c r="C65" s="6" t="s">
        <v>427</v>
      </c>
    </row>
    <row r="66" spans="2:14" s="6" customFormat="1" ht="15">
      <c r="C66" s="6" t="s">
        <v>428</v>
      </c>
    </row>
    <row r="67" spans="2:14" s="6" customFormat="1" ht="15">
      <c r="C67" s="6" t="s">
        <v>429</v>
      </c>
    </row>
    <row r="68" spans="2:14" s="6" customFormat="1" ht="15">
      <c r="C68" s="6" t="s">
        <v>430</v>
      </c>
    </row>
    <row r="69" spans="2:14" s="6" customFormat="1" ht="15"/>
    <row r="70" spans="2:14" s="6" customFormat="1" ht="15"/>
    <row r="71" spans="2:14" s="6" customFormat="1" ht="15">
      <c r="B71" s="412" t="s">
        <v>431</v>
      </c>
    </row>
    <row r="72" spans="2:14" s="6" customFormat="1" ht="15">
      <c r="B72" s="561" t="s">
        <v>463</v>
      </c>
      <c r="C72" s="561"/>
      <c r="D72" s="561"/>
      <c r="E72" s="561"/>
      <c r="F72" s="561"/>
      <c r="G72" s="561"/>
      <c r="H72" s="561"/>
      <c r="I72" s="561"/>
      <c r="J72" s="561"/>
      <c r="K72" s="561"/>
      <c r="L72" s="561"/>
      <c r="M72" s="561"/>
      <c r="N72" s="561"/>
    </row>
    <row r="73" spans="2:14" s="6" customFormat="1" ht="15">
      <c r="B73" s="561"/>
      <c r="C73" s="561"/>
      <c r="D73" s="561"/>
      <c r="E73" s="561"/>
      <c r="F73" s="561"/>
      <c r="G73" s="561"/>
      <c r="H73" s="561"/>
      <c r="I73" s="561"/>
      <c r="J73" s="561"/>
      <c r="K73" s="561"/>
      <c r="L73" s="561"/>
      <c r="M73" s="561"/>
      <c r="N73" s="561"/>
    </row>
    <row r="74" spans="2:14" s="6" customFormat="1" ht="15"/>
    <row r="75" spans="2:14" s="6" customFormat="1" ht="15">
      <c r="B75" s="413" t="s">
        <v>424</v>
      </c>
      <c r="C75" s="6" t="s">
        <v>432</v>
      </c>
    </row>
    <row r="76" spans="2:14" s="6" customFormat="1" ht="15">
      <c r="C76" s="6" t="s">
        <v>433</v>
      </c>
    </row>
    <row r="77" spans="2:14" s="6" customFormat="1" ht="15">
      <c r="C77" s="6" t="s">
        <v>434</v>
      </c>
    </row>
    <row r="78" spans="2:14" s="6" customFormat="1" ht="15">
      <c r="C78" s="6" t="s">
        <v>435</v>
      </c>
    </row>
    <row r="79" spans="2:14" s="6" customFormat="1" ht="15">
      <c r="C79" s="6" t="s">
        <v>436</v>
      </c>
    </row>
    <row r="80" spans="2:14" s="6" customFormat="1" ht="15">
      <c r="C80" s="6" t="s">
        <v>437</v>
      </c>
    </row>
    <row r="81" spans="2:14" s="6" customFormat="1" ht="15">
      <c r="C81" s="6" t="s">
        <v>438</v>
      </c>
    </row>
    <row r="82" spans="2:14" s="6" customFormat="1" ht="15">
      <c r="C82" s="6" t="s">
        <v>439</v>
      </c>
    </row>
    <row r="83" spans="2:14" s="6" customFormat="1" ht="15">
      <c r="C83" s="6" t="s">
        <v>440</v>
      </c>
    </row>
    <row r="84" spans="2:14" s="6" customFormat="1" ht="15">
      <c r="C84" s="6" t="s">
        <v>441</v>
      </c>
    </row>
    <row r="85" spans="2:14" s="6" customFormat="1" ht="15">
      <c r="C85" s="6" t="s">
        <v>442</v>
      </c>
      <c r="E85" s="45"/>
    </row>
    <row r="86" spans="2:14" s="6" customFormat="1" ht="15">
      <c r="C86" s="6" t="s">
        <v>443</v>
      </c>
    </row>
    <row r="87" spans="2:14" s="6" customFormat="1" ht="15">
      <c r="C87" s="6" t="s">
        <v>444</v>
      </c>
    </row>
    <row r="88" spans="2:14" s="6" customFormat="1" ht="15">
      <c r="C88" s="6" t="s">
        <v>445</v>
      </c>
    </row>
    <row r="89" spans="2:14" s="6" customFormat="1" ht="15">
      <c r="C89" s="6" t="s">
        <v>446</v>
      </c>
    </row>
    <row r="90" spans="2:14" s="6" customFormat="1" ht="15"/>
    <row r="91" spans="2:14" s="6" customFormat="1" ht="15"/>
    <row r="92" spans="2:14" s="6" customFormat="1" ht="15">
      <c r="B92" s="412" t="s">
        <v>447</v>
      </c>
    </row>
    <row r="93" spans="2:14" s="6" customFormat="1" ht="15">
      <c r="B93" s="561" t="s">
        <v>464</v>
      </c>
      <c r="C93" s="561"/>
      <c r="D93" s="561"/>
      <c r="E93" s="561"/>
      <c r="F93" s="561"/>
      <c r="G93" s="561"/>
      <c r="H93" s="561"/>
      <c r="I93" s="561"/>
      <c r="J93" s="561"/>
      <c r="K93" s="561"/>
      <c r="L93" s="561"/>
      <c r="M93" s="561"/>
      <c r="N93" s="561"/>
    </row>
    <row r="94" spans="2:14" s="6" customFormat="1" ht="15">
      <c r="B94" s="561"/>
      <c r="C94" s="561"/>
      <c r="D94" s="561"/>
      <c r="E94" s="561"/>
      <c r="F94" s="561"/>
      <c r="G94" s="561"/>
      <c r="H94" s="561"/>
      <c r="I94" s="561"/>
      <c r="J94" s="561"/>
      <c r="K94" s="561"/>
      <c r="L94" s="561"/>
      <c r="M94" s="561"/>
      <c r="N94" s="561"/>
    </row>
    <row r="95" spans="2:14" s="6" customFormat="1" ht="15">
      <c r="B95" s="417"/>
      <c r="C95" s="417"/>
      <c r="D95" s="417"/>
      <c r="E95" s="417"/>
      <c r="F95" s="417"/>
      <c r="G95" s="417"/>
      <c r="H95" s="417"/>
      <c r="I95" s="417"/>
      <c r="J95" s="417"/>
      <c r="K95" s="417"/>
      <c r="L95" s="417"/>
      <c r="M95" s="417"/>
      <c r="N95" s="417"/>
    </row>
    <row r="96" spans="2:14" s="6" customFormat="1" ht="15">
      <c r="B96" s="413" t="s">
        <v>424</v>
      </c>
      <c r="C96" s="6" t="s">
        <v>448</v>
      </c>
    </row>
    <row r="97" spans="2:3" s="6" customFormat="1" ht="15">
      <c r="C97" s="6" t="s">
        <v>449</v>
      </c>
    </row>
    <row r="98" spans="2:3" s="6" customFormat="1" ht="15">
      <c r="C98" s="6" t="s">
        <v>450</v>
      </c>
    </row>
    <row r="99" spans="2:3" s="6" customFormat="1" ht="15">
      <c r="C99" s="6" t="s">
        <v>451</v>
      </c>
    </row>
    <row r="100" spans="2:3" s="6" customFormat="1" ht="15">
      <c r="C100" s="6" t="s">
        <v>452</v>
      </c>
    </row>
    <row r="101" spans="2:3" s="6" customFormat="1" ht="15">
      <c r="C101" s="6" t="s">
        <v>453</v>
      </c>
    </row>
    <row r="102" spans="2:3" s="6" customFormat="1" ht="15">
      <c r="C102" s="6" t="s">
        <v>454</v>
      </c>
    </row>
    <row r="103" spans="2:3" s="6" customFormat="1" ht="15">
      <c r="C103" s="6" t="s">
        <v>455</v>
      </c>
    </row>
    <row r="104" spans="2:3" s="6" customFormat="1" ht="15"/>
    <row r="105" spans="2:3" s="6" customFormat="1" ht="15">
      <c r="B105" s="6" t="s">
        <v>456</v>
      </c>
    </row>
    <row r="106" spans="2:3" s="6" customFormat="1" ht="15"/>
    <row r="107" spans="2:3" s="6" customFormat="1" ht="15">
      <c r="B107" s="6" t="s">
        <v>457</v>
      </c>
    </row>
    <row r="108" spans="2:3" s="6" customFormat="1" ht="15">
      <c r="B108" s="6" t="s">
        <v>465</v>
      </c>
    </row>
    <row r="109" spans="2:3" s="6" customFormat="1" ht="15">
      <c r="B109" s="6" t="s">
        <v>458</v>
      </c>
    </row>
    <row r="110" spans="2:3" s="6" customFormat="1" ht="15"/>
    <row r="111" spans="2:3" s="6" customFormat="1" ht="15"/>
    <row r="112" spans="2:3" s="6" customFormat="1" ht="15"/>
    <row r="113" spans="1:14" s="6" customFormat="1" ht="15">
      <c r="B113" s="412" t="s">
        <v>480</v>
      </c>
    </row>
    <row r="114" spans="1:14" s="6" customFormat="1" ht="15">
      <c r="B114" s="416"/>
    </row>
    <row r="115" spans="1:14" s="6" customFormat="1" ht="15">
      <c r="B115" s="416"/>
    </row>
    <row r="116" spans="1:14" s="6" customFormat="1" ht="15">
      <c r="A116" s="5"/>
      <c r="B116" s="562" t="s">
        <v>372</v>
      </c>
      <c r="C116" s="562"/>
      <c r="D116" s="562"/>
      <c r="E116" s="562"/>
      <c r="F116" s="562"/>
      <c r="G116" s="562"/>
      <c r="H116" s="562"/>
      <c r="I116" s="562"/>
      <c r="J116" s="562"/>
      <c r="K116" s="562"/>
      <c r="L116" s="562"/>
      <c r="M116" s="562"/>
      <c r="N116" s="562"/>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47:N48"/>
    <mergeCell ref="B60:N61"/>
    <mergeCell ref="B72:N73"/>
    <mergeCell ref="B93:N94"/>
    <mergeCell ref="B116:N116"/>
    <mergeCell ref="B1:D3"/>
    <mergeCell ref="E1:G3"/>
    <mergeCell ref="N1:O3"/>
    <mergeCell ref="B19:N20"/>
    <mergeCell ref="B28:N29"/>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5" activePane="bottomLeft" state="frozen"/>
      <selection pane="bottomLeft" activeCell="K38" sqref="K38"/>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363</v>
      </c>
      <c r="C1" s="532"/>
      <c r="D1" s="532"/>
      <c r="E1" s="532"/>
      <c r="F1" s="532"/>
      <c r="G1" s="475" t="s">
        <v>364</v>
      </c>
      <c r="H1" s="475"/>
      <c r="I1" s="475"/>
      <c r="J1" s="475"/>
      <c r="K1" s="475"/>
      <c r="L1" s="475"/>
      <c r="O1" s="237"/>
      <c r="S1" s="238"/>
      <c r="T1" s="271"/>
    </row>
    <row r="2" spans="2:20" s="150" customFormat="1" ht="15" customHeight="1">
      <c r="B2" s="532"/>
      <c r="C2" s="532"/>
      <c r="D2" s="532"/>
      <c r="E2" s="532"/>
      <c r="F2" s="532"/>
      <c r="G2" s="475"/>
      <c r="H2" s="475"/>
      <c r="I2" s="475"/>
      <c r="J2" s="475"/>
      <c r="K2" s="475"/>
      <c r="L2" s="475"/>
      <c r="O2" s="237"/>
      <c r="S2" s="238"/>
      <c r="T2" s="271"/>
    </row>
    <row r="3" spans="2:20" s="150" customFormat="1" ht="12.75" customHeight="1">
      <c r="B3" s="532"/>
      <c r="C3" s="532"/>
      <c r="D3" s="532"/>
      <c r="E3" s="532"/>
      <c r="F3" s="532"/>
      <c r="G3" s="475"/>
      <c r="H3" s="475"/>
      <c r="I3" s="475"/>
      <c r="J3" s="475"/>
      <c r="K3" s="475"/>
      <c r="L3" s="475"/>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f>12*I18</f>
        <v>26400</v>
      </c>
      <c r="I18" s="85">
        <v>2200</v>
      </c>
      <c r="J18" s="84"/>
      <c r="K18" s="84"/>
      <c r="L18" s="84"/>
      <c r="M18" s="84"/>
      <c r="N18" s="84"/>
      <c r="O18" s="86"/>
      <c r="P18" s="62"/>
    </row>
    <row r="19" spans="2:16">
      <c r="B19" s="61"/>
      <c r="C19" s="83" t="s">
        <v>150</v>
      </c>
      <c r="D19" s="84"/>
      <c r="E19" s="84"/>
      <c r="F19" s="84"/>
      <c r="G19" s="84"/>
      <c r="H19" s="85">
        <f>12*I19</f>
        <v>2400</v>
      </c>
      <c r="I19" s="85">
        <v>200</v>
      </c>
      <c r="J19" s="84"/>
      <c r="K19" s="84"/>
      <c r="L19" s="84"/>
      <c r="M19" s="84"/>
      <c r="N19" s="84"/>
      <c r="O19" s="86"/>
      <c r="P19" s="62"/>
    </row>
    <row r="20" spans="2:16">
      <c r="B20" s="61"/>
      <c r="C20" s="87" t="s">
        <v>151</v>
      </c>
      <c r="D20" s="88"/>
      <c r="E20" s="88"/>
      <c r="F20" s="88"/>
      <c r="G20" s="88"/>
      <c r="H20" s="85">
        <f>12*I20</f>
        <v>0</v>
      </c>
      <c r="I20" s="89">
        <v>0</v>
      </c>
      <c r="J20" s="88"/>
      <c r="K20" s="88"/>
      <c r="L20" s="88"/>
      <c r="M20" s="88"/>
      <c r="N20" s="88"/>
      <c r="O20" s="90"/>
      <c r="P20" s="62"/>
    </row>
    <row r="21" spans="2:16">
      <c r="B21" s="61"/>
      <c r="C21" s="87" t="s">
        <v>152</v>
      </c>
      <c r="D21" s="88"/>
      <c r="E21" s="88"/>
      <c r="F21" s="88"/>
      <c r="G21" s="88"/>
      <c r="H21" s="89">
        <f t="shared" ref="H21:H25" si="0">12*I21</f>
        <v>0</v>
      </c>
      <c r="I21" s="89">
        <v>0</v>
      </c>
      <c r="J21" s="88"/>
      <c r="K21" s="88"/>
      <c r="L21" s="88"/>
      <c r="M21" s="88"/>
      <c r="N21" s="88"/>
      <c r="O21" s="90"/>
      <c r="P21" s="62"/>
    </row>
    <row r="22" spans="2:16">
      <c r="B22" s="61"/>
      <c r="C22" s="87" t="s">
        <v>43</v>
      </c>
      <c r="D22" s="88"/>
      <c r="E22" s="88"/>
      <c r="F22" s="88"/>
      <c r="G22" s="88"/>
      <c r="H22" s="89">
        <f t="shared" si="0"/>
        <v>600</v>
      </c>
      <c r="I22" s="89">
        <v>50</v>
      </c>
      <c r="J22" s="88"/>
      <c r="K22" s="88"/>
      <c r="L22" s="88"/>
      <c r="M22" s="88"/>
      <c r="N22" s="88"/>
      <c r="O22" s="90"/>
      <c r="P22" s="62"/>
    </row>
    <row r="23" spans="2:16">
      <c r="B23" s="61"/>
      <c r="C23" s="87" t="s">
        <v>153</v>
      </c>
      <c r="D23" s="88"/>
      <c r="E23" s="88"/>
      <c r="F23" s="88"/>
      <c r="G23" s="88"/>
      <c r="H23" s="89">
        <f t="shared" si="0"/>
        <v>3600</v>
      </c>
      <c r="I23" s="89">
        <v>300</v>
      </c>
      <c r="J23" s="88"/>
      <c r="K23" s="88"/>
      <c r="L23" s="88"/>
      <c r="M23" s="88"/>
      <c r="N23" s="88"/>
      <c r="O23" s="90"/>
      <c r="P23" s="62"/>
    </row>
    <row r="24" spans="2:16">
      <c r="B24" s="61"/>
      <c r="C24" s="87" t="s">
        <v>154</v>
      </c>
      <c r="D24" s="88"/>
      <c r="E24" s="88"/>
      <c r="F24" s="88"/>
      <c r="G24" s="88"/>
      <c r="H24" s="89">
        <f t="shared" si="0"/>
        <v>0</v>
      </c>
      <c r="I24" s="89">
        <v>0</v>
      </c>
      <c r="J24" s="88"/>
      <c r="K24" s="88"/>
      <c r="L24" s="88"/>
      <c r="M24" s="88"/>
      <c r="N24" s="88"/>
      <c r="O24" s="90"/>
      <c r="P24" s="62"/>
    </row>
    <row r="25" spans="2:16" ht="15.75" thickBot="1">
      <c r="B25" s="61"/>
      <c r="C25" s="87" t="s">
        <v>155</v>
      </c>
      <c r="D25" s="88"/>
      <c r="E25" s="88"/>
      <c r="F25" s="88"/>
      <c r="G25" s="88"/>
      <c r="H25" s="89">
        <f t="shared" si="0"/>
        <v>0</v>
      </c>
      <c r="I25" s="89">
        <v>0</v>
      </c>
      <c r="J25" s="88"/>
      <c r="K25" s="88"/>
      <c r="L25" s="88"/>
      <c r="M25" s="88"/>
      <c r="N25" s="88"/>
      <c r="O25" s="90"/>
      <c r="P25" s="62"/>
    </row>
    <row r="26" spans="2:16" ht="15.75" thickTop="1">
      <c r="B26" s="61"/>
      <c r="C26" s="91" t="s">
        <v>7</v>
      </c>
      <c r="D26" s="92"/>
      <c r="E26" s="92"/>
      <c r="F26" s="92"/>
      <c r="G26" s="92"/>
      <c r="H26" s="93">
        <f>12*I26</f>
        <v>33000</v>
      </c>
      <c r="I26" s="93">
        <f>SUM(I18:I25)</f>
        <v>2750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f>I29*12</f>
        <v>7800</v>
      </c>
      <c r="I29" s="99">
        <v>650</v>
      </c>
      <c r="J29" s="84"/>
      <c r="K29" s="88" t="s">
        <v>157</v>
      </c>
      <c r="L29" s="84"/>
      <c r="M29" s="84"/>
      <c r="N29" s="84"/>
      <c r="O29" s="86"/>
      <c r="P29" s="62"/>
    </row>
    <row r="30" spans="2:16">
      <c r="B30" s="61"/>
      <c r="C30" s="87" t="s">
        <v>158</v>
      </c>
      <c r="D30" s="88"/>
      <c r="E30" s="88"/>
      <c r="F30" s="88"/>
      <c r="G30" s="88"/>
      <c r="H30" s="100">
        <f>I30*12</f>
        <v>2400</v>
      </c>
      <c r="I30" s="100">
        <v>200</v>
      </c>
      <c r="J30" s="88"/>
      <c r="K30" s="88"/>
      <c r="L30" s="88"/>
      <c r="M30" s="88"/>
      <c r="N30" s="88"/>
      <c r="O30" s="90"/>
      <c r="P30" s="62"/>
    </row>
    <row r="31" spans="2:16">
      <c r="B31" s="61"/>
      <c r="C31" s="87" t="s">
        <v>159</v>
      </c>
      <c r="D31" s="88"/>
      <c r="E31" s="88"/>
      <c r="F31" s="88"/>
      <c r="G31" s="88"/>
      <c r="H31" s="100">
        <f>I31*12</f>
        <v>1200</v>
      </c>
      <c r="I31" s="100">
        <v>100</v>
      </c>
      <c r="J31" s="88"/>
      <c r="K31" s="88" t="s">
        <v>160</v>
      </c>
      <c r="L31" s="88"/>
      <c r="M31" s="88"/>
      <c r="N31" s="88"/>
      <c r="O31" s="90"/>
      <c r="P31" s="62"/>
    </row>
    <row r="32" spans="2:16">
      <c r="B32" s="61"/>
      <c r="C32" s="87" t="s">
        <v>161</v>
      </c>
      <c r="D32" s="88"/>
      <c r="E32" s="88"/>
      <c r="F32" s="88"/>
      <c r="G32" s="88"/>
      <c r="H32" s="100">
        <f t="shared" ref="H32:H45" si="1">I32*12</f>
        <v>1200</v>
      </c>
      <c r="I32" s="100">
        <v>100</v>
      </c>
      <c r="J32" s="88"/>
      <c r="K32" s="88" t="s">
        <v>162</v>
      </c>
      <c r="L32" s="88"/>
      <c r="M32" s="88"/>
      <c r="N32" s="88"/>
      <c r="O32" s="90"/>
      <c r="P32" s="62"/>
    </row>
    <row r="33" spans="2:16">
      <c r="B33" s="61"/>
      <c r="C33" s="87" t="s">
        <v>163</v>
      </c>
      <c r="D33" s="88"/>
      <c r="E33" s="88"/>
      <c r="F33" s="88"/>
      <c r="G33" s="88"/>
      <c r="H33" s="100">
        <f>I33*12</f>
        <v>900</v>
      </c>
      <c r="I33" s="100">
        <v>75</v>
      </c>
      <c r="J33" s="88"/>
      <c r="K33" s="88"/>
      <c r="L33" s="88"/>
      <c r="M33" s="88"/>
      <c r="N33" s="88"/>
      <c r="O33" s="90"/>
      <c r="P33" s="62"/>
    </row>
    <row r="34" spans="2:16">
      <c r="B34" s="61"/>
      <c r="C34" s="87" t="s">
        <v>164</v>
      </c>
      <c r="D34" s="88"/>
      <c r="E34" s="88"/>
      <c r="F34" s="88"/>
      <c r="G34" s="88"/>
      <c r="H34" s="100">
        <f t="shared" si="1"/>
        <v>1800</v>
      </c>
      <c r="I34" s="100">
        <v>150</v>
      </c>
      <c r="J34" s="88"/>
      <c r="K34" s="88" t="s">
        <v>165</v>
      </c>
      <c r="L34" s="88"/>
      <c r="M34" s="88"/>
      <c r="N34" s="88"/>
      <c r="O34" s="90"/>
      <c r="P34" s="62"/>
    </row>
    <row r="35" spans="2:16">
      <c r="B35" s="61"/>
      <c r="C35" s="87" t="s">
        <v>166</v>
      </c>
      <c r="D35" s="88"/>
      <c r="E35" s="88"/>
      <c r="F35" s="88"/>
      <c r="G35" s="88"/>
      <c r="H35" s="100">
        <f t="shared" si="1"/>
        <v>300</v>
      </c>
      <c r="I35" s="100">
        <v>25</v>
      </c>
      <c r="J35" s="88"/>
      <c r="K35" s="88"/>
      <c r="L35" s="88"/>
      <c r="M35" s="88"/>
      <c r="N35" s="88"/>
      <c r="O35" s="90"/>
      <c r="P35" s="62"/>
    </row>
    <row r="36" spans="2:16">
      <c r="B36" s="61"/>
      <c r="C36" s="87" t="s">
        <v>167</v>
      </c>
      <c r="D36" s="88"/>
      <c r="E36" s="88"/>
      <c r="F36" s="88"/>
      <c r="G36" s="88"/>
      <c r="H36" s="100">
        <f>I36*12</f>
        <v>600</v>
      </c>
      <c r="I36" s="100">
        <v>50</v>
      </c>
      <c r="J36" s="88"/>
      <c r="K36" s="88"/>
      <c r="L36" s="88"/>
      <c r="M36" s="88"/>
      <c r="N36" s="88"/>
      <c r="O36" s="90"/>
      <c r="P36" s="62"/>
    </row>
    <row r="37" spans="2:16">
      <c r="B37" s="61"/>
      <c r="C37" s="87" t="s">
        <v>168</v>
      </c>
      <c r="D37" s="88"/>
      <c r="E37" s="88"/>
      <c r="F37" s="88"/>
      <c r="G37" s="88"/>
      <c r="H37" s="100">
        <f t="shared" si="1"/>
        <v>600</v>
      </c>
      <c r="I37" s="100">
        <v>50</v>
      </c>
      <c r="J37" s="88"/>
      <c r="K37" s="88" t="s">
        <v>169</v>
      </c>
      <c r="L37" s="88"/>
      <c r="M37" s="88"/>
      <c r="N37" s="88"/>
      <c r="O37" s="90"/>
      <c r="P37" s="62"/>
    </row>
    <row r="38" spans="2:16">
      <c r="B38" s="61"/>
      <c r="C38" s="87" t="s">
        <v>170</v>
      </c>
      <c r="D38" s="88"/>
      <c r="E38" s="88"/>
      <c r="F38" s="88"/>
      <c r="G38" s="88"/>
      <c r="H38" s="100">
        <f t="shared" si="1"/>
        <v>1944</v>
      </c>
      <c r="I38" s="100">
        <v>162</v>
      </c>
      <c r="J38" s="88"/>
      <c r="K38" s="88"/>
      <c r="L38" s="88"/>
      <c r="M38" s="88"/>
      <c r="N38" s="88"/>
      <c r="O38" s="90"/>
      <c r="P38" s="62"/>
    </row>
    <row r="39" spans="2:16">
      <c r="B39" s="61"/>
      <c r="C39" s="87" t="s">
        <v>171</v>
      </c>
      <c r="D39" s="88"/>
      <c r="E39" s="88"/>
      <c r="F39" s="88"/>
      <c r="G39" s="88"/>
      <c r="H39" s="100">
        <f t="shared" si="1"/>
        <v>960</v>
      </c>
      <c r="I39" s="100">
        <v>80</v>
      </c>
      <c r="J39" s="88"/>
      <c r="K39" s="88" t="s">
        <v>172</v>
      </c>
      <c r="L39" s="88"/>
      <c r="M39" s="88"/>
      <c r="N39" s="88"/>
      <c r="O39" s="90"/>
      <c r="P39" s="62"/>
    </row>
    <row r="40" spans="2:16">
      <c r="B40" s="61"/>
      <c r="C40" s="87" t="s">
        <v>173</v>
      </c>
      <c r="D40" s="88"/>
      <c r="E40" s="88"/>
      <c r="F40" s="88"/>
      <c r="G40" s="88"/>
      <c r="H40" s="100">
        <f t="shared" si="1"/>
        <v>1044</v>
      </c>
      <c r="I40" s="100">
        <v>87</v>
      </c>
      <c r="J40" s="88"/>
      <c r="K40" s="88" t="s">
        <v>174</v>
      </c>
      <c r="L40" s="88"/>
      <c r="M40" s="88"/>
      <c r="N40" s="88"/>
      <c r="O40" s="90"/>
      <c r="P40" s="62"/>
    </row>
    <row r="41" spans="2:16">
      <c r="B41" s="61"/>
      <c r="C41" s="87" t="s">
        <v>175</v>
      </c>
      <c r="D41" s="88"/>
      <c r="E41" s="88"/>
      <c r="F41" s="88"/>
      <c r="G41" s="88"/>
      <c r="H41" s="100">
        <f t="shared" si="1"/>
        <v>2244</v>
      </c>
      <c r="I41" s="100">
        <v>187</v>
      </c>
      <c r="J41" s="88"/>
      <c r="K41" s="88"/>
      <c r="L41" s="88"/>
      <c r="M41" s="88"/>
      <c r="N41" s="88"/>
      <c r="O41" s="90"/>
      <c r="P41" s="62"/>
    </row>
    <row r="42" spans="2:16">
      <c r="B42" s="61"/>
      <c r="C42" s="87" t="s">
        <v>176</v>
      </c>
      <c r="D42" s="88"/>
      <c r="E42" s="88"/>
      <c r="F42" s="88"/>
      <c r="G42" s="88"/>
      <c r="H42" s="100">
        <f>I42*12</f>
        <v>0</v>
      </c>
      <c r="I42" s="100">
        <v>0</v>
      </c>
      <c r="J42" s="88"/>
      <c r="K42" s="88"/>
      <c r="L42" s="88"/>
      <c r="M42" s="88"/>
      <c r="N42" s="88"/>
      <c r="O42" s="90"/>
      <c r="P42" s="62"/>
    </row>
    <row r="43" spans="2:16">
      <c r="B43" s="61"/>
      <c r="C43" s="87" t="s">
        <v>177</v>
      </c>
      <c r="D43" s="88"/>
      <c r="E43" s="88"/>
      <c r="F43" s="88"/>
      <c r="G43" s="88"/>
      <c r="H43" s="100">
        <f>I43*12</f>
        <v>0</v>
      </c>
      <c r="I43" s="100">
        <v>0</v>
      </c>
      <c r="J43" s="88"/>
      <c r="K43" s="88"/>
      <c r="L43" s="88"/>
      <c r="M43" s="88"/>
      <c r="N43" s="88"/>
      <c r="O43" s="90"/>
      <c r="P43" s="62"/>
    </row>
    <row r="44" spans="2:16" ht="15.75" thickBot="1">
      <c r="B44" s="61"/>
      <c r="C44" s="70" t="s">
        <v>10</v>
      </c>
      <c r="D44" s="71"/>
      <c r="E44" s="71"/>
      <c r="F44" s="71"/>
      <c r="G44" s="71"/>
      <c r="H44" s="101">
        <f t="shared" si="1"/>
        <v>1200</v>
      </c>
      <c r="I44" s="101">
        <v>100</v>
      </c>
      <c r="J44" s="71"/>
      <c r="K44" s="71"/>
      <c r="L44" s="71"/>
      <c r="M44" s="71"/>
      <c r="N44" s="71"/>
      <c r="O44" s="72"/>
      <c r="P44" s="62"/>
    </row>
    <row r="45" spans="2:16" ht="15.75" thickTop="1">
      <c r="B45" s="61"/>
      <c r="C45" s="91" t="s">
        <v>7</v>
      </c>
      <c r="D45" s="92"/>
      <c r="E45" s="92"/>
      <c r="F45" s="92"/>
      <c r="G45" s="92"/>
      <c r="H45" s="102">
        <f t="shared" si="1"/>
        <v>24192</v>
      </c>
      <c r="I45" s="102">
        <f>SUM(I29:I44)</f>
        <v>2016</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178</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33000</v>
      </c>
      <c r="I48" s="99">
        <f>I26</f>
        <v>2750</v>
      </c>
      <c r="J48" s="84"/>
      <c r="K48" s="84"/>
      <c r="L48" s="84"/>
      <c r="M48" s="84"/>
      <c r="N48" s="84"/>
      <c r="O48" s="86"/>
      <c r="P48" s="62"/>
    </row>
    <row r="49" spans="2:16" ht="15.75" thickBot="1">
      <c r="B49" s="61"/>
      <c r="C49" s="103" t="s">
        <v>63</v>
      </c>
      <c r="D49" s="104"/>
      <c r="E49" s="104"/>
      <c r="F49" s="104"/>
      <c r="G49" s="104"/>
      <c r="H49" s="105">
        <f>12*I49</f>
        <v>24192</v>
      </c>
      <c r="I49" s="105">
        <f>I45</f>
        <v>2016</v>
      </c>
      <c r="J49" s="104"/>
      <c r="K49" s="104"/>
      <c r="L49" s="104"/>
      <c r="M49" s="104"/>
      <c r="N49" s="104"/>
      <c r="O49" s="106"/>
      <c r="P49" s="62"/>
    </row>
    <row r="50" spans="2:16" ht="15.75" thickTop="1">
      <c r="B50" s="61"/>
      <c r="C50" s="91" t="s">
        <v>179</v>
      </c>
      <c r="D50" s="92"/>
      <c r="E50" s="92"/>
      <c r="F50" s="92"/>
      <c r="G50" s="92"/>
      <c r="H50" s="102">
        <f>12*I50</f>
        <v>8808</v>
      </c>
      <c r="I50" s="102">
        <f>I48-I49</f>
        <v>734</v>
      </c>
      <c r="J50" s="92"/>
      <c r="K50" s="92" t="s">
        <v>180</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372</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363</v>
      </c>
      <c r="C1" s="564"/>
      <c r="D1" s="564"/>
      <c r="E1" s="564"/>
      <c r="F1" s="564"/>
      <c r="G1" s="433" t="s">
        <v>365</v>
      </c>
      <c r="H1" s="433"/>
      <c r="I1" s="433"/>
      <c r="J1" s="433"/>
      <c r="K1" s="433"/>
      <c r="L1" s="433"/>
      <c r="O1" s="237"/>
      <c r="S1" s="425"/>
      <c r="T1" s="424"/>
    </row>
    <row r="2" spans="2:20" s="150" customFormat="1" ht="15" customHeight="1">
      <c r="B2" s="564"/>
      <c r="C2" s="564"/>
      <c r="D2" s="564"/>
      <c r="E2" s="564"/>
      <c r="F2" s="564"/>
      <c r="G2" s="433"/>
      <c r="H2" s="433"/>
      <c r="I2" s="433"/>
      <c r="J2" s="433"/>
      <c r="K2" s="433"/>
      <c r="L2" s="433"/>
      <c r="O2" s="237"/>
      <c r="S2" s="425"/>
      <c r="T2" s="424"/>
    </row>
    <row r="3" spans="2:20" s="150" customFormat="1" ht="12.75" customHeight="1">
      <c r="B3" s="564"/>
      <c r="C3" s="564"/>
      <c r="D3" s="564"/>
      <c r="E3" s="564"/>
      <c r="F3" s="564"/>
      <c r="G3" s="433"/>
      <c r="H3" s="433"/>
      <c r="I3" s="433"/>
      <c r="J3" s="433"/>
      <c r="K3" s="433"/>
      <c r="L3" s="433"/>
      <c r="O3" s="237"/>
      <c r="S3" s="425"/>
      <c r="T3" s="424"/>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181</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182</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183</v>
      </c>
      <c r="D17" s="80"/>
      <c r="E17" s="80"/>
      <c r="F17" s="80"/>
      <c r="G17" s="80"/>
      <c r="H17" s="81" t="s">
        <v>184</v>
      </c>
      <c r="I17" s="119" t="s">
        <v>185</v>
      </c>
      <c r="J17" s="119"/>
      <c r="K17" s="80" t="s">
        <v>148</v>
      </c>
      <c r="L17" s="80"/>
      <c r="M17" s="80"/>
      <c r="N17" s="80"/>
      <c r="O17" s="82"/>
      <c r="P17" s="116"/>
    </row>
    <row r="18" spans="2:16" ht="16.5">
      <c r="B18" s="115"/>
      <c r="C18" s="87" t="s">
        <v>186</v>
      </c>
      <c r="D18" s="88"/>
      <c r="E18" s="88"/>
      <c r="F18" s="84"/>
      <c r="G18" s="88"/>
      <c r="H18" s="100">
        <v>5100</v>
      </c>
      <c r="I18" s="120" t="s">
        <v>187</v>
      </c>
      <c r="J18" s="120"/>
      <c r="K18" s="88"/>
      <c r="L18" s="88"/>
      <c r="M18" s="88"/>
      <c r="N18" s="88"/>
      <c r="O18" s="90"/>
      <c r="P18" s="116"/>
    </row>
    <row r="19" spans="2:16" ht="16.5">
      <c r="B19" s="115"/>
      <c r="C19" s="87" t="s">
        <v>188</v>
      </c>
      <c r="D19" s="88"/>
      <c r="E19" s="88"/>
      <c r="F19" s="84"/>
      <c r="G19" s="88"/>
      <c r="H19" s="100">
        <v>4200</v>
      </c>
      <c r="I19" s="120" t="s">
        <v>187</v>
      </c>
      <c r="J19" s="120"/>
      <c r="K19" s="88" t="s">
        <v>189</v>
      </c>
      <c r="L19" s="88"/>
      <c r="M19" s="88"/>
      <c r="N19" s="88"/>
      <c r="O19" s="90"/>
      <c r="P19" s="116"/>
    </row>
    <row r="20" spans="2:16" ht="16.5">
      <c r="B20" s="115"/>
      <c r="C20" s="87" t="s">
        <v>190</v>
      </c>
      <c r="D20" s="88"/>
      <c r="E20" s="88"/>
      <c r="F20" s="84"/>
      <c r="G20" s="88"/>
      <c r="H20" s="100">
        <v>22000</v>
      </c>
      <c r="I20" s="120" t="s">
        <v>187</v>
      </c>
      <c r="J20" s="120"/>
      <c r="K20" s="88" t="s">
        <v>191</v>
      </c>
      <c r="L20" s="88"/>
      <c r="M20" s="88"/>
      <c r="N20" s="88"/>
      <c r="O20" s="90"/>
      <c r="P20" s="116"/>
    </row>
    <row r="21" spans="2:16" ht="16.5">
      <c r="B21" s="115"/>
      <c r="C21" s="87" t="s">
        <v>192</v>
      </c>
      <c r="D21" s="88"/>
      <c r="E21" s="88"/>
      <c r="F21" s="84"/>
      <c r="G21" s="88"/>
      <c r="H21" s="100">
        <v>4500</v>
      </c>
      <c r="I21" s="120" t="s">
        <v>187</v>
      </c>
      <c r="J21" s="120"/>
      <c r="K21" s="88"/>
      <c r="L21" s="88"/>
      <c r="M21" s="88"/>
      <c r="N21" s="88"/>
      <c r="O21" s="90"/>
      <c r="P21" s="116"/>
    </row>
    <row r="22" spans="2:16" ht="16.5">
      <c r="B22" s="115"/>
      <c r="C22" s="87" t="s">
        <v>193</v>
      </c>
      <c r="D22" s="88"/>
      <c r="E22" s="88"/>
      <c r="F22" s="84"/>
      <c r="G22" s="88"/>
      <c r="H22" s="100">
        <v>179000</v>
      </c>
      <c r="I22" s="120" t="s">
        <v>187</v>
      </c>
      <c r="J22" s="120"/>
      <c r="K22" s="88" t="s">
        <v>194</v>
      </c>
      <c r="L22" s="88"/>
      <c r="M22" s="88"/>
      <c r="N22" s="88"/>
      <c r="O22" s="90"/>
      <c r="P22" s="116"/>
    </row>
    <row r="23" spans="2:16" ht="16.5">
      <c r="B23" s="115"/>
      <c r="C23" s="87" t="s">
        <v>195</v>
      </c>
      <c r="D23" s="88"/>
      <c r="E23" s="88"/>
      <c r="F23" s="84"/>
      <c r="G23" s="88"/>
      <c r="H23" s="100">
        <v>24000</v>
      </c>
      <c r="I23" s="120" t="s">
        <v>187</v>
      </c>
      <c r="J23" s="120"/>
      <c r="K23" s="88" t="s">
        <v>196</v>
      </c>
      <c r="L23" s="88"/>
      <c r="M23" s="88"/>
      <c r="N23" s="88"/>
      <c r="O23" s="90"/>
      <c r="P23" s="116"/>
    </row>
    <row r="24" spans="2:16" ht="17.25" thickBot="1">
      <c r="B24" s="115"/>
      <c r="C24" s="87" t="s">
        <v>197</v>
      </c>
      <c r="D24" s="88"/>
      <c r="E24" s="88"/>
      <c r="F24" s="84"/>
      <c r="G24" s="88"/>
      <c r="H24" s="100">
        <v>22000</v>
      </c>
      <c r="I24" s="120" t="s">
        <v>187</v>
      </c>
      <c r="J24" s="120"/>
      <c r="K24" s="84" t="s">
        <v>198</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199</v>
      </c>
      <c r="D27" s="96"/>
      <c r="E27" s="96"/>
      <c r="F27" s="96"/>
      <c r="G27" s="96"/>
      <c r="H27" s="97" t="s">
        <v>200</v>
      </c>
      <c r="I27" s="97"/>
      <c r="J27" s="96"/>
      <c r="K27" s="96" t="s">
        <v>148</v>
      </c>
      <c r="L27" s="96"/>
      <c r="M27" s="96"/>
      <c r="N27" s="96"/>
      <c r="O27" s="98"/>
      <c r="P27" s="116"/>
    </row>
    <row r="28" spans="2:16" ht="16.5">
      <c r="B28" s="115"/>
      <c r="C28" s="87" t="s">
        <v>201</v>
      </c>
      <c r="D28" s="88"/>
      <c r="E28" s="88"/>
      <c r="F28" s="88"/>
      <c r="G28" s="88"/>
      <c r="H28" s="100">
        <v>0</v>
      </c>
      <c r="I28" s="100"/>
      <c r="J28" s="88"/>
      <c r="K28" s="88" t="s">
        <v>202</v>
      </c>
      <c r="L28" s="88"/>
      <c r="M28" s="88"/>
      <c r="N28" s="88"/>
      <c r="O28" s="90"/>
      <c r="P28" s="116"/>
    </row>
    <row r="29" spans="2:16" ht="16.5">
      <c r="B29" s="115"/>
      <c r="C29" s="87" t="s">
        <v>203</v>
      </c>
      <c r="D29" s="88"/>
      <c r="E29" s="88"/>
      <c r="F29" s="88"/>
      <c r="G29" s="88"/>
      <c r="H29" s="100">
        <v>16000</v>
      </c>
      <c r="I29" s="100"/>
      <c r="J29" s="88"/>
      <c r="K29" s="88" t="s">
        <v>204</v>
      </c>
      <c r="L29" s="88"/>
      <c r="M29" s="88"/>
      <c r="N29" s="88"/>
      <c r="O29" s="90"/>
      <c r="P29" s="116"/>
    </row>
    <row r="30" spans="2:16" ht="16.5">
      <c r="B30" s="115"/>
      <c r="C30" s="87" t="s">
        <v>205</v>
      </c>
      <c r="D30" s="88"/>
      <c r="E30" s="88"/>
      <c r="F30" s="88"/>
      <c r="G30" s="88"/>
      <c r="H30" s="100">
        <v>122000</v>
      </c>
      <c r="I30" s="100"/>
      <c r="J30" s="88"/>
      <c r="K30" s="88" t="s">
        <v>194</v>
      </c>
      <c r="L30" s="88"/>
      <c r="M30" s="88"/>
      <c r="N30" s="88"/>
      <c r="O30" s="90"/>
      <c r="P30" s="116"/>
    </row>
    <row r="31" spans="2:16" ht="16.5">
      <c r="B31" s="115"/>
      <c r="C31" s="87" t="s">
        <v>206</v>
      </c>
      <c r="D31" s="88"/>
      <c r="E31" s="88"/>
      <c r="F31" s="88"/>
      <c r="G31" s="88"/>
      <c r="H31" s="100">
        <v>0</v>
      </c>
      <c r="I31" s="100"/>
      <c r="J31" s="88"/>
      <c r="K31" s="88" t="s">
        <v>202</v>
      </c>
      <c r="L31" s="88"/>
      <c r="M31" s="88"/>
      <c r="N31" s="88"/>
      <c r="O31" s="90"/>
      <c r="P31" s="116"/>
    </row>
    <row r="32" spans="2:16" ht="17.25" thickBot="1">
      <c r="B32" s="115"/>
      <c r="C32" s="87" t="s">
        <v>207</v>
      </c>
      <c r="D32" s="88"/>
      <c r="E32" s="88"/>
      <c r="F32" s="88"/>
      <c r="G32" s="88"/>
      <c r="H32" s="100">
        <v>0</v>
      </c>
      <c r="I32" s="100"/>
      <c r="J32" s="88"/>
      <c r="K32" s="88" t="s">
        <v>202</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181</v>
      </c>
      <c r="D35" s="80"/>
      <c r="E35" s="80"/>
      <c r="F35" s="80"/>
      <c r="G35" s="80"/>
      <c r="H35" s="81" t="s">
        <v>184</v>
      </c>
      <c r="I35" s="81"/>
      <c r="J35" s="80"/>
      <c r="K35" s="80" t="s">
        <v>148</v>
      </c>
      <c r="L35" s="80"/>
      <c r="M35" s="80"/>
      <c r="N35" s="80"/>
      <c r="O35" s="82"/>
      <c r="P35" s="116"/>
    </row>
    <row r="36" spans="2:16" ht="16.5">
      <c r="B36" s="115"/>
      <c r="C36" s="87" t="s">
        <v>183</v>
      </c>
      <c r="D36" s="88"/>
      <c r="E36" s="88"/>
      <c r="F36" s="88"/>
      <c r="G36" s="88"/>
      <c r="H36" s="100">
        <f>H25</f>
        <v>260800</v>
      </c>
      <c r="I36" s="100"/>
      <c r="J36" s="88"/>
      <c r="K36" s="88"/>
      <c r="L36" s="88"/>
      <c r="M36" s="88"/>
      <c r="N36" s="88"/>
      <c r="O36" s="90"/>
      <c r="P36" s="116"/>
    </row>
    <row r="37" spans="2:16" ht="17.25" thickBot="1">
      <c r="B37" s="115"/>
      <c r="C37" s="87" t="s">
        <v>199</v>
      </c>
      <c r="D37" s="88"/>
      <c r="E37" s="88"/>
      <c r="F37" s="88"/>
      <c r="G37" s="88"/>
      <c r="H37" s="100">
        <f>-H33</f>
        <v>-138000</v>
      </c>
      <c r="I37" s="100"/>
      <c r="J37" s="88"/>
      <c r="K37" s="88"/>
      <c r="L37" s="88"/>
      <c r="M37" s="88"/>
      <c r="N37" s="88"/>
      <c r="O37" s="90"/>
      <c r="P37" s="116"/>
    </row>
    <row r="38" spans="2:16" ht="17.25" thickTop="1">
      <c r="B38" s="115"/>
      <c r="C38" s="91" t="s">
        <v>179</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372</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2024-05-26T08:25:57Z</dcterms:modified>
</cp:coreProperties>
</file>