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filterPrivacy="1" codeName="ThisWorkbook"/>
  <xr:revisionPtr revIDLastSave="0" documentId="13_ncr:1_{4D03F65D-244F-4B73-837F-43095D5AC229}"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9825" yWindow="3705" windowWidth="29010" windowHeight="15345"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F118" i="10"/>
  <c r="H58" i="10"/>
  <c r="G41" i="10"/>
  <c r="F51" i="10" l="1"/>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<sst xmlns="http://schemas.openxmlformats.org/spreadsheetml/2006/main" count="953" uniqueCount="486">
  <si>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</si>
  <si>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</si>
  <si>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</si>
  <si>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</si>
  <si>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</si>
  <si>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</si>
  <si>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</si>
  <si>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</si>
  <si>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</si>
  <si>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</si>
  <si>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</si>
  <si>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</si>
  <si>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</si>
  <si>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</si>
  <si>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</si>
  <si>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</si>
  <si>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</si>
  <si>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</si>
  <si>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</si>
  <si>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</si>
  <si>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</si>
  <si>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</si>
  <si>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</si>
  <si>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</si>
  <si>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</si>
  <si>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</si>
  <si>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</si>
  <si>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</si>
  <si>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</si>
  <si>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</si>
  <si>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</si>
  <si>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</si>
  <si>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</si>
  <si>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</si>
  <si>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</si>
  <si>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</si>
  <si>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</si>
  <si>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</si>
  <si>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</si>
  <si>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</si>
  <si>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</si>
  <si>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</si>
  <si>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</si>
  <si>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</si>
  <si>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</si>
  <si>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</si>
  <si>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</si>
  <si>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</si>
  <si>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</si>
  <si>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</si>
  <si>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</si>
  <si>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</si>
  <si>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</si>
  <si>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</si>
  <si>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</si>
  <si>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</si>
  <si>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</si>
  <si>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</si>
  <si>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</si>
  <si>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</si>
  <si>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</si>
  <si>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</si>
  <si>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</si>
  <si>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</si>
  <si>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</si>
  <si>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</si>
  <si>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</si>
  <si>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</si>
  <si>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</si>
  <si>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</si>
  <si>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</si>
  <si>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</si>
  <si>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</si>
  <si>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</si>
  <si>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</si>
  <si>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</si>
  <si>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</si>
  <si>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</si>
  <si>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</si>
  <si>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</si>
  <si>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</si>
  <si>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</si>
  <si>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</si>
  <si>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</si>
  <si>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</si>
  <si>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</si>
  <si>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</si>
  <si>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</si>
  <si>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</si>
  <si>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</si>
  <si>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</si>
  <si>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</si>
  <si>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</si>
  <si>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</si>
  <si>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</si>
  <si>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</si>
  <si>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</si>
  <si>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</si>
  <si>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</si>
  <si>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</si>
  <si>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</si>
  <si>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</si>
  <si>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</si>
  <si>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</si>
  <si>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</si>
  <si>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</si>
  <si>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</si>
  <si>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</si>
  <si>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</si>
  <si>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</si>
  <si>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</si>
  <si>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</si>
  <si>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</si>
  <si>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</si>
  <si>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</si>
  <si>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</si>
  <si>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</si>
  <si>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</si>
  <si>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</si>
  <si>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</si>
  <si>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</si>
  <si>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</si>
  <si>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</si>
  <si>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</si>
  <si>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</si>
  <si>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</si>
  <si>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</si>
  <si>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</si>
  <si>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</si>
  <si>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</si>
  <si>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</si>
  <si>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</si>
  <si>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</si>
  <si>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</si>
  <si>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</si>
  <si>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</si>
  <si>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</si>
  <si>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</si>
  <si>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</si>
  <si>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</si>
  <si>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</si>
  <si>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</si>
  <si>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</si>
  <si>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</si>
  <si>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</si>
  <si>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</si>
  <si>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</si>
  <si>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</si>
  <si>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</si>
  <si>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</si>
  <si>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</si>
  <si>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</si>
  <si>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</si>
  <si>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</si>
  <si>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</si>
  <si>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</si>
  <si>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</si>
  <si>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</si>
  <si>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</si>
  <si>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</si>
  <si>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</si>
  <si>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</si>
  <si>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</si>
  <si>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</si>
  <si>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</si>
  <si>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</si>
  <si>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</si>
  <si>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</si>
  <si>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</si>
  <si>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</si>
  <si>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</si>
  <si>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</si>
  <si>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</si>
  <si>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</si>
  <si>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</si>
  <si>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</si>
  <si>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</si>
  <si>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</si>
  <si>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</si>
  <si>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</si>
  <si>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</si>
  <si>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</si>
  <si>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</si>
  <si>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</si>
  <si>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</si>
  <si>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</si>
  <si>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</si>
  <si>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</si>
  <si>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</si>
  <si>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</si>
  <si>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</si>
  <si>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</si>
  <si>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</si>
  <si>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</si>
  <si>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</si>
  <si>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</si>
  <si>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</si>
  <si>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</si>
  <si>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</si>
  <si>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</si>
  <si>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</si>
  <si>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</si>
  <si>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</si>
  <si>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</si>
  <si>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</si>
  <si>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</si>
  <si>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</si>
  <si>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</si>
  <si>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</si>
  <si>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</si>
  <si>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</si>
  <si>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</si>
  <si>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</si>
  <si>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</si>
  <si>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</si>
  <si>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</si>
  <si>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</si>
  <si>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</si>
  <si>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</si>
  <si>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</si>
  <si>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</si>
  <si>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</si>
  <si>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</si>
  <si>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</si>
  <si>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</si>
  <si>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</si>
  <si>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</si>
  <si>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</si>
  <si>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</si>
  <si>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</si>
  <si>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</si>
  <si>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</si>
  <si>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</si>
  <si>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</si>
  <si>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</si>
  <si>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</si>
  <si>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</si>
  <si>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</si>
  <si>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</si>
  <si>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</si>
  <si>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</si>
  <si>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</si>
  <si>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</si>
  <si>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</si>
  <si>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</si>
  <si>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</si>
  <si>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</si>
  <si>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</si>
  <si>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</si>
  <si>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</si>
  <si>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</si>
  <si>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</si>
  <si>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</si>
  <si>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</si>
  <si>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</si>
  <si>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</si>
  <si>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</si>
  <si>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</si>
  <si>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</si>
  <si>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</si>
  <si>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</si>
  <si>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</si>
  <si>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</si>
  <si>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</si>
  <si>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</si>
  <si>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</si>
  <si>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</si>
  <si>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</si>
  <si>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</si>
  <si>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</si>
  <si>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</si>
  <si>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</si>
  <si>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</si>
  <si>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</si>
  <si>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</si>
  <si>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</si>
  <si>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</si>
  <si>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</si>
  <si>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</si>
  <si>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</si>
  <si>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</si>
  <si>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</si>
  <si>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</si>
  <si>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</si>
  <si>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</si>
  <si>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</si>
  <si>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</si>
  <si>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</si>
  <si>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</si>
  <si>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</si>
  <si>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</si>
  <si>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</si>
  <si>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</si>
  <si>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</si>
  <si>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</si>
  <si>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</si>
  <si>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</si>
  <si>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</si>
  <si>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</si>
  <si>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</si>
  <si>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</si>
  <si>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</si>
  <si>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</si>
  <si>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</si>
  <si>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</si>
  <si>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</si>
  <si>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</si>
  <si>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</si>
  <si>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</si>
  <si>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</si>
  <si>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</si>
  <si>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</si>
  <si>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</si>
  <si>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</si>
  <si>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</si>
  <si>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</si>
  <si>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</si>
  <si>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</si>
  <si>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</si>
  <si>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</si>
  <si>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</si>
  <si>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</si>
  <si>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</si>
  <si>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</si>
  <si>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</si>
  <si>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</si>
  <si>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</si>
  <si>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</si>
  <si>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</si>
  <si>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</si>
  <si>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</si>
  <si>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</si>
  <si>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</si>
  <si>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</si>
  <si>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</si>
  <si>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</si>
  <si>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</si>
  <si>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</si>
  <si>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</si>
  <si>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</si>
  <si>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</si>
  <si>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</si>
  <si>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</si>
  <si>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</si>
  <si>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</si>
  <si>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</si>
  <si>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</si>
  <si>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</si>
  <si>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</si>
  <si>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</si>
  <si>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</si>
  <si>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</si>
  <si>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</si>
  <si>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</si>
  <si>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</si>
  <si>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</si>
  <si>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</si>
  <si>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</si>
  <si>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</si>
  <si>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</si>
  <si>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</si>
  <si>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</si>
  <si>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</si>
  <si>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</si>
  <si>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</si>
  <si>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</si>
  <si>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</si>
  <si>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</si>
  <si>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</si>
  <si>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</si>
  <si>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</si>
  <si>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</si>
  <si>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</si>
  <si>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</si>
  <si>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</si>
  <si>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</si>
  <si>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</si>
  <si>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</si>
  <si>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</si>
  <si>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</si>
  <si>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</si>
  <si>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</si>
  <si>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</si>
  <si>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</si>
  <si>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</si>
  <si>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</si>
  <si>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</si>
  <si>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</si>
  <si>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</si>
  <si>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</si>
  <si>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</si>
  <si>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</si>
  <si>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</si>
  <si>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</si>
  <si>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</si>
  <si>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</si>
  <si>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</si>
  <si>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</si>
  <si>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</si>
  <si>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</si>
  <si>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</si>
  <si>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</si>
  <si>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</si>
  <si>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</si>
  <si>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</si>
  <si>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</si>
  <si>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</si>
  <si>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</si>
  <si>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</si>
  <si>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</si>
  <si>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</si>
  <si>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</si>
  <si>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</si>
  <si>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</si>
  <si>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</si>
  <si>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</si>
  <si>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</si>
  <si>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</si>
  <si>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</si>
  <si>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</si>
  <si>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</si>
  <si>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</si>
  <si>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</si>
  <si>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</si>
  <si>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</si>
  <si>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</si>
  <si>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</si>
  <si>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</si>
  <si>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</si>
  <si>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</si>
  <si>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</si>
  <si>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</si>
  <si>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</si>
  <si>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</si>
  <si>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</si>
  <si>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</si>
  <si>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</si>
  <si>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</si>
  <si>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</si>
  <si>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</si>
  <si>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</si>
  <si>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</si>
  <si>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</si>
  <si>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</si>
  <si>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</si>
  <si>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</si>
  <si>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</si>
  <si>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</si>
  <si>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</si>
  <si>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</si>
  <si>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</si>
  <si>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</si>
  <si>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</si>
  <si>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</si>
  <si>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</si>
  <si>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</si>
  <si>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</si>
  <si>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</si>
  <si>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</si>
  <si>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</si>
  <si>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</si>
  <si>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</si>
  <si>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</si>
  <si>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</si>
  <si>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</si>
  <si>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</si>
  <si>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</si>
  <si>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</si>
  <si>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</si>
  <si>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</si>
  <si>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</si>
  <si>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</si>
  <si>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</si>
  <si>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</si>
  <si>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</si>
  <si>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</si>
  <si>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</si>
  <si>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</si>
  <si>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</si>
  <si>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Musterstr. 11, 1234 Musterstadt</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</si>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</sst>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85.36</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278</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347.5</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702</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111200</c:v>
                </c:pt>
                <c:pt idx="1">
                  <c:v>107864</c:v>
                </c:pt>
                <c:pt idx="2">
                  <c:v>104402.9</c:v>
                </c:pt>
                <c:pt idx="3">
                  <c:v>100812.00874999999</c:v>
                </c:pt>
                <c:pt idx="4">
                  <c:v>97086.459078124986</c:v>
                </c:pt>
                <c:pt idx="5">
                  <c:v>93221.201293554666</c:v>
                </c:pt>
                <c:pt idx="6">
                  <c:v>89210.996342062965</c:v>
                </c:pt>
                <c:pt idx="7">
                  <c:v>85050.408704890331</c:v>
                </c:pt>
                <c:pt idx="8">
                  <c:v>80733.799031323724</c:v>
                </c:pt>
                <c:pt idx="9">
                  <c:v>76255.316494998362</c:v>
                </c:pt>
                <c:pt idx="10">
                  <c:v>71608.890863560795</c:v>
                </c:pt>
                <c:pt idx="11">
                  <c:v>66788.224270944324</c:v>
                </c:pt>
                <c:pt idx="12">
                  <c:v>61786.782681104734</c:v>
                </c:pt>
                <c:pt idx="13">
                  <c:v>56597.787031646163</c:v>
                </c:pt>
                <c:pt idx="14">
                  <c:v>51214.204045332895</c:v>
                </c:pt>
                <c:pt idx="15">
                  <c:v>45628.73669703288</c:v>
                </c:pt>
                <c:pt idx="16">
                  <c:v>39833.814323171609</c:v>
                </c:pt>
                <c:pt idx="17">
                  <c:v>33821.582360290544</c:v>
                </c:pt>
                <c:pt idx="18">
                  <c:v>27583.891698801439</c:v>
                </c:pt>
                <c:pt idx="19">
                  <c:v>21112.287637506492</c:v>
                </c:pt>
                <c:pt idx="20">
                  <c:v>14397.998423912984</c:v>
                </c:pt>
                <c:pt idx="21">
                  <c:v>7431.9233648097215</c:v>
                </c:pt>
                <c:pt idx="22">
                  <c:v>204.62049099008618</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4170</c:v>
                </c:pt>
                <c:pt idx="1">
                  <c:v>8214.9</c:v>
                </c:pt>
                <c:pt idx="2">
                  <c:v>12130.008749999999</c:v>
                </c:pt>
                <c:pt idx="3">
                  <c:v>15910.459078124999</c:v>
                </c:pt>
                <c:pt idx="4">
                  <c:v>19551.201293554685</c:v>
                </c:pt>
                <c:pt idx="5">
                  <c:v>23046.996342062983</c:v>
                </c:pt>
                <c:pt idx="6">
                  <c:v>26392.408704890346</c:v>
                </c:pt>
                <c:pt idx="7">
                  <c:v>29581.799031323731</c:v>
                </c:pt>
                <c:pt idx="8">
                  <c:v>32609.316494998369</c:v>
                </c:pt>
                <c:pt idx="9">
                  <c:v>35468.89086356081</c:v>
                </c:pt>
                <c:pt idx="10">
                  <c:v>38154.224270944338</c:v>
                </c:pt>
                <c:pt idx="11">
                  <c:v>40658.782681104749</c:v>
                </c:pt>
                <c:pt idx="12">
                  <c:v>42975.787031646178</c:v>
                </c:pt>
                <c:pt idx="13">
                  <c:v>45098.20404533291</c:v>
                </c:pt>
                <c:pt idx="14">
                  <c:v>47018.736697032895</c:v>
                </c:pt>
                <c:pt idx="15">
                  <c:v>48729.814323171631</c:v>
                </c:pt>
                <c:pt idx="16">
                  <c:v>50223.582360290566</c:v>
                </c:pt>
                <c:pt idx="17">
                  <c:v>51491.891698801461</c:v>
                </c:pt>
                <c:pt idx="18">
                  <c:v>52526.287637506517</c:v>
                </c:pt>
                <c:pt idx="19">
                  <c:v>53317.998423913014</c:v>
                </c:pt>
                <c:pt idx="20">
                  <c:v>53857.923364809751</c:v>
                </c:pt>
                <c:pt idx="21">
                  <c:v>54136.620490990113</c:v>
                </c:pt>
                <c:pt idx="22">
                  <c:v>54144.293759402244</c:v>
                </c:pt>
                <c:pt idx="23">
                  <c:v>54144.293759402244</c:v>
                </c:pt>
                <c:pt idx="24">
                  <c:v>54144.293759402244</c:v>
                </c:pt>
                <c:pt idx="25">
                  <c:v>54144.293759402244</c:v>
                </c:pt>
                <c:pt idx="26">
                  <c:v>54144.293759402244</c:v>
                </c:pt>
                <c:pt idx="27">
                  <c:v>54144.293759402244</c:v>
                </c:pt>
                <c:pt idx="28">
                  <c:v>54144.293759402244</c:v>
                </c:pt>
                <c:pt idx="29">
                  <c:v>54144.293759402244</c:v>
                </c:pt>
                <c:pt idx="30">
                  <c:v>54144.293759402244</c:v>
                </c:pt>
                <c:pt idx="31">
                  <c:v>54144.293759402244</c:v>
                </c:pt>
                <c:pt idx="32">
                  <c:v>54144.293759402244</c:v>
                </c:pt>
                <c:pt idx="33">
                  <c:v>54144.293759402244</c:v>
                </c:pt>
                <c:pt idx="34">
                  <c:v>54144.293759402244</c:v>
                </c:pt>
                <c:pt idx="35">
                  <c:v>54144.293759402244</c:v>
                </c:pt>
                <c:pt idx="36">
                  <c:v>54144.293759402244</c:v>
                </c:pt>
                <c:pt idx="37">
                  <c:v>54144.293759402244</c:v>
                </c:pt>
                <c:pt idx="38">
                  <c:v>54144.293759402244</c:v>
                </c:pt>
                <c:pt idx="39">
                  <c:v>54144.293759402244</c:v>
                </c:pt>
                <c:pt idx="40">
                  <c:v>54144.293759402244</c:v>
                </c:pt>
                <c:pt idx="41">
                  <c:v>54144.293759402244</c:v>
                </c:pt>
                <c:pt idx="42">
                  <c:v>54144.293759402244</c:v>
                </c:pt>
                <c:pt idx="43">
                  <c:v>54144.293759402244</c:v>
                </c:pt>
                <c:pt idx="44">
                  <c:v>54144.293759402244</c:v>
                </c:pt>
                <c:pt idx="45">
                  <c:v>54144.293759402244</c:v>
                </c:pt>
                <c:pt idx="46">
                  <c:v>54144.293759402244</c:v>
                </c:pt>
                <c:pt idx="47">
                  <c:v>54144.293759402244</c:v>
                </c:pt>
                <c:pt idx="48">
                  <c:v>54144.293759402244</c:v>
                </c:pt>
                <c:pt idx="49">
                  <c:v>54144.293759402244</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27800</c:v>
                </c:pt>
                <c:pt idx="1">
                  <c:v>33916</c:v>
                </c:pt>
                <c:pt idx="2">
                  <c:v>40212.700000000012</c:v>
                </c:pt>
                <c:pt idx="3">
                  <c:v>46695.903250000018</c:v>
                </c:pt>
                <c:pt idx="4">
                  <c:v>53371.611161875015</c:v>
                </c:pt>
                <c:pt idx="5">
                  <c:v>60246.030351245325</c:v>
                </c:pt>
                <c:pt idx="6">
                  <c:v>67325.579935633039</c:v>
                </c:pt>
                <c:pt idx="7">
                  <c:v>74616.899098359587</c:v>
                </c:pt>
                <c:pt idx="8">
                  <c:v>82126.854927991197</c:v>
                </c:pt>
                <c:pt idx="9">
                  <c:v>89862.550543502861</c:v>
                </c:pt>
                <c:pt idx="10">
                  <c:v>97831.333515710445</c:v>
                </c:pt>
                <c:pt idx="11">
                  <c:v>106040.80459591233</c:v>
                </c:pt>
                <c:pt idx="12">
                  <c:v>114498.82676308905</c:v>
                </c:pt>
                <c:pt idx="13">
                  <c:v>123213.5346014315</c:v>
                </c:pt>
                <c:pt idx="14">
                  <c:v>132193.34402040631</c:v>
                </c:pt>
                <c:pt idx="15">
                  <c:v>141446.96233002114</c:v>
                </c:pt>
                <c:pt idx="16">
                  <c:v>150983.39868442348</c:v>
                </c:pt>
                <c:pt idx="17">
                  <c:v>160811.97490745646</c:v>
                </c:pt>
                <c:pt idx="18">
                  <c:v>170942.3367143005</c:v>
                </c:pt>
                <c:pt idx="19">
                  <c:v>181384.4653438575</c:v>
                </c:pt>
                <c:pt idx="20">
                  <c:v>192148.68961707829</c:v>
                </c:pt>
                <c:pt idx="21">
                  <c:v>203245.69843700138</c:v>
                </c:pt>
                <c:pt idx="22">
                  <c:v>214686.55374685724</c:v>
                </c:pt>
                <c:pt idx="23">
                  <c:v>219188.99772260428</c:v>
                </c:pt>
                <c:pt idx="24">
                  <c:v>223572.77767705638</c:v>
                </c:pt>
                <c:pt idx="25">
                  <c:v>228044.23323059751</c:v>
                </c:pt>
                <c:pt idx="26">
                  <c:v>232605.11789520946</c:v>
                </c:pt>
                <c:pt idx="27">
                  <c:v>237257.22025311366</c:v>
                </c:pt>
                <c:pt idx="28">
                  <c:v>242002.36465817594</c:v>
                </c:pt>
                <c:pt idx="29">
                  <c:v>246842.41195133945</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139000</c:v>
                </c:pt>
                <c:pt idx="1">
                  <c:v>141780</c:v>
                </c:pt>
                <c:pt idx="2">
                  <c:v>144615.6</c:v>
                </c:pt>
                <c:pt idx="3">
                  <c:v>147507.91200000001</c:v>
                </c:pt>
                <c:pt idx="4">
                  <c:v>150458.07024</c:v>
                </c:pt>
                <c:pt idx="5">
                  <c:v>153467.23164479999</c:v>
                </c:pt>
                <c:pt idx="6">
                  <c:v>156536.576277696</c:v>
                </c:pt>
                <c:pt idx="7">
                  <c:v>159667.30780324992</c:v>
                </c:pt>
                <c:pt idx="8">
                  <c:v>162860.65395931492</c:v>
                </c:pt>
                <c:pt idx="9">
                  <c:v>166117.86703850122</c:v>
                </c:pt>
                <c:pt idx="10">
                  <c:v>169440.22437927124</c:v>
                </c:pt>
                <c:pt idx="11">
                  <c:v>172829.02886685665</c:v>
                </c:pt>
                <c:pt idx="12">
                  <c:v>176285.60944419377</c:v>
                </c:pt>
                <c:pt idx="13">
                  <c:v>179811.32163307766</c:v>
                </c:pt>
                <c:pt idx="14">
                  <c:v>183407.54806573922</c:v>
                </c:pt>
                <c:pt idx="15">
                  <c:v>187075.69902705401</c:v>
                </c:pt>
                <c:pt idx="16">
                  <c:v>190817.2130075951</c:v>
                </c:pt>
                <c:pt idx="17">
                  <c:v>194633.557267747</c:v>
                </c:pt>
                <c:pt idx="18">
                  <c:v>198526.22841310196</c:v>
                </c:pt>
                <c:pt idx="19">
                  <c:v>202496.752981364</c:v>
                </c:pt>
                <c:pt idx="20">
                  <c:v>206546.68804099128</c:v>
                </c:pt>
                <c:pt idx="21">
                  <c:v>210677.6218018111</c:v>
                </c:pt>
                <c:pt idx="22">
                  <c:v>214891.17423784733</c:v>
                </c:pt>
                <c:pt idx="23">
                  <c:v>219188.99772260428</c:v>
                </c:pt>
                <c:pt idx="24">
                  <c:v>223572.77767705638</c:v>
                </c:pt>
                <c:pt idx="25">
                  <c:v>228044.23323059751</c:v>
                </c:pt>
                <c:pt idx="26">
                  <c:v>232605.11789520946</c:v>
                </c:pt>
                <c:pt idx="27">
                  <c:v>237257.22025311366</c:v>
                </c:pt>
                <c:pt idx="28">
                  <c:v>242002.36465817594</c:v>
                </c:pt>
                <c:pt idx="29">
                  <c:v>246842.41195133945</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139000</c:v>
                </c:pt>
                <c:pt idx="1">
                  <c:v>14817.4</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145.36000000000001</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347.5</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84.055099999999996</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278</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762</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-92.91510000000001</c:v>
                </c:pt>
                <c:pt idx="1">
                  <c:v>-86.126899999999921</c:v>
                </c:pt>
                <c:pt idx="2">
                  <c:v>-79.155868999999939</c:v>
                </c:pt>
                <c:pt idx="3">
                  <c:v>-71.997485682499843</c:v>
                </c:pt>
                <c:pt idx="4">
                  <c:v>-64.647132886943666</c:v>
                </c:pt>
                <c:pt idx="5">
                  <c:v>-57.100096300014542</c:v>
                </c:pt>
                <c:pt idx="6">
                  <c:v>-49.351563166814316</c:v>
                </c:pt>
                <c:pt idx="7">
                  <c:v>-41.396621025836708</c:v>
                </c:pt>
                <c:pt idx="8">
                  <c:v>-33.230256470822923</c:v>
                </c:pt>
                <c:pt idx="9">
                  <c:v>-24.847353942764926</c:v>
                </c:pt>
                <c:pt idx="10">
                  <c:v>-16.24269455551763</c:v>
                </c:pt>
                <c:pt idx="11">
                  <c:v>-7.410954958680037</c:v>
                </c:pt>
                <c:pt idx="12">
                  <c:v>1.6532937583900775</c:v>
                </c:pt>
                <c:pt idx="13">
                  <c:v>10.955587117333209</c:v>
                </c:pt>
                <c:pt idx="14">
                  <c:v>20.501568252002414</c:v>
                </c:pt>
                <c:pt idx="15">
                  <c:v>30.296988855569339</c:v>
                </c:pt>
                <c:pt idx="16">
                  <c:v>40.347710068714719</c:v>
                </c:pt>
                <c:pt idx="17">
                  <c:v>50.659703303817992</c:v>
                </c:pt>
                <c:pt idx="18">
                  <c:v>61.23905099979811</c:v>
                </c:pt>
                <c:pt idx="19">
                  <c:v>72.091947301950654</c:v>
                </c:pt>
                <c:pt idx="20">
                  <c:v>83.224698660842876</c:v>
                </c:pt>
                <c:pt idx="21">
                  <c:v>94.643724343989163</c:v>
                </c:pt>
                <c:pt idx="22">
                  <c:v>714.16441023686127</c:v>
                </c:pt>
                <c:pt idx="23">
                  <c:v>752.98397504499007</c:v>
                </c:pt>
                <c:pt idx="24">
                  <c:v>775.02586561151156</c:v>
                </c:pt>
                <c:pt idx="25">
                  <c:v>797.74550726133259</c:v>
                </c:pt>
                <c:pt idx="26">
                  <c:v>821.16356241427764</c:v>
                </c:pt>
                <c:pt idx="27">
                  <c:v>845.30131996051341</c:v>
                </c:pt>
                <c:pt idx="28">
                  <c:v>870.18071418661191</c:v>
                </c:pt>
                <c:pt idx="29">
                  <c:v>895.82434427203941</c:v>
                </c:pt>
                <c:pt idx="30">
                  <c:v>922.25549437322616</c:v>
                </c:pt>
                <c:pt idx="31">
                  <c:v>949.49815431290892</c:v>
                </c:pt>
                <c:pt idx="32">
                  <c:v>977.57704089295203</c:v>
                </c:pt>
                <c:pt idx="33">
                  <c:v>1006.5176198494096</c:v>
                </c:pt>
                <c:pt idx="34">
                  <c:v>1036.3461284691541</c:v>
                </c:pt>
                <c:pt idx="35">
                  <c:v>1067.0895988879761</c:v>
                </c:pt>
                <c:pt idx="36">
                  <c:v>1098.7758820906581</c:v>
                </c:pt>
                <c:pt idx="37">
                  <c:v>1131.4336726341412</c:v>
                </c:pt>
                <c:pt idx="38">
                  <c:v>1165.0925341155444</c:v>
                </c:pt>
                <c:pt idx="39">
                  <c:v>1199.7829254074366</c:v>
                </c:pt>
                <c:pt idx="40">
                  <c:v>1235.5362276834546</c:v>
                </c:pt>
                <c:pt idx="41">
                  <c:v>1272.3847722580285</c:v>
                </c:pt>
                <c:pt idx="42">
                  <c:v>1310.3618692647215</c:v>
                </c:pt>
                <c:pt idx="43">
                  <c:v>1349.5018371983942</c:v>
                </c:pt>
                <c:pt idx="44">
                  <c:v>1389.8400333471918</c:v>
                </c:pt>
                <c:pt idx="45">
                  <c:v>1431.4128851411101</c:v>
                </c:pt>
                <c:pt idx="46">
                  <c:v>1474.2579224447159</c:v>
                </c:pt>
                <c:pt idx="47">
                  <c:v>1518.4138108224176</c:v>
                </c:pt>
                <c:pt idx="48">
                  <c:v>1563.9203858055375</c:v>
                </c:pt>
                <c:pt idx="49">
                  <c:v>1610.8186881913196</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-43732.381199999996</c:v>
                </c:pt>
                <c:pt idx="1">
                  <c:v>-44765.903999999995</c:v>
                </c:pt>
                <c:pt idx="2">
                  <c:v>-45715.77442799999</c:v>
                </c:pt>
                <c:pt idx="3">
                  <c:v>-46579.744256189988</c:v>
                </c:pt>
                <c:pt idx="4">
                  <c:v>-47355.509850833318</c:v>
                </c:pt>
                <c:pt idx="5">
                  <c:v>-48040.711006433492</c:v>
                </c:pt>
                <c:pt idx="6">
                  <c:v>-48632.929764435263</c:v>
                </c:pt>
                <c:pt idx="7">
                  <c:v>-49129.689216745304</c:v>
                </c:pt>
                <c:pt idx="8">
                  <c:v>-49528.452294395174</c:v>
                </c:pt>
                <c:pt idx="9">
                  <c:v>-49826.620541708355</c:v>
                </c:pt>
                <c:pt idx="10">
                  <c:v>-50021.532876374571</c:v>
                </c:pt>
                <c:pt idx="11">
                  <c:v>-50110.464335878729</c:v>
                </c:pt>
                <c:pt idx="12">
                  <c:v>-50090.624810778048</c:v>
                </c:pt>
                <c:pt idx="13">
                  <c:v>-49959.157765370051</c:v>
                </c:pt>
                <c:pt idx="14">
                  <c:v>-49713.138946346022</c:v>
                </c:pt>
                <c:pt idx="15">
                  <c:v>-49349.575080079187</c:v>
                </c:pt>
                <c:pt idx="16">
                  <c:v>-48865.40255925461</c:v>
                </c:pt>
                <c:pt idx="17">
                  <c:v>-48257.486119608795</c:v>
                </c:pt>
                <c:pt idx="18">
                  <c:v>-47522.617507611219</c:v>
                </c:pt>
                <c:pt idx="19">
                  <c:v>-46657.514139987812</c:v>
                </c:pt>
                <c:pt idx="20">
                  <c:v>-45658.817756057695</c:v>
                </c:pt>
                <c:pt idx="21">
                  <c:v>-44523.093063929824</c:v>
                </c:pt>
                <c:pt idx="22">
                  <c:v>-35953.120141087493</c:v>
                </c:pt>
                <c:pt idx="23">
                  <c:v>-26917.312440547608</c:v>
                </c:pt>
                <c:pt idx="24">
                  <c:v>-17617.002053209471</c:v>
                </c:pt>
                <c:pt idx="25">
                  <c:v>-8044.0559660734798</c:v>
                </c:pt>
                <c:pt idx="26">
                  <c:v>1809.9067828978514</c:v>
                </c:pt>
                <c:pt idx="27">
                  <c:v>11953.52262242401</c:v>
                </c:pt>
                <c:pt idx="28">
                  <c:v>22395.691192663355</c:v>
                </c:pt>
                <c:pt idx="29">
                  <c:v>33145.583323927829</c:v>
                </c:pt>
                <c:pt idx="30">
                  <c:v>44212.649256406541</c:v>
                </c:pt>
                <c:pt idx="31">
                  <c:v>55606.627108161454</c:v>
                </c:pt>
                <c:pt idx="32">
                  <c:v>67337.551598876875</c:v>
                </c:pt>
                <c:pt idx="33">
                  <c:v>79415.763037069788</c:v>
                </c:pt>
                <c:pt idx="34">
                  <c:v>91851.916578699631</c:v>
                </c:pt>
                <c:pt idx="35">
                  <c:v>104656.99176535534</c:v>
                </c:pt>
                <c:pt idx="36">
                  <c:v>117842.30235044323</c:v>
                </c:pt>
                <c:pt idx="37">
                  <c:v>131419.50642205292</c:v>
                </c:pt>
                <c:pt idx="38">
                  <c:v>145400.61683143946</c:v>
                </c:pt>
                <c:pt idx="39">
                  <c:v>159798.01193632869</c:v>
                </c:pt>
                <c:pt idx="40">
                  <c:v>174624.44666853014</c:v>
                </c:pt>
                <c:pt idx="41">
                  <c:v>189893.0639356265</c:v>
                </c:pt>
                <c:pt idx="42">
                  <c:v>205617.40636680316</c:v>
                </c:pt>
                <c:pt idx="43">
                  <c:v>221811.42841318386</c:v>
                </c:pt>
                <c:pt idx="44">
                  <c:v>238489.50881335014</c:v>
                </c:pt>
                <c:pt idx="45">
                  <c:v>255666.46343504349</c:v>
                </c:pt>
                <c:pt idx="46">
                  <c:v>273357.55850438005</c:v>
                </c:pt>
                <c:pt idx="47">
                  <c:v>291578.52423424914</c:v>
                </c:pt>
                <c:pt idx="48">
                  <c:v>310345.56886391551</c:v>
                </c:pt>
                <c:pt idx="49">
                  <c:v>329675.39312221133</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7" t="s">
        <v>351</v>
      </c>
      <c r="C1" s="427"/>
      <c r="K1" s="147"/>
      <c r="L1" s="147"/>
      <c r="M1" s="427"/>
      <c r="N1" s="427"/>
      <c r="O1" s="427"/>
      <c r="P1" s="427"/>
      <c r="Q1" s="427"/>
      <c r="U1" s="237"/>
      <c r="X1" s="237"/>
      <c r="AB1" s="427"/>
      <c r="AC1" s="428"/>
    </row>
    <row r="2" spans="2:29" s="150" customFormat="1" ht="1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9" t="s">
        <v>374</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30" t="s">
        <v>375</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c r="B41" s="141"/>
      <c r="C41" s="425" t="s">
        <v>471</v>
      </c>
      <c r="D41" s="425"/>
      <c r="E41" s="425"/>
      <c r="F41" s="425"/>
      <c r="G41" s="425"/>
      <c r="H41" s="425"/>
      <c r="I41" s="425"/>
      <c r="J41" s="425"/>
      <c r="K41" s="425"/>
      <c r="L41" s="425"/>
      <c r="M41" s="142"/>
    </row>
    <row r="42" spans="2:13">
      <c r="B42" s="141"/>
      <c r="C42" s="426" t="s">
        <v>376</v>
      </c>
      <c r="D42" s="426"/>
      <c r="E42" s="426"/>
      <c r="F42" s="426"/>
      <c r="G42" s="426"/>
      <c r="H42" s="426"/>
      <c r="I42" s="426"/>
      <c r="J42" s="426"/>
      <c r="K42" s="426"/>
      <c r="L42" s="426"/>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N19" sqref="N19"/>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64" t="s">
        <v>353</v>
      </c>
      <c r="D1" s="427" t="s">
        <v>346</v>
      </c>
      <c r="E1" s="427"/>
      <c r="F1" s="147"/>
      <c r="G1" s="465" t="s">
        <v>350</v>
      </c>
      <c r="H1" s="465"/>
      <c r="I1" s="148"/>
      <c r="J1" s="427" t="s">
        <v>348</v>
      </c>
      <c r="K1" s="427"/>
      <c r="L1" s="149"/>
      <c r="M1" s="427" t="s">
        <v>114</v>
      </c>
      <c r="N1" s="427" t="s">
        <v>347</v>
      </c>
      <c r="O1" s="149"/>
      <c r="P1" s="427" t="s">
        <v>349</v>
      </c>
      <c r="Q1" s="427"/>
      <c r="S1" s="463" t="s">
        <v>373</v>
      </c>
      <c r="T1" s="463"/>
      <c r="V1" s="427"/>
      <c r="W1" s="427"/>
    </row>
    <row r="2" spans="1:23" s="150" customFormat="1" ht="1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5" customHeight="1"/>
    <row r="5" spans="1:23" ht="8.25" customHeight="1" thickBot="1"/>
    <row r="6" spans="1:23" s="21" customFormat="1" ht="23.25" customHeight="1" thickBot="1">
      <c r="B6" s="450" t="s">
        <v>118</v>
      </c>
      <c r="C6" s="451"/>
      <c r="D6" s="451"/>
      <c r="E6" s="452"/>
      <c r="G6" s="453" t="s">
        <v>119</v>
      </c>
      <c r="H6" s="454"/>
      <c r="J6" s="453" t="s">
        <v>79</v>
      </c>
      <c r="K6" s="454"/>
      <c r="L6" s="22"/>
      <c r="M6" s="453" t="s">
        <v>19</v>
      </c>
      <c r="N6" s="454"/>
      <c r="O6" s="22"/>
      <c r="P6" s="453" t="s">
        <v>115</v>
      </c>
      <c r="Q6" s="454"/>
      <c r="S6" s="453" t="s">
        <v>96</v>
      </c>
      <c r="T6" s="454"/>
      <c r="V6" s="453" t="s">
        <v>342</v>
      </c>
      <c r="W6" s="454"/>
    </row>
    <row r="7" spans="1:23" ht="15.75" thickBot="1"/>
    <row r="8" spans="1:23" ht="15.75" thickBot="1">
      <c r="B8" s="439" t="s">
        <v>355</v>
      </c>
      <c r="C8" s="447"/>
      <c r="D8" s="447"/>
      <c r="E8" s="440"/>
      <c r="G8" s="443" t="s">
        <v>15</v>
      </c>
      <c r="H8" s="444"/>
      <c r="J8" s="439" t="s">
        <v>400</v>
      </c>
      <c r="K8" s="440"/>
      <c r="M8" s="443" t="s">
        <v>116</v>
      </c>
      <c r="N8" s="444"/>
      <c r="P8" s="443" t="s">
        <v>121</v>
      </c>
      <c r="Q8" s="444"/>
      <c r="S8" s="439" t="s">
        <v>341</v>
      </c>
      <c r="T8" s="440"/>
      <c r="V8" s="443" t="s">
        <v>270</v>
      </c>
      <c r="W8" s="444"/>
    </row>
    <row r="9" spans="1:23">
      <c r="B9" s="166" t="s">
        <v>110</v>
      </c>
      <c r="C9" s="455" t="s">
        <v>479</v>
      </c>
      <c r="D9" s="455"/>
      <c r="E9" s="456"/>
      <c r="G9" s="151" t="s">
        <v>259</v>
      </c>
      <c r="H9" s="219">
        <v>18</v>
      </c>
      <c r="J9" s="166" t="s">
        <v>390</v>
      </c>
      <c r="K9" s="167">
        <f>K23</f>
        <v>60</v>
      </c>
      <c r="M9" s="166" t="s">
        <v>21</v>
      </c>
      <c r="N9" s="181">
        <f>N17+N25+N32+N39</f>
        <v>111200</v>
      </c>
      <c r="P9" s="166" t="s">
        <v>127</v>
      </c>
      <c r="Q9" s="181">
        <f>12*(-Q22+Q25)+'Wert, AfA, Darlehen'!D11</f>
        <v>5001.0187999999998</v>
      </c>
      <c r="S9" s="166" t="s">
        <v>95</v>
      </c>
      <c r="T9" s="236">
        <v>2044</v>
      </c>
      <c r="V9" s="194" t="s">
        <v>275</v>
      </c>
      <c r="W9" s="195">
        <f ca="1">IFERROR(OFFSET('Miete, Cashflow, Steuern'!C18,0,MATCH(TRUE,INDEX('Miete, Cashflow, Steuern'!$D$28:$BA$28&gt;0,0),0)),"-")</f>
        <v>2036</v>
      </c>
    </row>
    <row r="10" spans="1:23" ht="15.75" thickBot="1">
      <c r="B10" s="163" t="s">
        <v>356</v>
      </c>
      <c r="C10" s="211">
        <v>45413</v>
      </c>
      <c r="D10" s="23" t="s">
        <v>357</v>
      </c>
      <c r="E10" s="210" t="s">
        <v>358</v>
      </c>
      <c r="G10" s="152" t="s">
        <v>260</v>
      </c>
      <c r="H10" s="220">
        <f>C11*H9</f>
        <v>702</v>
      </c>
      <c r="J10" s="163" t="s">
        <v>391</v>
      </c>
      <c r="K10" s="157">
        <f>K30</f>
        <v>85.36</v>
      </c>
      <c r="M10" s="163" t="s">
        <v>26</v>
      </c>
      <c r="N10" s="178">
        <f>E35-N9</f>
        <v>42617.399999999994</v>
      </c>
      <c r="P10" s="183" t="s">
        <v>93</v>
      </c>
      <c r="Q10" s="175">
        <f>Q9-'Wert, AfA, Darlehen'!D11</f>
        <v>2221.0187999999998</v>
      </c>
      <c r="S10" s="162" t="s">
        <v>97</v>
      </c>
      <c r="T10" s="193">
        <f>T9-'Wert, AfA, Darlehen'!D37</f>
        <v>20</v>
      </c>
      <c r="V10" s="196" t="s">
        <v>269</v>
      </c>
      <c r="W10" s="155">
        <f ca="1">OFFSET('Miete, Cashflow, Steuern'!C32,0,MATCH(TRUE,INDEX('Miete, Cashflow, Steuern'!$D$28:$BA$28&gt;0,0),0)-1)</f>
        <v>-7493.0643358787347</v>
      </c>
    </row>
    <row r="11" spans="1:23" ht="15.75" thickBot="1">
      <c r="B11" s="162" t="s">
        <v>11</v>
      </c>
      <c r="C11" s="212">
        <v>39</v>
      </c>
      <c r="D11" s="204" t="s">
        <v>111</v>
      </c>
      <c r="E11" s="209">
        <v>1</v>
      </c>
      <c r="G11" s="153" t="s">
        <v>68</v>
      </c>
      <c r="H11" s="221">
        <v>0</v>
      </c>
      <c r="J11" s="168" t="s">
        <v>124</v>
      </c>
      <c r="K11" s="169">
        <f>K10/H15</f>
        <v>0.1215954415954416</v>
      </c>
      <c r="M11" s="163" t="s">
        <v>27</v>
      </c>
      <c r="N11" s="182">
        <f>IF(N9=0,"n/a",((N18*$N$17)+(N26*$N$25)+(N33*$N$32)+(N40*$N$39))/$N$9)</f>
        <v>3.7499999999999999E-2</v>
      </c>
      <c r="P11" s="5"/>
      <c r="Q11" s="5"/>
      <c r="S11" s="5"/>
      <c r="T11" s="5"/>
      <c r="V11" s="196" t="s">
        <v>271</v>
      </c>
      <c r="W11" s="197">
        <f ca="1">IFERROR(OFFSET('Miete, Cashflow, Steuern'!C18,0,MATCH(TRUE,INDEX('Miete, Cashflow, Steuern'!$D$32:$BA$32&gt;0,0),0)),"-")</f>
        <v>2046</v>
      </c>
    </row>
    <row r="12" spans="1:23" ht="15.75" thickBot="1">
      <c r="B12" s="5"/>
      <c r="C12" s="5"/>
      <c r="D12" s="5"/>
      <c r="E12" s="5"/>
      <c r="G12" s="153" t="s">
        <v>90</v>
      </c>
      <c r="H12" s="221">
        <v>0</v>
      </c>
      <c r="J12" s="170" t="s">
        <v>94</v>
      </c>
      <c r="K12" s="171">
        <f>K9+K10</f>
        <v>145.36000000000001</v>
      </c>
      <c r="M12" s="163" t="s">
        <v>28</v>
      </c>
      <c r="N12" s="182">
        <f>IF(N9=0,"n/a",((N19*$N$17)+(N27*$N$25)+(N34*$N$32)+(N41*$N$39))/$N$9)</f>
        <v>0.03</v>
      </c>
      <c r="P12" s="443" t="s">
        <v>125</v>
      </c>
      <c r="Q12" s="444"/>
      <c r="S12" s="439" t="s">
        <v>126</v>
      </c>
      <c r="T12" s="440"/>
      <c r="V12" s="198" t="s">
        <v>276</v>
      </c>
      <c r="W12" s="199">
        <f ca="1">IFERROR(OFFSET('Miete, Cashflow, Steuern'!C18,0,MATCH(TRUE,INDEX('Miete, Cashflow, Steuern'!$D$33:$BA$33&gt;0,0),0)),"-")</f>
        <v>2050</v>
      </c>
    </row>
    <row r="13" spans="1:23" ht="15.75" thickBot="1">
      <c r="B13" s="439" t="s">
        <v>117</v>
      </c>
      <c r="C13" s="447"/>
      <c r="D13" s="447"/>
      <c r="E13" s="440"/>
      <c r="G13" s="153" t="s">
        <v>67</v>
      </c>
      <c r="H13" s="154">
        <f>H10+H11+H12</f>
        <v>702</v>
      </c>
      <c r="J13" s="5"/>
      <c r="K13" s="24"/>
      <c r="M13" s="162" t="s">
        <v>385</v>
      </c>
      <c r="N13" s="175">
        <f>N20+N28+N35+N42</f>
        <v>625.50000000000011</v>
      </c>
      <c r="P13" s="166" t="s">
        <v>14</v>
      </c>
      <c r="Q13" s="181">
        <f>12*H15</f>
        <v>8424</v>
      </c>
      <c r="S13" s="151" t="s">
        <v>14</v>
      </c>
      <c r="T13" s="181">
        <f ca="1">OFFSET('Miete, Cashflow, Steuern'!D12,,Cockpit!T10)*12</f>
        <v>15214.681040855152</v>
      </c>
    </row>
    <row r="14" spans="1:23" ht="15.75" thickBot="1">
      <c r="B14" s="441" t="s">
        <v>1</v>
      </c>
      <c r="C14" s="442"/>
      <c r="D14" s="466">
        <v>139000</v>
      </c>
      <c r="E14" s="467"/>
      <c r="G14" s="153" t="s">
        <v>329</v>
      </c>
      <c r="H14" s="154">
        <f>'MFH-Kalkulator'!E12</f>
        <v>1287.5</v>
      </c>
      <c r="K14" s="5"/>
      <c r="N14" s="25"/>
      <c r="P14" s="184" t="s">
        <v>16</v>
      </c>
      <c r="Q14" s="185">
        <f>Q13/D14</f>
        <v>6.0604316546762592E-2</v>
      </c>
      <c r="S14" s="168" t="s">
        <v>366</v>
      </c>
      <c r="T14" s="190">
        <f ca="1">T13/12/C11</f>
        <v>32.510002224049472</v>
      </c>
      <c r="V14" s="439" t="s">
        <v>267</v>
      </c>
      <c r="W14" s="440"/>
    </row>
    <row r="15" spans="1:23" ht="15.75" thickBot="1">
      <c r="B15" s="461" t="s">
        <v>123</v>
      </c>
      <c r="C15" s="462"/>
      <c r="D15" s="459">
        <f>D14/C11</f>
        <v>3564.102564102564</v>
      </c>
      <c r="E15" s="460"/>
      <c r="G15" s="153" t="s">
        <v>327</v>
      </c>
      <c r="H15" s="155">
        <f>IF('MFH-Kalkulator'!$C$6="Ein",H14,H13)</f>
        <v>702</v>
      </c>
      <c r="J15" s="443" t="s">
        <v>386</v>
      </c>
      <c r="K15" s="444"/>
      <c r="M15" s="443" t="s">
        <v>20</v>
      </c>
      <c r="N15" s="444"/>
      <c r="P15" s="163" t="s">
        <v>18</v>
      </c>
      <c r="Q15" s="186">
        <f>D14/Q13</f>
        <v>16.500474833808166</v>
      </c>
      <c r="S15" s="173" t="s">
        <v>280</v>
      </c>
      <c r="T15" s="178">
        <f ca="1">OFFSET('Wert, AfA, Darlehen'!E8,,Cockpit!T10)</f>
        <v>210677.6218018111</v>
      </c>
      <c r="V15" s="151" t="s">
        <v>14</v>
      </c>
      <c r="W15" s="181">
        <f ca="1">OFFSET('Miete, Cashflow, Steuern'!D12,,Cockpit!T10)*12</f>
        <v>15214.681040855152</v>
      </c>
    </row>
    <row r="16" spans="1:23" ht="15.75" thickBot="1">
      <c r="B16" s="457" t="s">
        <v>4</v>
      </c>
      <c r="C16" s="458"/>
      <c r="D16" s="213">
        <v>3.5999999999999997E-2</v>
      </c>
      <c r="E16" s="214">
        <f>D16*$D$14</f>
        <v>5004</v>
      </c>
      <c r="G16" s="156" t="s">
        <v>476</v>
      </c>
      <c r="H16" s="157">
        <f>K9</f>
        <v>60</v>
      </c>
      <c r="J16" s="151" t="s">
        <v>389</v>
      </c>
      <c r="K16" s="227">
        <v>90</v>
      </c>
      <c r="M16" s="166" t="s">
        <v>340</v>
      </c>
      <c r="N16" s="233">
        <v>0.8</v>
      </c>
      <c r="P16" s="162" t="s">
        <v>17</v>
      </c>
      <c r="Q16" s="187">
        <f>(Q13-12*K10)/E35</f>
        <v>4.8106911181699866E-2</v>
      </c>
      <c r="S16" s="191" t="s">
        <v>2</v>
      </c>
      <c r="T16" s="192">
        <f ca="1">T15/C11</f>
        <v>5401.9903026105412</v>
      </c>
      <c r="V16" s="173" t="s">
        <v>18</v>
      </c>
      <c r="W16" s="235">
        <v>15</v>
      </c>
    </row>
    <row r="17" spans="2:23" ht="15.75" thickBot="1">
      <c r="B17" s="457" t="s">
        <v>5</v>
      </c>
      <c r="C17" s="458"/>
      <c r="D17" s="213">
        <v>1.4999999999999999E-2</v>
      </c>
      <c r="E17" s="214">
        <f>D17*$D$14</f>
        <v>2085</v>
      </c>
      <c r="G17" s="158" t="s">
        <v>477</v>
      </c>
      <c r="H17" s="159">
        <f>H15+H16</f>
        <v>762</v>
      </c>
      <c r="J17" s="176" t="s">
        <v>388</v>
      </c>
      <c r="K17" s="228">
        <v>30</v>
      </c>
      <c r="M17" s="163" t="s">
        <v>21</v>
      </c>
      <c r="N17" s="221">
        <f>N16*D14</f>
        <v>111200</v>
      </c>
      <c r="P17" s="5"/>
      <c r="Q17" s="5"/>
      <c r="S17" s="5"/>
      <c r="T17" s="5"/>
      <c r="V17" s="173" t="s">
        <v>51</v>
      </c>
      <c r="W17" s="178">
        <f ca="1">W15*W16</f>
        <v>228220.21561282728</v>
      </c>
    </row>
    <row r="18" spans="2:23" ht="15.75" thickBot="1">
      <c r="B18" s="457" t="s">
        <v>383</v>
      </c>
      <c r="C18" s="458"/>
      <c r="D18" s="213">
        <v>1.0999999999999999E-2</v>
      </c>
      <c r="E18" s="214">
        <f>D18*$D$14</f>
        <v>1529</v>
      </c>
      <c r="J18" s="203" t="s">
        <v>392</v>
      </c>
      <c r="K18" s="175">
        <f>K16-K17</f>
        <v>60</v>
      </c>
      <c r="M18" s="163" t="s">
        <v>22</v>
      </c>
      <c r="N18" s="232">
        <v>3.7499999999999999E-2</v>
      </c>
      <c r="P18" s="439" t="s">
        <v>91</v>
      </c>
      <c r="Q18" s="440"/>
      <c r="S18" s="439" t="s">
        <v>91</v>
      </c>
      <c r="T18" s="440"/>
      <c r="V18" s="191" t="s">
        <v>2</v>
      </c>
      <c r="W18" s="192">
        <f ca="1">W17/C11</f>
        <v>5851.8004003289043</v>
      </c>
    </row>
    <row r="19" spans="2:23" ht="15.75" thickBot="1">
      <c r="B19" s="457" t="s">
        <v>6</v>
      </c>
      <c r="C19" s="458"/>
      <c r="D19" s="213">
        <v>3.5000000000000003E-2</v>
      </c>
      <c r="E19" s="214">
        <f>D19*$D$14</f>
        <v>4865.0000000000009</v>
      </c>
      <c r="G19" s="439" t="s">
        <v>101</v>
      </c>
      <c r="H19" s="440"/>
      <c r="K19" s="5"/>
      <c r="M19" s="163" t="s">
        <v>23</v>
      </c>
      <c r="N19" s="232">
        <v>0.03</v>
      </c>
      <c r="P19" s="166" t="s">
        <v>478</v>
      </c>
      <c r="Q19" s="181">
        <f>H17</f>
        <v>762</v>
      </c>
      <c r="S19" s="166" t="s">
        <v>478</v>
      </c>
      <c r="T19" s="181">
        <f ca="1">OFFSET('Miete, Cashflow, Steuern'!D14,,Cockpit!T10)</f>
        <v>1357.0469304966307</v>
      </c>
    </row>
    <row r="20" spans="2:23" ht="15.75" thickBot="1">
      <c r="B20" s="457" t="s">
        <v>8</v>
      </c>
      <c r="C20" s="458"/>
      <c r="D20" s="213">
        <v>0</v>
      </c>
      <c r="E20" s="214">
        <f>D20*$D$14</f>
        <v>0</v>
      </c>
      <c r="G20" s="160" t="s">
        <v>35</v>
      </c>
      <c r="H20" s="222">
        <v>1.4999999999999999E-2</v>
      </c>
      <c r="J20" s="439" t="s">
        <v>393</v>
      </c>
      <c r="K20" s="440"/>
      <c r="M20" s="163" t="s">
        <v>385</v>
      </c>
      <c r="N20" s="178">
        <f>(N18+N19)*N17/12</f>
        <v>625.50000000000011</v>
      </c>
      <c r="P20" s="153" t="s">
        <v>29</v>
      </c>
      <c r="Q20" s="178">
        <f>-K12</f>
        <v>-145.36000000000001</v>
      </c>
      <c r="S20" s="153" t="s">
        <v>29</v>
      </c>
      <c r="T20" s="178">
        <f ca="1">OFFSET('Miete, Cashflow, Steuern'!D23,,Cockpit!T10)</f>
        <v>-222.7399639222474</v>
      </c>
      <c r="V20" s="439" t="s">
        <v>122</v>
      </c>
      <c r="W20" s="440"/>
    </row>
    <row r="21" spans="2:23" ht="15.75" thickBot="1">
      <c r="B21" s="457" t="s">
        <v>384</v>
      </c>
      <c r="C21" s="458"/>
      <c r="D21" s="213">
        <v>1.2E-2</v>
      </c>
      <c r="E21" s="214">
        <f>D21*$N$9</f>
        <v>1334.4</v>
      </c>
      <c r="G21" s="161" t="s">
        <v>105</v>
      </c>
      <c r="H21" s="223">
        <v>0.6</v>
      </c>
      <c r="J21" s="151" t="s">
        <v>397</v>
      </c>
      <c r="K21" s="167">
        <f>K18</f>
        <v>60</v>
      </c>
      <c r="M21" s="162" t="s">
        <v>98</v>
      </c>
      <c r="N21" s="180">
        <f>IFERROR(HLOOKUP(0,'Wert, AfA, Darlehen'!D50:BA105,56,FALSE),"-")</f>
        <v>2046</v>
      </c>
      <c r="P21" s="153" t="s">
        <v>31</v>
      </c>
      <c r="Q21" s="178">
        <f>-N11*N9/12</f>
        <v>-347.5</v>
      </c>
      <c r="S21" s="153" t="s">
        <v>31</v>
      </c>
      <c r="T21" s="178">
        <f ca="1">-OFFSET('Wert, AfA, Darlehen'!D110,,Cockpit!T10)/12</f>
        <v>-44.993745074728075</v>
      </c>
      <c r="U21" s="26"/>
      <c r="V21" s="151" t="s">
        <v>57</v>
      </c>
      <c r="W21" s="181">
        <f ca="1">-(T21-T25/(1-T33))</f>
        <v>183.70157617613287</v>
      </c>
    </row>
    <row r="22" spans="2:23" ht="15.75" thickBot="1">
      <c r="B22" s="448" t="s">
        <v>7</v>
      </c>
      <c r="C22" s="449"/>
      <c r="D22" s="205">
        <f>SUM(D16:D21)</f>
        <v>0.109</v>
      </c>
      <c r="E22" s="159">
        <f>SUM(E16:E21)</f>
        <v>14817.4</v>
      </c>
      <c r="G22" s="162" t="s">
        <v>76</v>
      </c>
      <c r="H22" s="159">
        <f>H21*(D14+E22-E21)+SUMIF(D26:D29,"Aktivieren",C26:C29)</f>
        <v>91489.8</v>
      </c>
      <c r="J22" s="173" t="s">
        <v>398</v>
      </c>
      <c r="K22" s="157">
        <f>K38</f>
        <v>0</v>
      </c>
      <c r="N22" s="30"/>
      <c r="P22" s="153" t="s">
        <v>32</v>
      </c>
      <c r="Q22" s="178">
        <f>-N12*N9/12</f>
        <v>-278</v>
      </c>
      <c r="S22" s="153" t="s">
        <v>32</v>
      </c>
      <c r="T22" s="178">
        <f ca="1">-OFFSET('Wert, AfA, Darlehen'!D114,,Cockpit!T10)/12</f>
        <v>-580.50625492527195</v>
      </c>
      <c r="V22" s="162" t="s">
        <v>58</v>
      </c>
      <c r="W22" s="200">
        <f ca="1">IF(OFFSET('Wert, AfA, Darlehen'!D106,,Cockpit!T10)=0,"n/a",W21*12/OFFSET('Wert, AfA, Darlehen'!D106,,Cockpit!T10))</f>
        <v>0.15310592828322406</v>
      </c>
    </row>
    <row r="23" spans="2:23" ht="15.75" thickBot="1">
      <c r="B23" s="5"/>
      <c r="C23" s="5"/>
      <c r="D23" s="5"/>
      <c r="E23" s="5"/>
      <c r="J23" s="174" t="s">
        <v>7</v>
      </c>
      <c r="K23" s="175">
        <f>SUM(K21:K22)</f>
        <v>60</v>
      </c>
      <c r="M23" s="6"/>
      <c r="N23" s="27"/>
      <c r="P23" s="153" t="s">
        <v>30</v>
      </c>
      <c r="Q23" s="178">
        <f>SUM(Q19:Q22)</f>
        <v>-8.8600000000000136</v>
      </c>
      <c r="S23" s="153" t="s">
        <v>30</v>
      </c>
      <c r="T23" s="178">
        <f ca="1">SUM(T19:T22)</f>
        <v>508.80696657438318</v>
      </c>
    </row>
    <row r="24" spans="2:23" ht="15.75" thickBot="1">
      <c r="B24" s="439" t="s">
        <v>12</v>
      </c>
      <c r="C24" s="447"/>
      <c r="D24" s="447"/>
      <c r="E24" s="440"/>
      <c r="G24" s="439" t="s">
        <v>100</v>
      </c>
      <c r="H24" s="440"/>
      <c r="M24" s="443" t="s">
        <v>25</v>
      </c>
      <c r="N24" s="444"/>
      <c r="P24" s="153" t="s">
        <v>39</v>
      </c>
      <c r="Q24" s="178">
        <f>-Q34</f>
        <v>-84.055099999999996</v>
      </c>
      <c r="S24" s="153" t="s">
        <v>39</v>
      </c>
      <c r="T24" s="178">
        <f ca="1">-T34</f>
        <v>-425.58226791354031</v>
      </c>
      <c r="V24" s="439" t="s">
        <v>281</v>
      </c>
      <c r="W24" s="440"/>
    </row>
    <row r="25" spans="2:23" ht="15.75" thickBot="1">
      <c r="B25" s="206" t="s">
        <v>106</v>
      </c>
      <c r="C25" s="207" t="s">
        <v>107</v>
      </c>
      <c r="D25" s="207" t="s">
        <v>108</v>
      </c>
      <c r="E25" s="208" t="s">
        <v>109</v>
      </c>
      <c r="G25" s="160" t="s">
        <v>61</v>
      </c>
      <c r="H25" s="224">
        <v>0.03</v>
      </c>
      <c r="J25" s="439" t="s">
        <v>394</v>
      </c>
      <c r="K25" s="440"/>
      <c r="M25" s="166" t="s">
        <v>21</v>
      </c>
      <c r="N25" s="229">
        <v>0</v>
      </c>
      <c r="P25" s="158" t="s">
        <v>41</v>
      </c>
      <c r="Q25" s="175">
        <f>Q23+Q24</f>
        <v>-92.91510000000001</v>
      </c>
      <c r="R25"/>
      <c r="S25" s="158" t="s">
        <v>41</v>
      </c>
      <c r="T25" s="175">
        <f ca="1">T23+T24</f>
        <v>83.224698660842876</v>
      </c>
      <c r="V25" s="151" t="s">
        <v>51</v>
      </c>
      <c r="W25" s="181">
        <f ca="1">OFFSET('Wert, AfA, Darlehen'!E8,,Cockpit!T10)</f>
        <v>210677.6218018111</v>
      </c>
    </row>
    <row r="26" spans="2:23" ht="15.75" thickBot="1">
      <c r="B26" s="215" t="s">
        <v>485</v>
      </c>
      <c r="C26" s="216">
        <v>0</v>
      </c>
      <c r="D26" s="217" t="s">
        <v>475</v>
      </c>
      <c r="E26" s="218"/>
      <c r="G26" s="163" t="s">
        <v>334</v>
      </c>
      <c r="H26" s="221">
        <v>10</v>
      </c>
      <c r="J26" s="151" t="s">
        <v>387</v>
      </c>
      <c r="K26" s="157">
        <f>K17</f>
        <v>30</v>
      </c>
      <c r="M26" s="163" t="s">
        <v>22</v>
      </c>
      <c r="N26" s="232">
        <v>0.02</v>
      </c>
      <c r="P26"/>
      <c r="Q26"/>
      <c r="S26"/>
      <c r="T26"/>
      <c r="V26" s="173" t="s">
        <v>52</v>
      </c>
      <c r="W26" s="178">
        <f ca="1">-OFFSET('Wert, AfA, Darlehen'!D118,,Cockpit!T10)</f>
        <v>-7431.9233648097215</v>
      </c>
    </row>
    <row r="27" spans="2:23" ht="15.75" thickBot="1">
      <c r="B27" s="215"/>
      <c r="C27" s="216"/>
      <c r="D27" s="217" t="s">
        <v>467</v>
      </c>
      <c r="E27" s="218"/>
      <c r="G27" s="164" t="s">
        <v>333</v>
      </c>
      <c r="H27" s="165">
        <f>((H21*D14)*(1/80*1.5)-(12*K26))/C11</f>
        <v>30.86538461538462</v>
      </c>
      <c r="J27" s="176" t="s">
        <v>330</v>
      </c>
      <c r="K27" s="409">
        <f>C11*H26/12</f>
        <v>32.5</v>
      </c>
      <c r="M27" s="163" t="s">
        <v>23</v>
      </c>
      <c r="N27" s="232">
        <v>0.08</v>
      </c>
      <c r="P27" s="439" t="s">
        <v>38</v>
      </c>
      <c r="Q27" s="440"/>
      <c r="S27" s="439" t="s">
        <v>38</v>
      </c>
      <c r="T27" s="440"/>
      <c r="V27" s="201" t="s">
        <v>277</v>
      </c>
      <c r="W27" s="202">
        <f>-N10</f>
        <v>-42617.399999999994</v>
      </c>
    </row>
    <row r="28" spans="2:23" ht="15.75" thickBot="1">
      <c r="B28" s="215"/>
      <c r="C28" s="216"/>
      <c r="D28" s="217" t="s">
        <v>467</v>
      </c>
      <c r="E28" s="218"/>
      <c r="J28" s="152" t="s">
        <v>331</v>
      </c>
      <c r="K28" s="157">
        <f>H25*H17</f>
        <v>22.86</v>
      </c>
      <c r="M28" s="163" t="s">
        <v>385</v>
      </c>
      <c r="N28" s="178">
        <f>(N26+N27)*N25/12</f>
        <v>0</v>
      </c>
      <c r="P28" s="166" t="s">
        <v>478</v>
      </c>
      <c r="Q28" s="181">
        <f>Q19</f>
        <v>762</v>
      </c>
      <c r="S28" s="166" t="s">
        <v>478</v>
      </c>
      <c r="T28" s="181">
        <f ca="1">T19</f>
        <v>1357.0469304966307</v>
      </c>
      <c r="V28" s="201" t="s">
        <v>278</v>
      </c>
      <c r="W28" s="202">
        <f ca="1">OFFSET('Miete, Cashflow, Steuern'!D32,,Cockpit!T10)</f>
        <v>-3041.4177560577009</v>
      </c>
    </row>
    <row r="29" spans="2:23" ht="15.75" thickBot="1">
      <c r="B29" s="215"/>
      <c r="C29" s="216"/>
      <c r="D29" s="217" t="s">
        <v>467</v>
      </c>
      <c r="E29" s="218"/>
      <c r="G29" s="439" t="s">
        <v>120</v>
      </c>
      <c r="H29" s="440"/>
      <c r="J29" s="152" t="s">
        <v>399</v>
      </c>
      <c r="K29" s="157">
        <f>K46</f>
        <v>0</v>
      </c>
      <c r="M29" s="162" t="s">
        <v>98</v>
      </c>
      <c r="N29" s="179">
        <f>HLOOKUP(0,'Wert, AfA, Darlehen'!D67:BA105,39,FALSE)</f>
        <v>2024</v>
      </c>
      <c r="P29" s="153" t="s">
        <v>335</v>
      </c>
      <c r="Q29" s="178">
        <f>-K12+K27+K28</f>
        <v>-90.000000000000014</v>
      </c>
      <c r="S29" s="153" t="s">
        <v>335</v>
      </c>
      <c r="T29" s="178">
        <f ca="1">OFFSET('Miete, Cashflow, Steuern'!D38,,Cockpit!T10)</f>
        <v>-133.73526563805194</v>
      </c>
      <c r="V29" s="203" t="s">
        <v>279</v>
      </c>
      <c r="W29" s="175">
        <f ca="1">SUM(W25:W28)</f>
        <v>157586.88068094369</v>
      </c>
    </row>
    <row r="30" spans="2:23" ht="15.75" thickBot="1">
      <c r="B30" s="163" t="s">
        <v>7</v>
      </c>
      <c r="C30" s="28">
        <f>SUM(C26:C29)</f>
        <v>0</v>
      </c>
      <c r="D30" s="422" t="s">
        <v>7</v>
      </c>
      <c r="E30" s="157">
        <f>SUM(E26:E29)</f>
        <v>0</v>
      </c>
      <c r="G30" s="166" t="s">
        <v>102</v>
      </c>
      <c r="H30" s="222">
        <v>0.02</v>
      </c>
      <c r="J30" s="177" t="s">
        <v>332</v>
      </c>
      <c r="K30" s="192">
        <f>K26+K27+K28+K29</f>
        <v>85.36</v>
      </c>
      <c r="L30" s="1"/>
      <c r="N30" s="27"/>
      <c r="P30" s="153" t="s">
        <v>31</v>
      </c>
      <c r="Q30" s="178">
        <f>Q21</f>
        <v>-347.5</v>
      </c>
      <c r="S30" s="153" t="s">
        <v>31</v>
      </c>
      <c r="T30" s="178">
        <f ca="1">T21</f>
        <v>-44.993745074728075</v>
      </c>
    </row>
    <row r="31" spans="2:23" ht="15.75" thickBot="1">
      <c r="B31" s="431" t="s">
        <v>112</v>
      </c>
      <c r="C31" s="432"/>
      <c r="D31" s="433"/>
      <c r="E31" s="157">
        <f>D14+E30</f>
        <v>139000</v>
      </c>
      <c r="G31" s="163" t="s">
        <v>103</v>
      </c>
      <c r="H31" s="225">
        <v>0.03</v>
      </c>
      <c r="M31" s="443" t="s">
        <v>245</v>
      </c>
      <c r="N31" s="444"/>
      <c r="P31" s="153" t="s">
        <v>293</v>
      </c>
      <c r="Q31" s="178">
        <f>-'Wert, AfA, Darlehen'!D19-'Wert, AfA, Darlehen'!D24-IF(E32="Abziehen",'Wert, AfA, Darlehen'!D34,'Wert, AfA, Darlehen'!D34-'Wert, AfA, Darlehen'!D28/12)</f>
        <v>-114.36225</v>
      </c>
      <c r="S31" s="153" t="s">
        <v>293</v>
      </c>
      <c r="T31" s="178">
        <f ca="1">OFFSET('Miete, Cashflow, Steuern'!D40,,Cockpit!T10)</f>
        <v>-114.36225</v>
      </c>
      <c r="U31" s="29"/>
      <c r="V31" s="439" t="s">
        <v>377</v>
      </c>
      <c r="W31" s="440"/>
    </row>
    <row r="32" spans="2:23" ht="15.75" thickBot="1">
      <c r="B32" s="434" t="s">
        <v>474</v>
      </c>
      <c r="C32" s="435"/>
      <c r="D32" s="436"/>
      <c r="E32" s="423" t="s">
        <v>473</v>
      </c>
      <c r="G32" s="162" t="s">
        <v>104</v>
      </c>
      <c r="H32" s="226">
        <v>0.02</v>
      </c>
      <c r="J32" s="439" t="s">
        <v>395</v>
      </c>
      <c r="K32" s="440"/>
      <c r="M32" s="166" t="s">
        <v>21</v>
      </c>
      <c r="N32" s="229">
        <v>0</v>
      </c>
      <c r="P32" s="153" t="s">
        <v>37</v>
      </c>
      <c r="Q32" s="178">
        <f>SUM(Q28:Q31)</f>
        <v>210.13774999999998</v>
      </c>
      <c r="S32" s="153" t="s">
        <v>37</v>
      </c>
      <c r="T32" s="178">
        <f ca="1">SUM(T28:T31)</f>
        <v>1063.9556697838507</v>
      </c>
      <c r="V32" s="151" t="s">
        <v>51</v>
      </c>
      <c r="W32" s="181">
        <f ca="1">W25</f>
        <v>210677.6218018111</v>
      </c>
    </row>
    <row r="33" spans="2:23" ht="15.75" thickBot="1">
      <c r="J33" s="230" t="s">
        <v>336</v>
      </c>
      <c r="K33" s="227"/>
      <c r="M33" s="163" t="s">
        <v>22</v>
      </c>
      <c r="N33" s="232">
        <v>0.03</v>
      </c>
      <c r="P33" s="163" t="s">
        <v>294</v>
      </c>
      <c r="Q33" s="234">
        <v>0.4</v>
      </c>
      <c r="S33" s="163" t="s">
        <v>294</v>
      </c>
      <c r="T33" s="169">
        <f ca="1">OFFSET('Miete, Cashflow, Steuern'!D42,,Cockpit!T10)</f>
        <v>0.4</v>
      </c>
      <c r="V33" s="173" t="s">
        <v>52</v>
      </c>
      <c r="W33" s="178">
        <f ca="1">W26</f>
        <v>-7431.9233648097215</v>
      </c>
    </row>
    <row r="34" spans="2:23" ht="15.75" thickBot="1">
      <c r="B34" s="439" t="s">
        <v>9</v>
      </c>
      <c r="C34" s="447"/>
      <c r="D34" s="447"/>
      <c r="E34" s="440"/>
      <c r="J34" s="231" t="s">
        <v>337</v>
      </c>
      <c r="K34" s="228"/>
      <c r="M34" s="163" t="s">
        <v>23</v>
      </c>
      <c r="N34" s="232">
        <v>0.05</v>
      </c>
      <c r="P34" s="158" t="s">
        <v>40</v>
      </c>
      <c r="Q34" s="175">
        <f>Q33*Q32</f>
        <v>84.055099999999996</v>
      </c>
      <c r="S34" s="158" t="s">
        <v>40</v>
      </c>
      <c r="T34" s="175">
        <f ca="1">T33*T32</f>
        <v>425.58226791354031</v>
      </c>
      <c r="V34" s="203" t="s">
        <v>378</v>
      </c>
      <c r="W34" s="175">
        <f ca="1">W32+W33</f>
        <v>203245.69843700138</v>
      </c>
    </row>
    <row r="35" spans="2:23" ht="15.75" thickBot="1">
      <c r="B35" s="445" t="s">
        <v>7</v>
      </c>
      <c r="C35" s="446"/>
      <c r="D35" s="446"/>
      <c r="E35" s="172">
        <f>D14+E22+C30</f>
        <v>153817.4</v>
      </c>
      <c r="J35" s="231" t="s">
        <v>338</v>
      </c>
      <c r="K35" s="228"/>
      <c r="M35" s="163" t="s">
        <v>385</v>
      </c>
      <c r="N35" s="178">
        <f>(N33+N34)*N32/12</f>
        <v>0</v>
      </c>
    </row>
    <row r="36" spans="2:23" ht="15.75" thickBot="1">
      <c r="J36" s="231" t="s">
        <v>339</v>
      </c>
      <c r="K36" s="228"/>
      <c r="M36" s="162" t="s">
        <v>98</v>
      </c>
      <c r="N36" s="179">
        <f>HLOOKUP(0,'Wert, AfA, Darlehen'!D84:BA105,22,FALSE)</f>
        <v>2024</v>
      </c>
      <c r="P36" s="443" t="s">
        <v>73</v>
      </c>
      <c r="Q36" s="444"/>
      <c r="V36" s="439" t="s">
        <v>379</v>
      </c>
      <c r="W36" s="440"/>
    </row>
    <row r="37" spans="2:23" ht="15.75" customHeight="1" thickBot="1">
      <c r="B37" s="437" t="s">
        <v>482</v>
      </c>
      <c r="C37" s="437"/>
      <c r="D37" s="437"/>
      <c r="E37" s="437"/>
      <c r="F37" s="437"/>
      <c r="G37" s="437"/>
      <c r="H37" s="437"/>
      <c r="J37" s="173" t="s">
        <v>128</v>
      </c>
      <c r="K37" s="214"/>
      <c r="L37"/>
      <c r="N37" s="27"/>
      <c r="P37" s="166" t="s">
        <v>33</v>
      </c>
      <c r="Q37" s="188">
        <f>IF(N10&gt;0,Q9/N10,"n/a")</f>
        <v>0.11734687709714813</v>
      </c>
      <c r="V37" s="151" t="s">
        <v>381</v>
      </c>
      <c r="W37" s="181">
        <f>W27</f>
        <v>-42617.399999999994</v>
      </c>
    </row>
    <row r="38" spans="2:23" ht="15.75" thickBot="1">
      <c r="B38" s="437"/>
      <c r="C38" s="437"/>
      <c r="D38" s="437"/>
      <c r="E38" s="437"/>
      <c r="F38" s="437"/>
      <c r="G38" s="437"/>
      <c r="H38" s="437"/>
      <c r="J38" s="174" t="s">
        <v>7</v>
      </c>
      <c r="K38" s="175">
        <f>SUM(K33:K37)</f>
        <v>0</v>
      </c>
      <c r="L38" s="6"/>
      <c r="M38" s="443" t="s">
        <v>246</v>
      </c>
      <c r="N38" s="444"/>
      <c r="P38" s="183" t="s">
        <v>93</v>
      </c>
      <c r="Q38" s="189">
        <f>Q10/N10</f>
        <v>5.2115305016260965E-2</v>
      </c>
      <c r="V38" s="152" t="s">
        <v>278</v>
      </c>
      <c r="W38" s="178">
        <f ca="1">W28</f>
        <v>-3041.4177560577009</v>
      </c>
    </row>
    <row r="39" spans="2:23" ht="15.75" thickBot="1">
      <c r="B39" s="437"/>
      <c r="C39" s="437"/>
      <c r="D39" s="437"/>
      <c r="E39" s="437"/>
      <c r="F39" s="437"/>
      <c r="G39" s="437"/>
      <c r="H39" s="437"/>
      <c r="L39" s="6"/>
      <c r="M39" s="166" t="s">
        <v>21</v>
      </c>
      <c r="N39" s="229">
        <v>0</v>
      </c>
      <c r="O39" s="6"/>
      <c r="V39" s="203" t="s">
        <v>380</v>
      </c>
      <c r="W39" s="175">
        <f ca="1">W37+W38</f>
        <v>-45658.817756057695</v>
      </c>
    </row>
    <row r="40" spans="2:23" ht="15.75" thickBot="1">
      <c r="B40" s="437"/>
      <c r="C40" s="437"/>
      <c r="D40" s="437"/>
      <c r="E40" s="437"/>
      <c r="F40" s="437"/>
      <c r="G40" s="437"/>
      <c r="H40" s="437"/>
      <c r="J40" s="439" t="s">
        <v>396</v>
      </c>
      <c r="K40" s="440"/>
      <c r="L40" s="6"/>
      <c r="M40" s="163" t="s">
        <v>22</v>
      </c>
      <c r="N40" s="232"/>
      <c r="O40" s="6"/>
      <c r="S40" s="5"/>
      <c r="T40" s="5"/>
    </row>
    <row r="41" spans="2:23">
      <c r="B41" s="437"/>
      <c r="C41" s="437"/>
      <c r="D41" s="437"/>
      <c r="E41" s="437"/>
      <c r="F41" s="437"/>
      <c r="G41" s="437"/>
      <c r="H41" s="437"/>
      <c r="J41" s="230" t="s">
        <v>336</v>
      </c>
      <c r="K41" s="227"/>
      <c r="L41" s="6"/>
      <c r="M41" s="163" t="s">
        <v>23</v>
      </c>
      <c r="N41" s="232"/>
      <c r="O41" s="6"/>
    </row>
    <row r="42" spans="2:23">
      <c r="B42" s="438" t="s">
        <v>466</v>
      </c>
      <c r="C42" s="438"/>
      <c r="D42" s="438"/>
      <c r="E42" s="438"/>
      <c r="F42" s="438"/>
      <c r="G42" s="438"/>
      <c r="H42" s="438"/>
      <c r="J42" s="231" t="s">
        <v>337</v>
      </c>
      <c r="K42" s="228"/>
      <c r="L42" s="6"/>
      <c r="M42" s="163" t="s">
        <v>385</v>
      </c>
      <c r="N42" s="178">
        <f>(N40+N41)*N39/12</f>
        <v>0</v>
      </c>
      <c r="O42" s="6"/>
    </row>
    <row r="43" spans="2:23" ht="15.75" thickBot="1">
      <c r="B43" s="410"/>
      <c r="C43" s="410"/>
      <c r="D43" s="410"/>
      <c r="E43" s="410"/>
      <c r="F43" s="410"/>
      <c r="G43" s="410"/>
      <c r="H43" s="410"/>
      <c r="J43" s="231" t="s">
        <v>338</v>
      </c>
      <c r="K43" s="228"/>
      <c r="L43" s="6"/>
      <c r="M43" s="162" t="s">
        <v>98</v>
      </c>
      <c r="N43" s="179">
        <f>HLOOKUP(0,'Wert, AfA, Darlehen'!D101:BA105,5,FALSE)</f>
        <v>2024</v>
      </c>
      <c r="O43" s="6"/>
    </row>
    <row r="44" spans="2:23">
      <c r="B44" s="410"/>
      <c r="C44" s="410"/>
      <c r="D44" s="410"/>
      <c r="E44" s="410"/>
      <c r="F44" s="410"/>
      <c r="G44" s="410"/>
      <c r="H44" s="410"/>
      <c r="J44" s="231" t="s">
        <v>339</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372</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1" t="s">
        <v>351</v>
      </c>
      <c r="D1" s="471"/>
      <c r="E1" s="472" t="s">
        <v>346</v>
      </c>
      <c r="F1" s="472"/>
      <c r="G1" s="472"/>
      <c r="H1" s="472"/>
      <c r="I1" s="471"/>
      <c r="J1" s="238"/>
      <c r="O1" s="237"/>
      <c r="S1" s="471"/>
      <c r="T1" s="428"/>
    </row>
    <row r="2" spans="1:24" s="150" customFormat="1" ht="1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6" t="s">
        <v>113</v>
      </c>
      <c r="C6" s="477"/>
      <c r="D6" s="477"/>
      <c r="E6" s="477"/>
      <c r="F6" s="477"/>
      <c r="G6" s="477"/>
      <c r="H6" s="477"/>
      <c r="I6" s="477"/>
      <c r="J6" s="477"/>
      <c r="K6" s="478"/>
      <c r="N6" s="239" t="s">
        <v>211</v>
      </c>
      <c r="O6" s="240"/>
      <c r="P6" s="240"/>
      <c r="Q6" s="240"/>
    </row>
    <row r="7" spans="1:24" ht="15" customHeight="1">
      <c r="B7" s="141"/>
      <c r="C7"/>
      <c r="D7"/>
      <c r="E7"/>
      <c r="F7"/>
      <c r="G7"/>
      <c r="H7"/>
      <c r="I7"/>
      <c r="J7"/>
      <c r="K7" s="142"/>
      <c r="N7" s="240"/>
      <c r="O7" s="241"/>
      <c r="P7" s="241"/>
      <c r="Q7" s="240"/>
    </row>
    <row r="8" spans="1:24" ht="17.25" customHeight="1">
      <c r="B8" s="141"/>
      <c r="C8" s="11" t="str">
        <f>Cockpit!C9</f>
        <v>Musterstr. 11, 1234 Musterstadt</v>
      </c>
      <c r="D8"/>
      <c r="E8"/>
      <c r="F8"/>
      <c r="G8" s="2"/>
      <c r="H8" s="2"/>
      <c r="I8" s="470">
        <f>Cockpit!C10</f>
        <v>45413</v>
      </c>
      <c r="J8" s="470"/>
      <c r="K8" s="242"/>
      <c r="L8" s="9"/>
      <c r="M8" s="9"/>
      <c r="N8" s="475" t="s">
        <v>354</v>
      </c>
      <c r="O8" s="475"/>
      <c r="P8" s="475"/>
      <c r="Q8" s="475"/>
    </row>
    <row r="9" spans="1:24" ht="15" customHeight="1">
      <c r="B9" s="141"/>
      <c r="C9"/>
      <c r="D9"/>
      <c r="E9"/>
      <c r="F9"/>
      <c r="G9"/>
      <c r="H9"/>
      <c r="I9"/>
      <c r="J9"/>
      <c r="K9" s="142"/>
      <c r="N9" s="475"/>
      <c r="O9" s="475"/>
      <c r="P9" s="475"/>
      <c r="Q9" s="475"/>
    </row>
    <row r="10" spans="1:24" ht="15.75" customHeight="1">
      <c r="B10" s="141"/>
      <c r="C10"/>
      <c r="D10"/>
      <c r="E10"/>
      <c r="F10"/>
      <c r="G10"/>
      <c r="H10"/>
      <c r="I10"/>
      <c r="J10"/>
      <c r="K10" s="243"/>
      <c r="N10" s="475"/>
      <c r="O10" s="475"/>
      <c r="P10" s="475"/>
      <c r="Q10" s="475"/>
    </row>
    <row r="11" spans="1:24" ht="15.75" customHeight="1">
      <c r="B11" s="141"/>
      <c r="C11"/>
      <c r="D11"/>
      <c r="E11"/>
      <c r="F11"/>
      <c r="G11"/>
      <c r="H11"/>
      <c r="I11"/>
      <c r="J11"/>
      <c r="K11" s="243"/>
      <c r="N11" s="475"/>
      <c r="O11" s="475"/>
      <c r="P11" s="475"/>
      <c r="Q11" s="475"/>
    </row>
    <row r="12" spans="1:24" ht="15.75" customHeight="1">
      <c r="B12" s="141"/>
      <c r="C12"/>
      <c r="D12"/>
      <c r="E12"/>
      <c r="F12"/>
      <c r="G12"/>
      <c r="H12"/>
      <c r="I12"/>
      <c r="J12"/>
      <c r="K12" s="243"/>
      <c r="N12" s="475"/>
      <c r="O12" s="475"/>
      <c r="P12" s="475"/>
      <c r="Q12" s="475"/>
    </row>
    <row r="13" spans="1:24" ht="15.75" customHeight="1">
      <c r="B13" s="141"/>
      <c r="C13"/>
      <c r="D13"/>
      <c r="E13"/>
      <c r="F13"/>
      <c r="G13"/>
      <c r="H13"/>
      <c r="I13"/>
      <c r="J13"/>
      <c r="K13" s="243"/>
      <c r="N13" s="475"/>
      <c r="O13" s="475"/>
      <c r="P13" s="475"/>
      <c r="Q13" s="475"/>
    </row>
    <row r="14" spans="1:24" ht="15.75" customHeight="1">
      <c r="B14" s="141"/>
      <c r="C14"/>
      <c r="D14"/>
      <c r="E14"/>
      <c r="F14"/>
      <c r="G14"/>
      <c r="H14"/>
      <c r="I14"/>
      <c r="J14"/>
      <c r="K14" s="243"/>
      <c r="N14" s="475"/>
      <c r="O14" s="475"/>
      <c r="P14" s="475"/>
      <c r="Q14" s="475"/>
    </row>
    <row r="15" spans="1:24" ht="15.75" customHeight="1">
      <c r="B15" s="141"/>
      <c r="C15"/>
      <c r="D15"/>
      <c r="E15"/>
      <c r="F15"/>
      <c r="G15"/>
      <c r="H15"/>
      <c r="I15"/>
      <c r="J15"/>
      <c r="K15" s="243"/>
      <c r="N15" s="475"/>
      <c r="O15" s="475"/>
      <c r="P15" s="475"/>
      <c r="Q15" s="475"/>
    </row>
    <row r="16" spans="1:24" ht="15.75" customHeight="1">
      <c r="B16" s="141"/>
      <c r="C16"/>
      <c r="D16"/>
      <c r="E16"/>
      <c r="F16"/>
      <c r="G16"/>
      <c r="H16"/>
      <c r="I16"/>
      <c r="J16"/>
      <c r="K16" s="243"/>
      <c r="N16" s="475"/>
      <c r="O16" s="475"/>
      <c r="P16" s="475"/>
      <c r="Q16" s="475"/>
    </row>
    <row r="17" spans="2:17" ht="15.75" customHeight="1">
      <c r="B17" s="141"/>
      <c r="C17"/>
      <c r="D17"/>
      <c r="E17"/>
      <c r="F17"/>
      <c r="G17"/>
      <c r="H17"/>
      <c r="I17"/>
      <c r="J17"/>
      <c r="K17" s="243"/>
      <c r="N17" s="475"/>
      <c r="O17" s="475"/>
      <c r="P17" s="475"/>
      <c r="Q17" s="475"/>
    </row>
    <row r="18" spans="2:17" ht="15.75" customHeight="1">
      <c r="B18" s="141"/>
      <c r="C18"/>
      <c r="D18"/>
      <c r="E18"/>
      <c r="F18"/>
      <c r="G18"/>
      <c r="H18"/>
      <c r="I18"/>
      <c r="J18"/>
      <c r="K18" s="243"/>
      <c r="N18" s="475" t="s">
        <v>212</v>
      </c>
      <c r="O18" s="475"/>
      <c r="P18" s="475"/>
      <c r="Q18" s="475"/>
    </row>
    <row r="19" spans="2:17" ht="15.75" customHeight="1">
      <c r="B19" s="141"/>
      <c r="C19"/>
      <c r="D19"/>
      <c r="E19"/>
      <c r="F19"/>
      <c r="G19"/>
      <c r="H19"/>
      <c r="I19"/>
      <c r="J19"/>
      <c r="K19" s="243"/>
      <c r="N19" s="475"/>
      <c r="O19" s="475"/>
      <c r="P19" s="475"/>
      <c r="Q19" s="475"/>
    </row>
    <row r="20" spans="2:17" ht="15.75" customHeight="1">
      <c r="B20" s="141"/>
      <c r="C20"/>
      <c r="D20"/>
      <c r="E20"/>
      <c r="F20"/>
      <c r="G20"/>
      <c r="H20"/>
      <c r="I20"/>
      <c r="J20"/>
      <c r="K20" s="243"/>
      <c r="N20" s="475"/>
      <c r="O20" s="475"/>
      <c r="P20" s="475"/>
      <c r="Q20" s="475"/>
    </row>
    <row r="21" spans="2:17" ht="15.75" customHeight="1">
      <c r="B21" s="141"/>
      <c r="C21"/>
      <c r="D21"/>
      <c r="E21"/>
      <c r="F21"/>
      <c r="G21"/>
      <c r="H21"/>
      <c r="I21"/>
      <c r="J21"/>
      <c r="K21" s="243"/>
      <c r="N21" s="475"/>
      <c r="O21" s="475"/>
      <c r="P21" s="475"/>
      <c r="Q21" s="475"/>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73" t="s">
        <v>209</v>
      </c>
      <c r="O23" s="474"/>
      <c r="P23" s="474"/>
      <c r="Q23" s="474"/>
    </row>
    <row r="24" spans="2:17" ht="15.75" customHeight="1" thickBot="1">
      <c r="B24" s="141"/>
      <c r="C24"/>
      <c r="D24"/>
      <c r="E24"/>
      <c r="F24"/>
      <c r="G24"/>
      <c r="H24"/>
      <c r="I24"/>
      <c r="J24"/>
      <c r="K24" s="243"/>
      <c r="N24" s="473" t="s">
        <v>210</v>
      </c>
      <c r="O24" s="474"/>
      <c r="P24" s="474"/>
      <c r="Q24" s="474"/>
    </row>
    <row r="25" spans="2:17" ht="18" thickBot="1">
      <c r="B25" s="141"/>
      <c r="C25" s="453" t="s">
        <v>0</v>
      </c>
      <c r="D25" s="454"/>
      <c r="E25"/>
      <c r="F25" s="453" t="s">
        <v>19</v>
      </c>
      <c r="G25" s="454"/>
      <c r="H25"/>
      <c r="I25" s="453" t="s">
        <v>81</v>
      </c>
      <c r="J25" s="454"/>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68" t="s">
        <v>86</v>
      </c>
      <c r="D27" s="469"/>
      <c r="E27" s="12"/>
      <c r="F27" s="468" t="s">
        <v>248</v>
      </c>
      <c r="G27" s="469"/>
      <c r="H27" s="12"/>
      <c r="I27" s="468" t="s">
        <v>82</v>
      </c>
      <c r="J27" s="469"/>
      <c r="K27" s="245"/>
      <c r="N27" s="475" t="s">
        <v>208</v>
      </c>
      <c r="O27" s="475"/>
      <c r="P27" s="475"/>
      <c r="Q27" s="475"/>
    </row>
    <row r="28" spans="2:17">
      <c r="B28" s="244"/>
      <c r="C28" s="246" t="s">
        <v>11</v>
      </c>
      <c r="D28" s="247">
        <f>Cockpit!C11</f>
        <v>39</v>
      </c>
      <c r="E28" s="12"/>
      <c r="F28" s="246" t="s">
        <v>7</v>
      </c>
      <c r="G28" s="250">
        <f>Cockpit!N17</f>
        <v>111200</v>
      </c>
      <c r="H28" s="12"/>
      <c r="I28" s="246" t="s">
        <v>78</v>
      </c>
      <c r="J28" s="250">
        <f>Cockpit!H15</f>
        <v>702</v>
      </c>
      <c r="K28" s="245"/>
      <c r="N28" s="475"/>
      <c r="O28" s="475"/>
      <c r="P28" s="475"/>
      <c r="Q28" s="475"/>
    </row>
    <row r="29" spans="2:17" ht="15.75" thickBot="1">
      <c r="B29" s="244"/>
      <c r="C29" s="248" t="s">
        <v>13</v>
      </c>
      <c r="D29" s="249">
        <f>D33/D28</f>
        <v>3564.102564102564</v>
      </c>
      <c r="E29" s="12"/>
      <c r="F29" s="251" t="s">
        <v>23</v>
      </c>
      <c r="G29" s="255">
        <f>Cockpit!N19</f>
        <v>0.03</v>
      </c>
      <c r="H29" s="12"/>
      <c r="I29" s="259" t="s">
        <v>16</v>
      </c>
      <c r="J29" s="260">
        <f>Cockpit!Q14</f>
        <v>6.0604316546762592E-2</v>
      </c>
      <c r="K29" s="245"/>
      <c r="N29" s="475"/>
      <c r="O29" s="475"/>
      <c r="P29" s="475"/>
      <c r="Q29" s="475"/>
    </row>
    <row r="30" spans="2:17" ht="15.75" thickBot="1">
      <c r="B30" s="244"/>
      <c r="C30" s="12"/>
      <c r="D30" s="12"/>
      <c r="E30" s="12"/>
      <c r="F30" s="248" t="s">
        <v>84</v>
      </c>
      <c r="G30" s="256">
        <f>Cockpit!N18</f>
        <v>3.7499999999999999E-2</v>
      </c>
      <c r="H30" s="12"/>
      <c r="I30" s="248" t="s">
        <v>83</v>
      </c>
      <c r="J30" s="261">
        <f>Cockpit!Q15</f>
        <v>16.500474833808166</v>
      </c>
      <c r="K30" s="245"/>
    </row>
    <row r="31" spans="2:17" ht="15.75" thickBot="1">
      <c r="B31" s="244"/>
      <c r="C31" s="12"/>
      <c r="D31" s="12"/>
      <c r="E31" s="12"/>
      <c r="F31" s="12"/>
      <c r="G31" s="12"/>
      <c r="H31" s="12"/>
      <c r="I31" s="12"/>
      <c r="J31" s="12"/>
      <c r="K31" s="245"/>
    </row>
    <row r="32" spans="2:17" ht="15.75" thickBot="1">
      <c r="B32" s="244"/>
      <c r="C32" s="468" t="s">
        <v>87</v>
      </c>
      <c r="D32" s="469"/>
      <c r="E32" s="12"/>
      <c r="F32" s="468" t="s">
        <v>247</v>
      </c>
      <c r="G32" s="469"/>
      <c r="H32" s="12"/>
      <c r="I32" s="468" t="s">
        <v>85</v>
      </c>
      <c r="J32" s="469"/>
      <c r="K32" s="245"/>
    </row>
    <row r="33" spans="2:11">
      <c r="B33" s="244"/>
      <c r="C33" s="246" t="s">
        <v>1</v>
      </c>
      <c r="D33" s="250">
        <f>Cockpit!D14</f>
        <v>139000</v>
      </c>
      <c r="E33" s="12"/>
      <c r="F33" s="246" t="s">
        <v>7</v>
      </c>
      <c r="G33" s="250">
        <f>Cockpit!N9-Cockpit!N17</f>
        <v>0</v>
      </c>
      <c r="H33" s="12"/>
      <c r="I33" s="246" t="s">
        <v>78</v>
      </c>
      <c r="J33" s="250">
        <f>Cockpit!H15</f>
        <v>702</v>
      </c>
      <c r="K33" s="245"/>
    </row>
    <row r="34" spans="2:11">
      <c r="B34" s="244"/>
      <c r="C34" s="251" t="s">
        <v>3</v>
      </c>
      <c r="D34" s="252">
        <f>Cockpit!E22</f>
        <v>14817.4</v>
      </c>
      <c r="E34" s="12"/>
      <c r="F34" s="251" t="s">
        <v>23</v>
      </c>
      <c r="G34" s="255" t="e">
        <f>(Cockpit!N12*Cockpit!N9-Cockpit!N19*Cockpit!N17)/(Cockpit!N9-Cockpit!N17)</f>
        <v>#DIV/0!</v>
      </c>
      <c r="H34" s="12"/>
      <c r="I34" s="262" t="str">
        <f>CONCATENATE("- Bewirtschaftungskosten (",TEXT(Cockpit!K11*100,"#"),"%)")</f>
        <v>- Bewirtschaftungskosten (12%)</v>
      </c>
      <c r="J34" s="252">
        <f>Cockpit!K10</f>
        <v>85.36</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347.5</v>
      </c>
      <c r="K35" s="245"/>
    </row>
    <row r="36" spans="2:11" ht="16.5" thickTop="1" thickBot="1">
      <c r="B36" s="244"/>
      <c r="C36" s="248" t="s">
        <v>9</v>
      </c>
      <c r="D36" s="249">
        <f>SUM(D33:D35)</f>
        <v>153817.4</v>
      </c>
      <c r="E36" s="12"/>
      <c r="F36" s="12"/>
      <c r="G36" s="12"/>
      <c r="H36" s="12"/>
      <c r="I36" s="263" t="s">
        <v>32</v>
      </c>
      <c r="J36" s="254">
        <f>-Cockpit!Q22</f>
        <v>278</v>
      </c>
      <c r="K36" s="245"/>
    </row>
    <row r="37" spans="2:11" ht="15.75" thickBot="1">
      <c r="B37" s="244"/>
      <c r="C37" s="12"/>
      <c r="D37" s="12"/>
      <c r="E37" s="12"/>
      <c r="F37" s="468" t="s">
        <v>26</v>
      </c>
      <c r="G37" s="469"/>
      <c r="H37" s="12"/>
      <c r="I37" s="264" t="s">
        <v>80</v>
      </c>
      <c r="J37" s="249">
        <f>J33-SUM(J34:J36)</f>
        <v>-8.8600000000000136</v>
      </c>
      <c r="K37" s="245"/>
    </row>
    <row r="38" spans="2:11" ht="15.75" thickBot="1">
      <c r="B38" s="244"/>
      <c r="C38" s="12"/>
      <c r="D38" s="12"/>
      <c r="E38" s="12"/>
      <c r="F38" s="257" t="s">
        <v>7</v>
      </c>
      <c r="G38" s="258">
        <f>Cockpit!N10</f>
        <v>42617.399999999994</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702</v>
      </c>
      <c r="J43" s="3"/>
      <c r="K43" s="142"/>
    </row>
    <row r="44" spans="2:11">
      <c r="B44" s="141"/>
      <c r="C44"/>
      <c r="D44"/>
      <c r="E44"/>
      <c r="F44"/>
      <c r="G44"/>
      <c r="H44" s="3" t="s">
        <v>362</v>
      </c>
      <c r="I44" s="3"/>
      <c r="J44" s="3">
        <f>Cockpit!K10</f>
        <v>85.36</v>
      </c>
      <c r="K44" s="142"/>
    </row>
    <row r="45" spans="2:11">
      <c r="B45" s="141"/>
      <c r="C45"/>
      <c r="D45"/>
      <c r="E45"/>
      <c r="F45"/>
      <c r="G45"/>
      <c r="H45" s="3" t="s">
        <v>43</v>
      </c>
      <c r="I45" s="3"/>
      <c r="J45" s="3">
        <f>-Cockpit!Q21</f>
        <v>347.5</v>
      </c>
      <c r="K45" s="142"/>
    </row>
    <row r="46" spans="2:11">
      <c r="B46" s="141"/>
      <c r="C46"/>
      <c r="D46"/>
      <c r="E46"/>
      <c r="F46"/>
      <c r="G46"/>
      <c r="H46" s="3" t="s">
        <v>44</v>
      </c>
      <c r="I46" s="3"/>
      <c r="J46" s="3">
        <f>-Cockpit!Q22</f>
        <v>278</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372</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5" sqref="T25"/>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351</v>
      </c>
      <c r="C1" s="427"/>
      <c r="E1" s="491" t="s">
        <v>468</v>
      </c>
      <c r="F1" s="491"/>
      <c r="G1" s="491"/>
      <c r="H1" s="491"/>
      <c r="I1" s="491"/>
      <c r="J1" s="427" t="s">
        <v>360</v>
      </c>
      <c r="K1" s="427"/>
      <c r="L1" s="427"/>
      <c r="M1" s="427"/>
      <c r="N1" s="427"/>
      <c r="O1" s="427"/>
      <c r="P1" s="427"/>
      <c r="Q1" s="147"/>
      <c r="R1" s="147"/>
      <c r="T1" s="147"/>
      <c r="U1" s="147"/>
    </row>
    <row r="2" spans="1:53" s="150" customFormat="1" ht="1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256</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261</v>
      </c>
      <c r="C8" s="486"/>
      <c r="D8" s="281"/>
      <c r="E8" s="281">
        <f>D10</f>
        <v>702</v>
      </c>
      <c r="F8" s="281">
        <f t="shared" ref="F8:BA8" si="0">E10</f>
        <v>723.06000000000006</v>
      </c>
      <c r="G8" s="281">
        <f t="shared" si="0"/>
        <v>744.75180000000012</v>
      </c>
      <c r="H8" s="281">
        <f t="shared" si="0"/>
        <v>767.09435400000018</v>
      </c>
      <c r="I8" s="281">
        <f t="shared" si="0"/>
        <v>790.10718462000023</v>
      </c>
      <c r="J8" s="281">
        <f t="shared" si="0"/>
        <v>813.81040015860026</v>
      </c>
      <c r="K8" s="281">
        <f t="shared" si="0"/>
        <v>838.22471216335828</v>
      </c>
      <c r="L8" s="281">
        <f t="shared" si="0"/>
        <v>863.37145352825905</v>
      </c>
      <c r="M8" s="281">
        <f t="shared" si="0"/>
        <v>889.27259713410683</v>
      </c>
      <c r="N8" s="281">
        <f t="shared" si="0"/>
        <v>915.95077504813003</v>
      </c>
      <c r="O8" s="281">
        <f t="shared" si="0"/>
        <v>943.42929829957393</v>
      </c>
      <c r="P8" s="281">
        <f t="shared" si="0"/>
        <v>971.73217724856113</v>
      </c>
      <c r="Q8" s="281">
        <f t="shared" si="0"/>
        <v>1000.884142566018</v>
      </c>
      <c r="R8" s="281">
        <f t="shared" si="0"/>
        <v>1030.9106668429986</v>
      </c>
      <c r="S8" s="281">
        <f t="shared" si="0"/>
        <v>1061.8379868482887</v>
      </c>
      <c r="T8" s="281">
        <f t="shared" si="0"/>
        <v>1093.6931264537372</v>
      </c>
      <c r="U8" s="281">
        <f t="shared" si="0"/>
        <v>1126.5039202473495</v>
      </c>
      <c r="V8" s="281">
        <f t="shared" si="0"/>
        <v>1160.2990378547699</v>
      </c>
      <c r="W8" s="281">
        <f t="shared" si="0"/>
        <v>1195.1080089904131</v>
      </c>
      <c r="X8" s="281">
        <f t="shared" si="0"/>
        <v>1230.9612492601254</v>
      </c>
      <c r="Y8" s="281">
        <f t="shared" si="0"/>
        <v>1267.8900867379293</v>
      </c>
      <c r="Z8" s="281">
        <f t="shared" si="0"/>
        <v>1305.9267893400672</v>
      </c>
      <c r="AA8" s="281">
        <f t="shared" si="0"/>
        <v>1345.1045930202692</v>
      </c>
      <c r="AB8" s="281">
        <f t="shared" si="0"/>
        <v>1385.4577308108774</v>
      </c>
      <c r="AC8" s="281">
        <f t="shared" si="0"/>
        <v>1427.0214627352036</v>
      </c>
      <c r="AD8" s="281">
        <f t="shared" si="0"/>
        <v>1469.8321066172598</v>
      </c>
      <c r="AE8" s="281">
        <f t="shared" si="0"/>
        <v>1513.9270698157777</v>
      </c>
      <c r="AF8" s="281">
        <f t="shared" si="0"/>
        <v>1559.3448819102512</v>
      </c>
      <c r="AG8" s="281">
        <f t="shared" si="0"/>
        <v>1606.1252283675587</v>
      </c>
      <c r="AH8" s="281">
        <f t="shared" si="0"/>
        <v>1654.3089852185856</v>
      </c>
      <c r="AI8" s="281">
        <f t="shared" si="0"/>
        <v>1703.9382547751432</v>
      </c>
      <c r="AJ8" s="281">
        <f t="shared" si="0"/>
        <v>1755.0564024183975</v>
      </c>
      <c r="AK8" s="281">
        <f t="shared" si="0"/>
        <v>1807.7080944909494</v>
      </c>
      <c r="AL8" s="281">
        <f t="shared" si="0"/>
        <v>1861.939337325678</v>
      </c>
      <c r="AM8" s="281">
        <f t="shared" si="0"/>
        <v>1917.7975174454484</v>
      </c>
      <c r="AN8" s="281">
        <f t="shared" si="0"/>
        <v>1975.3314429688119</v>
      </c>
      <c r="AO8" s="281">
        <f t="shared" si="0"/>
        <v>2034.5913862578764</v>
      </c>
      <c r="AP8" s="281">
        <f t="shared" si="0"/>
        <v>2095.6291278456129</v>
      </c>
      <c r="AQ8" s="281">
        <f t="shared" si="0"/>
        <v>2158.4980016809814</v>
      </c>
      <c r="AR8" s="281">
        <f t="shared" si="0"/>
        <v>2223.2529417314108</v>
      </c>
      <c r="AS8" s="281">
        <f t="shared" si="0"/>
        <v>2289.9505299833531</v>
      </c>
      <c r="AT8" s="281">
        <f t="shared" si="0"/>
        <v>2358.6490458828539</v>
      </c>
      <c r="AU8" s="281">
        <f t="shared" si="0"/>
        <v>2429.4085172593395</v>
      </c>
      <c r="AV8" s="281">
        <f t="shared" si="0"/>
        <v>2502.2907727771199</v>
      </c>
      <c r="AW8" s="281">
        <f t="shared" si="0"/>
        <v>2577.3594959604334</v>
      </c>
      <c r="AX8" s="281">
        <f t="shared" si="0"/>
        <v>2654.6802808392463</v>
      </c>
      <c r="AY8" s="281">
        <f t="shared" si="0"/>
        <v>2734.3206892644239</v>
      </c>
      <c r="AZ8" s="281">
        <f t="shared" si="0"/>
        <v>2816.3503099423565</v>
      </c>
      <c r="BA8" s="282">
        <f t="shared" si="0"/>
        <v>2900.8408192406273</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702</v>
      </c>
      <c r="E10" s="10">
        <f>E8*(1+E9)</f>
        <v>723.06000000000006</v>
      </c>
      <c r="F10" s="10">
        <f t="shared" ref="F10:BA10" si="1">F8*(1+F9)</f>
        <v>744.75180000000012</v>
      </c>
      <c r="G10" s="10">
        <f t="shared" si="1"/>
        <v>767.09435400000018</v>
      </c>
      <c r="H10" s="10">
        <f t="shared" si="1"/>
        <v>790.10718462000023</v>
      </c>
      <c r="I10" s="10">
        <f t="shared" si="1"/>
        <v>813.81040015860026</v>
      </c>
      <c r="J10" s="10">
        <f t="shared" si="1"/>
        <v>838.22471216335828</v>
      </c>
      <c r="K10" s="10">
        <f t="shared" si="1"/>
        <v>863.37145352825905</v>
      </c>
      <c r="L10" s="10">
        <f t="shared" si="1"/>
        <v>889.27259713410683</v>
      </c>
      <c r="M10" s="10">
        <f t="shared" si="1"/>
        <v>915.95077504813003</v>
      </c>
      <c r="N10" s="10">
        <f t="shared" si="1"/>
        <v>943.42929829957393</v>
      </c>
      <c r="O10" s="10">
        <f t="shared" si="1"/>
        <v>971.73217724856113</v>
      </c>
      <c r="P10" s="10">
        <f t="shared" si="1"/>
        <v>1000.884142566018</v>
      </c>
      <c r="Q10" s="10">
        <f t="shared" si="1"/>
        <v>1030.9106668429986</v>
      </c>
      <c r="R10" s="10">
        <f t="shared" si="1"/>
        <v>1061.8379868482887</v>
      </c>
      <c r="S10" s="10">
        <f t="shared" si="1"/>
        <v>1093.6931264537372</v>
      </c>
      <c r="T10" s="10">
        <f t="shared" si="1"/>
        <v>1126.5039202473495</v>
      </c>
      <c r="U10" s="10">
        <f t="shared" si="1"/>
        <v>1160.2990378547699</v>
      </c>
      <c r="V10" s="10">
        <f t="shared" si="1"/>
        <v>1195.1080089904131</v>
      </c>
      <c r="W10" s="10">
        <f t="shared" si="1"/>
        <v>1230.9612492601254</v>
      </c>
      <c r="X10" s="10">
        <f t="shared" si="1"/>
        <v>1267.8900867379293</v>
      </c>
      <c r="Y10" s="10">
        <f t="shared" si="1"/>
        <v>1305.9267893400672</v>
      </c>
      <c r="Z10" s="10">
        <f t="shared" si="1"/>
        <v>1345.1045930202692</v>
      </c>
      <c r="AA10" s="10">
        <f t="shared" si="1"/>
        <v>1385.4577308108774</v>
      </c>
      <c r="AB10" s="10">
        <f t="shared" si="1"/>
        <v>1427.0214627352036</v>
      </c>
      <c r="AC10" s="10">
        <f t="shared" si="1"/>
        <v>1469.8321066172598</v>
      </c>
      <c r="AD10" s="10">
        <f t="shared" si="1"/>
        <v>1513.9270698157777</v>
      </c>
      <c r="AE10" s="10">
        <f t="shared" si="1"/>
        <v>1559.3448819102512</v>
      </c>
      <c r="AF10" s="10">
        <f t="shared" si="1"/>
        <v>1606.1252283675587</v>
      </c>
      <c r="AG10" s="10">
        <f t="shared" si="1"/>
        <v>1654.3089852185856</v>
      </c>
      <c r="AH10" s="10">
        <f t="shared" si="1"/>
        <v>1703.9382547751432</v>
      </c>
      <c r="AI10" s="10">
        <f t="shared" si="1"/>
        <v>1755.0564024183975</v>
      </c>
      <c r="AJ10" s="10">
        <f t="shared" si="1"/>
        <v>1807.7080944909494</v>
      </c>
      <c r="AK10" s="10">
        <f t="shared" si="1"/>
        <v>1861.939337325678</v>
      </c>
      <c r="AL10" s="10">
        <f t="shared" si="1"/>
        <v>1917.7975174454484</v>
      </c>
      <c r="AM10" s="10">
        <f t="shared" si="1"/>
        <v>1975.3314429688119</v>
      </c>
      <c r="AN10" s="10">
        <f t="shared" si="1"/>
        <v>2034.5913862578764</v>
      </c>
      <c r="AO10" s="10">
        <f t="shared" si="1"/>
        <v>2095.6291278456129</v>
      </c>
      <c r="AP10" s="10">
        <f t="shared" si="1"/>
        <v>2158.4980016809814</v>
      </c>
      <c r="AQ10" s="10">
        <f t="shared" si="1"/>
        <v>2223.2529417314108</v>
      </c>
      <c r="AR10" s="10">
        <f t="shared" si="1"/>
        <v>2289.9505299833531</v>
      </c>
      <c r="AS10" s="10">
        <f t="shared" si="1"/>
        <v>2358.6490458828539</v>
      </c>
      <c r="AT10" s="10">
        <f t="shared" si="1"/>
        <v>2429.4085172593395</v>
      </c>
      <c r="AU10" s="10">
        <f t="shared" si="1"/>
        <v>2502.2907727771199</v>
      </c>
      <c r="AV10" s="10">
        <f t="shared" si="1"/>
        <v>2577.3594959604334</v>
      </c>
      <c r="AW10" s="10">
        <f t="shared" si="1"/>
        <v>2654.6802808392463</v>
      </c>
      <c r="AX10" s="10">
        <f t="shared" si="1"/>
        <v>2734.3206892644239</v>
      </c>
      <c r="AY10" s="10">
        <f t="shared" si="1"/>
        <v>2816.3503099423565</v>
      </c>
      <c r="AZ10" s="10">
        <f t="shared" si="1"/>
        <v>2900.8408192406273</v>
      </c>
      <c r="BA10" s="283">
        <f t="shared" si="1"/>
        <v>2987.8660438178463</v>
      </c>
    </row>
    <row r="11" spans="1:53">
      <c r="A11"/>
      <c r="B11" s="479" t="s">
        <v>329</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327</v>
      </c>
      <c r="C12" s="480"/>
      <c r="D12" s="10">
        <f>IF('MFH-Kalkulator'!$C$6="Ein",'Miete, Cashflow, Steuern'!D11,'Miete, Cashflow, Steuern'!D10)</f>
        <v>702</v>
      </c>
      <c r="E12" s="10">
        <f>IF('MFH-Kalkulator'!$C$6="Ein",'Miete, Cashflow, Steuern'!E11,'Miete, Cashflow, Steuern'!E10)</f>
        <v>723.06000000000006</v>
      </c>
      <c r="F12" s="10">
        <f>IF('MFH-Kalkulator'!$C$6="Ein",'Miete, Cashflow, Steuern'!F11,'Miete, Cashflow, Steuern'!F10)</f>
        <v>744.75180000000012</v>
      </c>
      <c r="G12" s="10">
        <f>IF('MFH-Kalkulator'!$C$6="Ein",'Miete, Cashflow, Steuern'!G11,'Miete, Cashflow, Steuern'!G10)</f>
        <v>767.09435400000018</v>
      </c>
      <c r="H12" s="10">
        <f>IF('MFH-Kalkulator'!$C$6="Ein",'Miete, Cashflow, Steuern'!H11,'Miete, Cashflow, Steuern'!H10)</f>
        <v>790.10718462000023</v>
      </c>
      <c r="I12" s="10">
        <f>IF('MFH-Kalkulator'!$C$6="Ein",'Miete, Cashflow, Steuern'!I11,'Miete, Cashflow, Steuern'!I10)</f>
        <v>813.81040015860026</v>
      </c>
      <c r="J12" s="10">
        <f>IF('MFH-Kalkulator'!$C$6="Ein",'Miete, Cashflow, Steuern'!J11,'Miete, Cashflow, Steuern'!J10)</f>
        <v>838.22471216335828</v>
      </c>
      <c r="K12" s="10">
        <f>IF('MFH-Kalkulator'!$C$6="Ein",'Miete, Cashflow, Steuern'!K11,'Miete, Cashflow, Steuern'!K10)</f>
        <v>863.37145352825905</v>
      </c>
      <c r="L12" s="10">
        <f>IF('MFH-Kalkulator'!$C$6="Ein",'Miete, Cashflow, Steuern'!L11,'Miete, Cashflow, Steuern'!L10)</f>
        <v>889.27259713410683</v>
      </c>
      <c r="M12" s="10">
        <f>IF('MFH-Kalkulator'!$C$6="Ein",'Miete, Cashflow, Steuern'!M11,'Miete, Cashflow, Steuern'!M10)</f>
        <v>915.95077504813003</v>
      </c>
      <c r="N12" s="10">
        <f>IF('MFH-Kalkulator'!$C$6="Ein",'Miete, Cashflow, Steuern'!N11,'Miete, Cashflow, Steuern'!N10)</f>
        <v>943.42929829957393</v>
      </c>
      <c r="O12" s="10">
        <f>IF('MFH-Kalkulator'!$C$6="Ein",'Miete, Cashflow, Steuern'!O11,'Miete, Cashflow, Steuern'!O10)</f>
        <v>971.73217724856113</v>
      </c>
      <c r="P12" s="10">
        <f>IF('MFH-Kalkulator'!$C$6="Ein",'Miete, Cashflow, Steuern'!P11,'Miete, Cashflow, Steuern'!P10)</f>
        <v>1000.884142566018</v>
      </c>
      <c r="Q12" s="10">
        <f>IF('MFH-Kalkulator'!$C$6="Ein",'Miete, Cashflow, Steuern'!Q11,'Miete, Cashflow, Steuern'!Q10)</f>
        <v>1030.9106668429986</v>
      </c>
      <c r="R12" s="10">
        <f>IF('MFH-Kalkulator'!$C$6="Ein",'Miete, Cashflow, Steuern'!R11,'Miete, Cashflow, Steuern'!R10)</f>
        <v>1061.8379868482887</v>
      </c>
      <c r="S12" s="10">
        <f>IF('MFH-Kalkulator'!$C$6="Ein",'Miete, Cashflow, Steuern'!S11,'Miete, Cashflow, Steuern'!S10)</f>
        <v>1093.6931264537372</v>
      </c>
      <c r="T12" s="10">
        <f>IF('MFH-Kalkulator'!$C$6="Ein",'Miete, Cashflow, Steuern'!T11,'Miete, Cashflow, Steuern'!T10)</f>
        <v>1126.5039202473495</v>
      </c>
      <c r="U12" s="10">
        <f>IF('MFH-Kalkulator'!$C$6="Ein",'Miete, Cashflow, Steuern'!U11,'Miete, Cashflow, Steuern'!U10)</f>
        <v>1160.2990378547699</v>
      </c>
      <c r="V12" s="10">
        <f>IF('MFH-Kalkulator'!$C$6="Ein",'Miete, Cashflow, Steuern'!V11,'Miete, Cashflow, Steuern'!V10)</f>
        <v>1195.1080089904131</v>
      </c>
      <c r="W12" s="10">
        <f>IF('MFH-Kalkulator'!$C$6="Ein",'Miete, Cashflow, Steuern'!W11,'Miete, Cashflow, Steuern'!W10)</f>
        <v>1230.9612492601254</v>
      </c>
      <c r="X12" s="10">
        <f>IF('MFH-Kalkulator'!$C$6="Ein",'Miete, Cashflow, Steuern'!X11,'Miete, Cashflow, Steuern'!X10)</f>
        <v>1267.8900867379293</v>
      </c>
      <c r="Y12" s="10">
        <f>IF('MFH-Kalkulator'!$C$6="Ein",'Miete, Cashflow, Steuern'!Y11,'Miete, Cashflow, Steuern'!Y10)</f>
        <v>1305.9267893400672</v>
      </c>
      <c r="Z12" s="10">
        <f>IF('MFH-Kalkulator'!$C$6="Ein",'Miete, Cashflow, Steuern'!Z11,'Miete, Cashflow, Steuern'!Z10)</f>
        <v>1345.1045930202692</v>
      </c>
      <c r="AA12" s="10">
        <f>IF('MFH-Kalkulator'!$C$6="Ein",'Miete, Cashflow, Steuern'!AA11,'Miete, Cashflow, Steuern'!AA10)</f>
        <v>1385.4577308108774</v>
      </c>
      <c r="AB12" s="10">
        <f>IF('MFH-Kalkulator'!$C$6="Ein",'Miete, Cashflow, Steuern'!AB11,'Miete, Cashflow, Steuern'!AB10)</f>
        <v>1427.0214627352036</v>
      </c>
      <c r="AC12" s="10">
        <f>IF('MFH-Kalkulator'!$C$6="Ein",'Miete, Cashflow, Steuern'!AC11,'Miete, Cashflow, Steuern'!AC10)</f>
        <v>1469.8321066172598</v>
      </c>
      <c r="AD12" s="10">
        <f>IF('MFH-Kalkulator'!$C$6="Ein",'Miete, Cashflow, Steuern'!AD11,'Miete, Cashflow, Steuern'!AD10)</f>
        <v>1513.9270698157777</v>
      </c>
      <c r="AE12" s="10">
        <f>IF('MFH-Kalkulator'!$C$6="Ein",'Miete, Cashflow, Steuern'!AE11,'Miete, Cashflow, Steuern'!AE10)</f>
        <v>1559.3448819102512</v>
      </c>
      <c r="AF12" s="10">
        <f>IF('MFH-Kalkulator'!$C$6="Ein",'Miete, Cashflow, Steuern'!AF11,'Miete, Cashflow, Steuern'!AF10)</f>
        <v>1606.1252283675587</v>
      </c>
      <c r="AG12" s="10">
        <f>IF('MFH-Kalkulator'!$C$6="Ein",'Miete, Cashflow, Steuern'!AG11,'Miete, Cashflow, Steuern'!AG10)</f>
        <v>1654.3089852185856</v>
      </c>
      <c r="AH12" s="10">
        <f>IF('MFH-Kalkulator'!$C$6="Ein",'Miete, Cashflow, Steuern'!AH11,'Miete, Cashflow, Steuern'!AH10)</f>
        <v>1703.9382547751432</v>
      </c>
      <c r="AI12" s="10">
        <f>IF('MFH-Kalkulator'!$C$6="Ein",'Miete, Cashflow, Steuern'!AI11,'Miete, Cashflow, Steuern'!AI10)</f>
        <v>1755.0564024183975</v>
      </c>
      <c r="AJ12" s="10">
        <f>IF('MFH-Kalkulator'!$C$6="Ein",'Miete, Cashflow, Steuern'!AJ11,'Miete, Cashflow, Steuern'!AJ10)</f>
        <v>1807.7080944909494</v>
      </c>
      <c r="AK12" s="10">
        <f>IF('MFH-Kalkulator'!$C$6="Ein",'Miete, Cashflow, Steuern'!AK11,'Miete, Cashflow, Steuern'!AK10)</f>
        <v>1861.939337325678</v>
      </c>
      <c r="AL12" s="10">
        <f>IF('MFH-Kalkulator'!$C$6="Ein",'Miete, Cashflow, Steuern'!AL11,'Miete, Cashflow, Steuern'!AL10)</f>
        <v>1917.7975174454484</v>
      </c>
      <c r="AM12" s="10">
        <f>IF('MFH-Kalkulator'!$C$6="Ein",'Miete, Cashflow, Steuern'!AM11,'Miete, Cashflow, Steuern'!AM10)</f>
        <v>1975.3314429688119</v>
      </c>
      <c r="AN12" s="10">
        <f>IF('MFH-Kalkulator'!$C$6="Ein",'Miete, Cashflow, Steuern'!AN11,'Miete, Cashflow, Steuern'!AN10)</f>
        <v>2034.5913862578764</v>
      </c>
      <c r="AO12" s="10">
        <f>IF('MFH-Kalkulator'!$C$6="Ein",'Miete, Cashflow, Steuern'!AO11,'Miete, Cashflow, Steuern'!AO10)</f>
        <v>2095.6291278456129</v>
      </c>
      <c r="AP12" s="10">
        <f>IF('MFH-Kalkulator'!$C$6="Ein",'Miete, Cashflow, Steuern'!AP11,'Miete, Cashflow, Steuern'!AP10)</f>
        <v>2158.4980016809814</v>
      </c>
      <c r="AQ12" s="10">
        <f>IF('MFH-Kalkulator'!$C$6="Ein",'Miete, Cashflow, Steuern'!AQ11,'Miete, Cashflow, Steuern'!AQ10)</f>
        <v>2223.2529417314108</v>
      </c>
      <c r="AR12" s="10">
        <f>IF('MFH-Kalkulator'!$C$6="Ein",'Miete, Cashflow, Steuern'!AR11,'Miete, Cashflow, Steuern'!AR10)</f>
        <v>2289.9505299833531</v>
      </c>
      <c r="AS12" s="10">
        <f>IF('MFH-Kalkulator'!$C$6="Ein",'Miete, Cashflow, Steuern'!AS11,'Miete, Cashflow, Steuern'!AS10)</f>
        <v>2358.6490458828539</v>
      </c>
      <c r="AT12" s="10">
        <f>IF('MFH-Kalkulator'!$C$6="Ein",'Miete, Cashflow, Steuern'!AT11,'Miete, Cashflow, Steuern'!AT10)</f>
        <v>2429.4085172593395</v>
      </c>
      <c r="AU12" s="10">
        <f>IF('MFH-Kalkulator'!$C$6="Ein",'Miete, Cashflow, Steuern'!AU11,'Miete, Cashflow, Steuern'!AU10)</f>
        <v>2502.2907727771199</v>
      </c>
      <c r="AV12" s="10">
        <f>IF('MFH-Kalkulator'!$C$6="Ein",'Miete, Cashflow, Steuern'!AV11,'Miete, Cashflow, Steuern'!AV10)</f>
        <v>2577.3594959604334</v>
      </c>
      <c r="AW12" s="10">
        <f>IF('MFH-Kalkulator'!$C$6="Ein",'Miete, Cashflow, Steuern'!AW11,'Miete, Cashflow, Steuern'!AW10)</f>
        <v>2654.6802808392463</v>
      </c>
      <c r="AX12" s="10">
        <f>IF('MFH-Kalkulator'!$C$6="Ein",'Miete, Cashflow, Steuern'!AX11,'Miete, Cashflow, Steuern'!AX10)</f>
        <v>2734.3206892644239</v>
      </c>
      <c r="AY12" s="10">
        <f>IF('MFH-Kalkulator'!$C$6="Ein",'Miete, Cashflow, Steuern'!AY11,'Miete, Cashflow, Steuern'!AY10)</f>
        <v>2816.3503099423565</v>
      </c>
      <c r="AZ12" s="10">
        <f>IF('MFH-Kalkulator'!$C$6="Ein",'Miete, Cashflow, Steuern'!AZ11,'Miete, Cashflow, Steuern'!AZ10)</f>
        <v>2900.8408192406273</v>
      </c>
      <c r="BA12" s="283">
        <f>IF('MFH-Kalkulator'!$C$6="Ein",'Miete, Cashflow, Steuern'!BA11,'Miete, Cashflow, Steuern'!BA10)</f>
        <v>2987.8660438178463</v>
      </c>
    </row>
    <row r="13" spans="1:53">
      <c r="B13" s="479" t="s">
        <v>252</v>
      </c>
      <c r="C13" s="480"/>
      <c r="D13" s="10">
        <f>Cockpit!K9</f>
        <v>60</v>
      </c>
      <c r="E13" s="10">
        <f>D13*(1+Cockpit!$H$30)</f>
        <v>61.2</v>
      </c>
      <c r="F13" s="10">
        <f>E13*(1+Cockpit!$H$30)</f>
        <v>62.424000000000007</v>
      </c>
      <c r="G13" s="10">
        <f>F13*(1+Cockpit!$H$30)</f>
        <v>63.672480000000007</v>
      </c>
      <c r="H13" s="10">
        <f>G13*(1+Cockpit!$H$30)</f>
        <v>64.945929600000014</v>
      </c>
      <c r="I13" s="10">
        <f>H13*(1+Cockpit!$H$30)</f>
        <v>66.244848192000021</v>
      </c>
      <c r="J13" s="10">
        <f>I13*(1+Cockpit!$H$30)</f>
        <v>67.569745155840025</v>
      </c>
      <c r="K13" s="10">
        <f>J13*(1+Cockpit!$H$30)</f>
        <v>68.921140058956823</v>
      </c>
      <c r="L13" s="10">
        <f>K13*(1+Cockpit!$H$30)</f>
        <v>70.299562860135964</v>
      </c>
      <c r="M13" s="10">
        <f>L13*(1+Cockpit!$H$30)</f>
        <v>71.705554117338679</v>
      </c>
      <c r="N13" s="10">
        <f>M13*(1+Cockpit!$H$30)</f>
        <v>73.139665199685453</v>
      </c>
      <c r="O13" s="10">
        <f>N13*(1+Cockpit!$H$30)</f>
        <v>74.602458503679159</v>
      </c>
      <c r="P13" s="10">
        <f>O13*(1+Cockpit!$H$30)</f>
        <v>76.094507673752744</v>
      </c>
      <c r="Q13" s="10">
        <f>P13*(1+Cockpit!$H$30)</f>
        <v>77.6163978272278</v>
      </c>
      <c r="R13" s="10">
        <f>Q13*(1+Cockpit!$H$30)</f>
        <v>79.168725783772359</v>
      </c>
      <c r="S13" s="10">
        <f>R13*(1+Cockpit!$H$30)</f>
        <v>80.752100299447804</v>
      </c>
      <c r="T13" s="10">
        <f>S13*(1+Cockpit!$H$30)</f>
        <v>82.367142305436758</v>
      </c>
      <c r="U13" s="10">
        <f>T13*(1+Cockpit!$H$30)</f>
        <v>84.0144851515455</v>
      </c>
      <c r="V13" s="10">
        <f>U13*(1+Cockpit!$H$30)</f>
        <v>85.694774854576409</v>
      </c>
      <c r="W13" s="10">
        <f>V13*(1+Cockpit!$H$30)</f>
        <v>87.408670351667936</v>
      </c>
      <c r="X13" s="10">
        <f>W13*(1+Cockpit!$H$30)</f>
        <v>89.156843758701299</v>
      </c>
      <c r="Y13" s="10">
        <f>X13*(1+Cockpit!$H$30)</f>
        <v>90.939980633875322</v>
      </c>
      <c r="Z13" s="10">
        <f>Y13*(1+Cockpit!$H$30)</f>
        <v>92.758780246552831</v>
      </c>
      <c r="AA13" s="10">
        <f>Z13*(1+Cockpit!$H$30)</f>
        <v>94.613955851483894</v>
      </c>
      <c r="AB13" s="10">
        <f>AA13*(1+Cockpit!$H$30)</f>
        <v>96.506234968513567</v>
      </c>
      <c r="AC13" s="10">
        <f>AB13*(1+Cockpit!$H$30)</f>
        <v>98.436359667883835</v>
      </c>
      <c r="AD13" s="10">
        <f>AC13*(1+Cockpit!$H$30)</f>
        <v>100.40508686124151</v>
      </c>
      <c r="AE13" s="10">
        <f>AD13*(1+Cockpit!$H$30)</f>
        <v>102.41318859846635</v>
      </c>
      <c r="AF13" s="10">
        <f>AE13*(1+Cockpit!$H$30)</f>
        <v>104.46145237043568</v>
      </c>
      <c r="AG13" s="10">
        <f>AF13*(1+Cockpit!$H$30)</f>
        <v>106.5506814178444</v>
      </c>
      <c r="AH13" s="10">
        <f>AG13*(1+Cockpit!$H$30)</f>
        <v>108.6816950462013</v>
      </c>
      <c r="AI13" s="10">
        <f>AH13*(1+Cockpit!$H$30)</f>
        <v>110.85532894712533</v>
      </c>
      <c r="AJ13" s="10">
        <f>AI13*(1+Cockpit!$H$30)</f>
        <v>113.07243552606784</v>
      </c>
      <c r="AK13" s="10">
        <f>AJ13*(1+Cockpit!$H$30)</f>
        <v>115.3338842365892</v>
      </c>
      <c r="AL13" s="10">
        <f>AK13*(1+Cockpit!$H$30)</f>
        <v>117.64056192132098</v>
      </c>
      <c r="AM13" s="10">
        <f>AL13*(1+Cockpit!$H$30)</f>
        <v>119.99337315974741</v>
      </c>
      <c r="AN13" s="10">
        <f>AM13*(1+Cockpit!$H$30)</f>
        <v>122.39324062294236</v>
      </c>
      <c r="AO13" s="10">
        <f>AN13*(1+Cockpit!$H$30)</f>
        <v>124.8411054354012</v>
      </c>
      <c r="AP13" s="10">
        <f>AO13*(1+Cockpit!$H$30)</f>
        <v>127.33792754410923</v>
      </c>
      <c r="AQ13" s="10">
        <f>AP13*(1+Cockpit!$H$30)</f>
        <v>129.88468609499142</v>
      </c>
      <c r="AR13" s="10">
        <f>AQ13*(1+Cockpit!$H$30)</f>
        <v>132.48237981689127</v>
      </c>
      <c r="AS13" s="10">
        <f>AR13*(1+Cockpit!$H$30)</f>
        <v>135.13202741322908</v>
      </c>
      <c r="AT13" s="10">
        <f>AS13*(1+Cockpit!$H$30)</f>
        <v>137.83466796149366</v>
      </c>
      <c r="AU13" s="10">
        <f>AT13*(1+Cockpit!$H$30)</f>
        <v>140.59136132072354</v>
      </c>
      <c r="AV13" s="10">
        <f>AU13*(1+Cockpit!$H$30)</f>
        <v>143.403188547138</v>
      </c>
      <c r="AW13" s="10">
        <f>AV13*(1+Cockpit!$H$30)</f>
        <v>146.27125231808077</v>
      </c>
      <c r="AX13" s="10">
        <f>AW13*(1+Cockpit!$H$30)</f>
        <v>149.19667736444239</v>
      </c>
      <c r="AY13" s="10">
        <f>AX13*(1+Cockpit!$H$30)</f>
        <v>152.18061091173124</v>
      </c>
      <c r="AZ13" s="10">
        <f>AY13*(1+Cockpit!$H$30)</f>
        <v>155.22422312996585</v>
      </c>
      <c r="BA13" s="283">
        <f>AZ13*(1+Cockpit!$H$30)</f>
        <v>158.32870759256517</v>
      </c>
    </row>
    <row r="14" spans="1:53" ht="15.75" thickBot="1">
      <c r="B14" s="481" t="s">
        <v>477</v>
      </c>
      <c r="C14" s="482"/>
      <c r="D14" s="284">
        <f t="shared" ref="D14:AI14" si="2">D12+D13</f>
        <v>762</v>
      </c>
      <c r="E14" s="284">
        <f t="shared" si="2"/>
        <v>784.2600000000001</v>
      </c>
      <c r="F14" s="284">
        <f t="shared" si="2"/>
        <v>807.17580000000009</v>
      </c>
      <c r="G14" s="284">
        <f t="shared" si="2"/>
        <v>830.76683400000024</v>
      </c>
      <c r="H14" s="284">
        <f t="shared" si="2"/>
        <v>855.05311422000023</v>
      </c>
      <c r="I14" s="284">
        <f t="shared" si="2"/>
        <v>880.05524835060032</v>
      </c>
      <c r="J14" s="284">
        <f t="shared" si="2"/>
        <v>905.79445731919827</v>
      </c>
      <c r="K14" s="284">
        <f t="shared" si="2"/>
        <v>932.29259358721583</v>
      </c>
      <c r="L14" s="284">
        <f t="shared" si="2"/>
        <v>959.57215999424284</v>
      </c>
      <c r="M14" s="284">
        <f t="shared" si="2"/>
        <v>987.65632916546872</v>
      </c>
      <c r="N14" s="284">
        <f t="shared" si="2"/>
        <v>1016.5689634992593</v>
      </c>
      <c r="O14" s="284">
        <f t="shared" si="2"/>
        <v>1046.3346357522403</v>
      </c>
      <c r="P14" s="284">
        <f t="shared" si="2"/>
        <v>1076.9786502397708</v>
      </c>
      <c r="Q14" s="284">
        <f t="shared" si="2"/>
        <v>1108.5270646702263</v>
      </c>
      <c r="R14" s="284">
        <f t="shared" si="2"/>
        <v>1141.006712632061</v>
      </c>
      <c r="S14" s="284">
        <f t="shared" si="2"/>
        <v>1174.4452267531851</v>
      </c>
      <c r="T14" s="284">
        <f t="shared" si="2"/>
        <v>1208.8710625527863</v>
      </c>
      <c r="U14" s="284">
        <f t="shared" si="2"/>
        <v>1244.3135230063153</v>
      </c>
      <c r="V14" s="284">
        <f t="shared" si="2"/>
        <v>1280.8027838449896</v>
      </c>
      <c r="W14" s="284">
        <f t="shared" si="2"/>
        <v>1318.3699196117934</v>
      </c>
      <c r="X14" s="284">
        <f t="shared" si="2"/>
        <v>1357.0469304966307</v>
      </c>
      <c r="Y14" s="284">
        <f t="shared" si="2"/>
        <v>1396.8667699739426</v>
      </c>
      <c r="Z14" s="284">
        <f t="shared" si="2"/>
        <v>1437.863373266822</v>
      </c>
      <c r="AA14" s="284">
        <f t="shared" si="2"/>
        <v>1480.0716866623613</v>
      </c>
      <c r="AB14" s="284">
        <f t="shared" si="2"/>
        <v>1523.5276977037172</v>
      </c>
      <c r="AC14" s="284">
        <f t="shared" si="2"/>
        <v>1568.2684662851436</v>
      </c>
      <c r="AD14" s="284">
        <f t="shared" si="2"/>
        <v>1614.3321566770192</v>
      </c>
      <c r="AE14" s="284">
        <f t="shared" si="2"/>
        <v>1661.7580705087175</v>
      </c>
      <c r="AF14" s="284">
        <f t="shared" si="2"/>
        <v>1710.5866807379944</v>
      </c>
      <c r="AG14" s="284">
        <f t="shared" si="2"/>
        <v>1760.8596666364299</v>
      </c>
      <c r="AH14" s="284">
        <f t="shared" si="2"/>
        <v>1812.6199498213446</v>
      </c>
      <c r="AI14" s="284">
        <f t="shared" si="2"/>
        <v>1865.9117313655229</v>
      </c>
      <c r="AJ14" s="284">
        <f t="shared" ref="AJ14:BA14" si="3">AJ12+AJ13</f>
        <v>1920.7805300170173</v>
      </c>
      <c r="AK14" s="284">
        <f t="shared" si="3"/>
        <v>1977.2732215622673</v>
      </c>
      <c r="AL14" s="284">
        <f t="shared" si="3"/>
        <v>2035.4380793667694</v>
      </c>
      <c r="AM14" s="284">
        <f t="shared" si="3"/>
        <v>2095.3248161285592</v>
      </c>
      <c r="AN14" s="284">
        <f t="shared" si="3"/>
        <v>2156.9846268808187</v>
      </c>
      <c r="AO14" s="284">
        <f t="shared" si="3"/>
        <v>2220.4702332810139</v>
      </c>
      <c r="AP14" s="284">
        <f t="shared" si="3"/>
        <v>2285.8359292250907</v>
      </c>
      <c r="AQ14" s="284">
        <f t="shared" si="3"/>
        <v>2353.1376278264024</v>
      </c>
      <c r="AR14" s="284">
        <f t="shared" si="3"/>
        <v>2422.4329098002445</v>
      </c>
      <c r="AS14" s="284">
        <f t="shared" si="3"/>
        <v>2493.7810732960829</v>
      </c>
      <c r="AT14" s="284">
        <f t="shared" si="3"/>
        <v>2567.2431852208333</v>
      </c>
      <c r="AU14" s="284">
        <f t="shared" si="3"/>
        <v>2642.8821340978434</v>
      </c>
      <c r="AV14" s="284">
        <f t="shared" si="3"/>
        <v>2720.7626845075715</v>
      </c>
      <c r="AW14" s="284">
        <f t="shared" si="3"/>
        <v>2800.951533157327</v>
      </c>
      <c r="AX14" s="284">
        <f t="shared" si="3"/>
        <v>2883.5173666288665</v>
      </c>
      <c r="AY14" s="284">
        <f t="shared" si="3"/>
        <v>2968.5309208540875</v>
      </c>
      <c r="AZ14" s="284">
        <f t="shared" si="3"/>
        <v>3056.0650423705933</v>
      </c>
      <c r="BA14" s="285">
        <f t="shared" si="3"/>
        <v>3146.1947514104113</v>
      </c>
    </row>
    <row r="15" spans="1:53" ht="15.75" thickBot="1"/>
    <row r="16" spans="1:53" ht="15.75" thickBot="1"/>
    <row r="17" spans="1:53" ht="18" thickBot="1">
      <c r="A17"/>
      <c r="B17" s="273" t="s">
        <v>257</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478</v>
      </c>
      <c r="C19" s="486"/>
      <c r="D19" s="281">
        <f t="shared" ref="D19:AI19" si="6">D14</f>
        <v>762</v>
      </c>
      <c r="E19" s="281">
        <f t="shared" si="6"/>
        <v>784.2600000000001</v>
      </c>
      <c r="F19" s="281">
        <f t="shared" si="6"/>
        <v>807.17580000000009</v>
      </c>
      <c r="G19" s="281">
        <f t="shared" si="6"/>
        <v>830.76683400000024</v>
      </c>
      <c r="H19" s="281">
        <f t="shared" si="6"/>
        <v>855.05311422000023</v>
      </c>
      <c r="I19" s="281">
        <f t="shared" si="6"/>
        <v>880.05524835060032</v>
      </c>
      <c r="J19" s="281">
        <f t="shared" si="6"/>
        <v>905.79445731919827</v>
      </c>
      <c r="K19" s="281">
        <f t="shared" si="6"/>
        <v>932.29259358721583</v>
      </c>
      <c r="L19" s="281">
        <f t="shared" si="6"/>
        <v>959.57215999424284</v>
      </c>
      <c r="M19" s="281">
        <f t="shared" si="6"/>
        <v>987.65632916546872</v>
      </c>
      <c r="N19" s="281">
        <f t="shared" si="6"/>
        <v>1016.5689634992593</v>
      </c>
      <c r="O19" s="281">
        <f t="shared" si="6"/>
        <v>1046.3346357522403</v>
      </c>
      <c r="P19" s="281">
        <f t="shared" si="6"/>
        <v>1076.9786502397708</v>
      </c>
      <c r="Q19" s="281">
        <f t="shared" si="6"/>
        <v>1108.5270646702263</v>
      </c>
      <c r="R19" s="281">
        <f t="shared" si="6"/>
        <v>1141.006712632061</v>
      </c>
      <c r="S19" s="281">
        <f t="shared" si="6"/>
        <v>1174.4452267531851</v>
      </c>
      <c r="T19" s="281">
        <f t="shared" si="6"/>
        <v>1208.8710625527863</v>
      </c>
      <c r="U19" s="281">
        <f t="shared" si="6"/>
        <v>1244.3135230063153</v>
      </c>
      <c r="V19" s="281">
        <f t="shared" si="6"/>
        <v>1280.8027838449896</v>
      </c>
      <c r="W19" s="281">
        <f t="shared" si="6"/>
        <v>1318.3699196117934</v>
      </c>
      <c r="X19" s="281">
        <f t="shared" si="6"/>
        <v>1357.0469304966307</v>
      </c>
      <c r="Y19" s="281">
        <f t="shared" si="6"/>
        <v>1396.8667699739426</v>
      </c>
      <c r="Z19" s="281">
        <f t="shared" si="6"/>
        <v>1437.863373266822</v>
      </c>
      <c r="AA19" s="281">
        <f t="shared" si="6"/>
        <v>1480.0716866623613</v>
      </c>
      <c r="AB19" s="281">
        <f t="shared" si="6"/>
        <v>1523.5276977037172</v>
      </c>
      <c r="AC19" s="281">
        <f t="shared" si="6"/>
        <v>1568.2684662851436</v>
      </c>
      <c r="AD19" s="281">
        <f t="shared" si="6"/>
        <v>1614.3321566770192</v>
      </c>
      <c r="AE19" s="281">
        <f t="shared" si="6"/>
        <v>1661.7580705087175</v>
      </c>
      <c r="AF19" s="281">
        <f t="shared" si="6"/>
        <v>1710.5866807379944</v>
      </c>
      <c r="AG19" s="281">
        <f t="shared" si="6"/>
        <v>1760.8596666364299</v>
      </c>
      <c r="AH19" s="281">
        <f t="shared" si="6"/>
        <v>1812.6199498213446</v>
      </c>
      <c r="AI19" s="281">
        <f t="shared" si="6"/>
        <v>1865.9117313655229</v>
      </c>
      <c r="AJ19" s="281">
        <f t="shared" ref="AJ19:BA19" si="7">AJ14</f>
        <v>1920.7805300170173</v>
      </c>
      <c r="AK19" s="281">
        <f t="shared" si="7"/>
        <v>1977.2732215622673</v>
      </c>
      <c r="AL19" s="281">
        <f t="shared" si="7"/>
        <v>2035.4380793667694</v>
      </c>
      <c r="AM19" s="281">
        <f t="shared" si="7"/>
        <v>2095.3248161285592</v>
      </c>
      <c r="AN19" s="281">
        <f t="shared" si="7"/>
        <v>2156.9846268808187</v>
      </c>
      <c r="AO19" s="281">
        <f t="shared" si="7"/>
        <v>2220.4702332810139</v>
      </c>
      <c r="AP19" s="281">
        <f t="shared" si="7"/>
        <v>2285.8359292250907</v>
      </c>
      <c r="AQ19" s="281">
        <f t="shared" si="7"/>
        <v>2353.1376278264024</v>
      </c>
      <c r="AR19" s="281">
        <f t="shared" si="7"/>
        <v>2422.4329098002445</v>
      </c>
      <c r="AS19" s="281">
        <f t="shared" si="7"/>
        <v>2493.7810732960829</v>
      </c>
      <c r="AT19" s="281">
        <f t="shared" si="7"/>
        <v>2567.2431852208333</v>
      </c>
      <c r="AU19" s="281">
        <f t="shared" si="7"/>
        <v>2642.8821340978434</v>
      </c>
      <c r="AV19" s="281">
        <f t="shared" si="7"/>
        <v>2720.7626845075715</v>
      </c>
      <c r="AW19" s="281">
        <f t="shared" si="7"/>
        <v>2800.951533157327</v>
      </c>
      <c r="AX19" s="281">
        <f t="shared" si="7"/>
        <v>2883.5173666288665</v>
      </c>
      <c r="AY19" s="281">
        <f t="shared" si="7"/>
        <v>2968.5309208540875</v>
      </c>
      <c r="AZ19" s="281">
        <f t="shared" si="7"/>
        <v>3056.0650423705933</v>
      </c>
      <c r="BA19" s="282">
        <f t="shared" si="7"/>
        <v>3146.1947514104113</v>
      </c>
    </row>
    <row r="20" spans="1:53">
      <c r="A20"/>
      <c r="B20" s="479" t="s">
        <v>254</v>
      </c>
      <c r="C20" s="480"/>
      <c r="D20" s="10">
        <f>-(Cockpit!K12-Cockpit!K27-Cockpit!K28)</f>
        <v>-90.000000000000014</v>
      </c>
      <c r="E20" s="10">
        <f>D20*(1+Cockpit!$H$30)</f>
        <v>-91.800000000000011</v>
      </c>
      <c r="F20" s="10">
        <f>E20*(1+Cockpit!$H$30)</f>
        <v>-93.63600000000001</v>
      </c>
      <c r="G20" s="10">
        <f>F20*(1+Cockpit!$H$30)</f>
        <v>-95.508720000000011</v>
      </c>
      <c r="H20" s="10">
        <f>G20*(1+Cockpit!$H$30)</f>
        <v>-97.418894400000013</v>
      </c>
      <c r="I20" s="10">
        <f>H20*(1+Cockpit!$H$30)</f>
        <v>-99.367272288000009</v>
      </c>
      <c r="J20" s="10">
        <f>I20*(1+Cockpit!$H$30)</f>
        <v>-101.35461773376001</v>
      </c>
      <c r="K20" s="10">
        <f>J20*(1+Cockpit!$H$30)</f>
        <v>-103.38171008843521</v>
      </c>
      <c r="L20" s="10">
        <f>K20*(1+Cockpit!$H$30)</f>
        <v>-105.44934429020392</v>
      </c>
      <c r="M20" s="10">
        <f>L20*(1+Cockpit!$H$30)</f>
        <v>-107.55833117600801</v>
      </c>
      <c r="N20" s="10">
        <f>M20*(1+Cockpit!$H$30)</f>
        <v>-109.70949779952818</v>
      </c>
      <c r="O20" s="10">
        <f>N20*(1+Cockpit!$H$30)</f>
        <v>-111.90368775551875</v>
      </c>
      <c r="P20" s="10">
        <f>O20*(1+Cockpit!$H$30)</f>
        <v>-114.14176151062912</v>
      </c>
      <c r="Q20" s="10">
        <f>P20*(1+Cockpit!$H$30)</f>
        <v>-116.42459674084171</v>
      </c>
      <c r="R20" s="10">
        <f>Q20*(1+Cockpit!$H$30)</f>
        <v>-118.75308867565855</v>
      </c>
      <c r="S20" s="10">
        <f>R20*(1+Cockpit!$H$30)</f>
        <v>-121.12815044917171</v>
      </c>
      <c r="T20" s="10">
        <f>S20*(1+Cockpit!$H$30)</f>
        <v>-123.55071345815514</v>
      </c>
      <c r="U20" s="10">
        <f>T20*(1+Cockpit!$H$30)</f>
        <v>-126.02172772731825</v>
      </c>
      <c r="V20" s="10">
        <f>U20*(1+Cockpit!$H$30)</f>
        <v>-128.54216228186462</v>
      </c>
      <c r="W20" s="10">
        <f>V20*(1+Cockpit!$H$30)</f>
        <v>-131.11300552750191</v>
      </c>
      <c r="X20" s="10">
        <f>W20*(1+Cockpit!$H$30)</f>
        <v>-133.73526563805194</v>
      </c>
      <c r="Y20" s="10">
        <f>X20*(1+Cockpit!$H$30)</f>
        <v>-136.40997095081298</v>
      </c>
      <c r="Z20" s="10">
        <f>Y20*(1+Cockpit!$H$30)</f>
        <v>-139.13817036982923</v>
      </c>
      <c r="AA20" s="10">
        <f>Z20*(1+Cockpit!$H$30)</f>
        <v>-141.92093377722583</v>
      </c>
      <c r="AB20" s="10">
        <f>AA20*(1+Cockpit!$H$30)</f>
        <v>-144.75935245277034</v>
      </c>
      <c r="AC20" s="10">
        <f>AB20*(1+Cockpit!$H$30)</f>
        <v>-147.65453950182575</v>
      </c>
      <c r="AD20" s="10">
        <f>AC20*(1+Cockpit!$H$30)</f>
        <v>-150.60763029186228</v>
      </c>
      <c r="AE20" s="10">
        <f>AD20*(1+Cockpit!$H$30)</f>
        <v>-153.61978289769954</v>
      </c>
      <c r="AF20" s="10">
        <f>AE20*(1+Cockpit!$H$30)</f>
        <v>-156.69217855565353</v>
      </c>
      <c r="AG20" s="10">
        <f>AF20*(1+Cockpit!$H$30)</f>
        <v>-159.82602212676659</v>
      </c>
      <c r="AH20" s="10">
        <f>AG20*(1+Cockpit!$H$30)</f>
        <v>-163.02254256930192</v>
      </c>
      <c r="AI20" s="10">
        <f>AH20*(1+Cockpit!$H$30)</f>
        <v>-166.28299342068797</v>
      </c>
      <c r="AJ20" s="10">
        <f>AI20*(1+Cockpit!$H$30)</f>
        <v>-169.60865328910174</v>
      </c>
      <c r="AK20" s="10">
        <f>AJ20*(1+Cockpit!$H$30)</f>
        <v>-173.00082635488377</v>
      </c>
      <c r="AL20" s="10">
        <f>AK20*(1+Cockpit!$H$30)</f>
        <v>-176.46084288198145</v>
      </c>
      <c r="AM20" s="10">
        <f>AL20*(1+Cockpit!$H$30)</f>
        <v>-179.99005973962107</v>
      </c>
      <c r="AN20" s="10">
        <f>AM20*(1+Cockpit!$H$30)</f>
        <v>-183.58986093441351</v>
      </c>
      <c r="AO20" s="10">
        <f>AN20*(1+Cockpit!$H$30)</f>
        <v>-187.26165815310179</v>
      </c>
      <c r="AP20" s="10">
        <f>AO20*(1+Cockpit!$H$30)</f>
        <v>-191.00689131616383</v>
      </c>
      <c r="AQ20" s="10">
        <f>AP20*(1+Cockpit!$H$30)</f>
        <v>-194.82702914248711</v>
      </c>
      <c r="AR20" s="10">
        <f>AQ20*(1+Cockpit!$H$30)</f>
        <v>-198.72356972533686</v>
      </c>
      <c r="AS20" s="10">
        <f>AR20*(1+Cockpit!$H$30)</f>
        <v>-202.69804111984359</v>
      </c>
      <c r="AT20" s="10">
        <f>AS20*(1+Cockpit!$H$30)</f>
        <v>-206.75200194224047</v>
      </c>
      <c r="AU20" s="10">
        <f>AT20*(1+Cockpit!$H$30)</f>
        <v>-210.88704198108528</v>
      </c>
      <c r="AV20" s="10">
        <f>AU20*(1+Cockpit!$H$30)</f>
        <v>-215.10478282070699</v>
      </c>
      <c r="AW20" s="10">
        <f>AV20*(1+Cockpit!$H$30)</f>
        <v>-219.40687847712113</v>
      </c>
      <c r="AX20" s="10">
        <f>AW20*(1+Cockpit!$H$30)</f>
        <v>-223.79501604666356</v>
      </c>
      <c r="AY20" s="10">
        <f>AX20*(1+Cockpit!$H$30)</f>
        <v>-228.27091636759684</v>
      </c>
      <c r="AZ20" s="10">
        <f>AY20*(1+Cockpit!$H$30)</f>
        <v>-232.83633469494879</v>
      </c>
      <c r="BA20" s="283">
        <f>AZ20*(1+Cockpit!$H$30)</f>
        <v>-237.49306138884776</v>
      </c>
    </row>
    <row r="21" spans="1:53">
      <c r="A21"/>
      <c r="B21" s="479" t="s">
        <v>255</v>
      </c>
      <c r="C21" s="480"/>
      <c r="D21" s="10">
        <f>-Cockpit!K27</f>
        <v>-32.5</v>
      </c>
      <c r="E21" s="10">
        <f>D21*(1+Cockpit!$H$30)</f>
        <v>-33.15</v>
      </c>
      <c r="F21" s="10">
        <f>E21*(1+Cockpit!$H$30)</f>
        <v>-33.813000000000002</v>
      </c>
      <c r="G21" s="10">
        <f>F21*(1+Cockpit!$H$30)</f>
        <v>-34.489260000000002</v>
      </c>
      <c r="H21" s="10">
        <f>G21*(1+Cockpit!$H$30)</f>
        <v>-35.179045200000004</v>
      </c>
      <c r="I21" s="10">
        <f>H21*(1+Cockpit!$H$30)</f>
        <v>-35.882626104000003</v>
      </c>
      <c r="J21" s="10">
        <f>I21*(1+Cockpit!$H$30)</f>
        <v>-36.600278626080005</v>
      </c>
      <c r="K21" s="10">
        <f>J21*(1+Cockpit!$H$30)</f>
        <v>-37.332284198601606</v>
      </c>
      <c r="L21" s="10">
        <f>K21*(1+Cockpit!$H$30)</f>
        <v>-38.07892988257364</v>
      </c>
      <c r="M21" s="10">
        <f>L21*(1+Cockpit!$H$30)</f>
        <v>-38.840508480225111</v>
      </c>
      <c r="N21" s="10">
        <f>M21*(1+Cockpit!$H$30)</f>
        <v>-39.617318649829613</v>
      </c>
      <c r="O21" s="10">
        <f>N21*(1+Cockpit!$H$30)</f>
        <v>-40.409665022826204</v>
      </c>
      <c r="P21" s="10">
        <f>O21*(1+Cockpit!$H$30)</f>
        <v>-41.217858323282726</v>
      </c>
      <c r="Q21" s="10">
        <f>P21*(1+Cockpit!$H$30)</f>
        <v>-42.042215489748379</v>
      </c>
      <c r="R21" s="10">
        <f>Q21*(1+Cockpit!$H$30)</f>
        <v>-42.883059799543346</v>
      </c>
      <c r="S21" s="10">
        <f>R21*(1+Cockpit!$H$30)</f>
        <v>-43.740720995534211</v>
      </c>
      <c r="T21" s="10">
        <f>S21*(1+Cockpit!$H$30)</f>
        <v>-44.615535415444896</v>
      </c>
      <c r="U21" s="10">
        <f>T21*(1+Cockpit!$H$30)</f>
        <v>-45.507846123753794</v>
      </c>
      <c r="V21" s="10">
        <f>U21*(1+Cockpit!$H$30)</f>
        <v>-46.418003046228868</v>
      </c>
      <c r="W21" s="10">
        <f>V21*(1+Cockpit!$H$30)</f>
        <v>-47.346363107153444</v>
      </c>
      <c r="X21" s="10">
        <f>W21*(1+Cockpit!$H$30)</f>
        <v>-48.293290369296514</v>
      </c>
      <c r="Y21" s="10">
        <f>X21*(1+Cockpit!$H$30)</f>
        <v>-49.259156176682446</v>
      </c>
      <c r="Z21" s="10">
        <f>Y21*(1+Cockpit!$H$30)</f>
        <v>-50.244339300216097</v>
      </c>
      <c r="AA21" s="10">
        <f>Z21*(1+Cockpit!$H$30)</f>
        <v>-51.249226086220418</v>
      </c>
      <c r="AB21" s="10">
        <f>AA21*(1+Cockpit!$H$30)</f>
        <v>-52.274210607944823</v>
      </c>
      <c r="AC21" s="10">
        <f>AB21*(1+Cockpit!$H$30)</f>
        <v>-53.31969482010372</v>
      </c>
      <c r="AD21" s="10">
        <f>AC21*(1+Cockpit!$H$30)</f>
        <v>-54.386088716505796</v>
      </c>
      <c r="AE21" s="10">
        <f>AD21*(1+Cockpit!$H$30)</f>
        <v>-55.473810490835916</v>
      </c>
      <c r="AF21" s="10">
        <f>AE21*(1+Cockpit!$H$30)</f>
        <v>-56.583286700652636</v>
      </c>
      <c r="AG21" s="10">
        <f>AF21*(1+Cockpit!$H$30)</f>
        <v>-57.71495243466569</v>
      </c>
      <c r="AH21" s="10">
        <f>AG21*(1+Cockpit!$H$30)</f>
        <v>-58.869251483359008</v>
      </c>
      <c r="AI21" s="10">
        <f>AH21*(1+Cockpit!$H$30)</f>
        <v>-60.046636513026186</v>
      </c>
      <c r="AJ21" s="10">
        <f>AI21*(1+Cockpit!$H$30)</f>
        <v>-61.247569243286712</v>
      </c>
      <c r="AK21" s="10">
        <f>AJ21*(1+Cockpit!$H$30)</f>
        <v>-62.472520628152445</v>
      </c>
      <c r="AL21" s="10">
        <f>AK21*(1+Cockpit!$H$30)</f>
        <v>-63.721971040715495</v>
      </c>
      <c r="AM21" s="10">
        <f>AL21*(1+Cockpit!$H$30)</f>
        <v>-64.996410461529806</v>
      </c>
      <c r="AN21" s="10">
        <f>AM21*(1+Cockpit!$H$30)</f>
        <v>-66.296338670760406</v>
      </c>
      <c r="AO21" s="10">
        <f>AN21*(1+Cockpit!$H$30)</f>
        <v>-67.622265444175611</v>
      </c>
      <c r="AP21" s="10">
        <f>AO21*(1+Cockpit!$H$30)</f>
        <v>-68.974710753059128</v>
      </c>
      <c r="AQ21" s="10">
        <f>AP21*(1+Cockpit!$H$30)</f>
        <v>-70.354204968120314</v>
      </c>
      <c r="AR21" s="10">
        <f>AQ21*(1+Cockpit!$H$30)</f>
        <v>-71.761289067482721</v>
      </c>
      <c r="AS21" s="10">
        <f>AR21*(1+Cockpit!$H$30)</f>
        <v>-73.196514848832379</v>
      </c>
      <c r="AT21" s="10">
        <f>AS21*(1+Cockpit!$H$30)</f>
        <v>-74.660445145809021</v>
      </c>
      <c r="AU21" s="10">
        <f>AT21*(1+Cockpit!$H$30)</f>
        <v>-76.153654048725201</v>
      </c>
      <c r="AV21" s="10">
        <f>AU21*(1+Cockpit!$H$30)</f>
        <v>-77.6767271296997</v>
      </c>
      <c r="AW21" s="10">
        <f>AV21*(1+Cockpit!$H$30)</f>
        <v>-79.230261672293693</v>
      </c>
      <c r="AX21" s="10">
        <f>AW21*(1+Cockpit!$H$30)</f>
        <v>-80.814866905739564</v>
      </c>
      <c r="AY21" s="10">
        <f>AX21*(1+Cockpit!$H$30)</f>
        <v>-82.431164243854354</v>
      </c>
      <c r="AZ21" s="10">
        <f>AY21*(1+Cockpit!$H$30)</f>
        <v>-84.079787528731444</v>
      </c>
      <c r="BA21" s="283">
        <f>AZ21*(1+Cockpit!$H$30)</f>
        <v>-85.761383279306074</v>
      </c>
    </row>
    <row r="22" spans="1:53">
      <c r="A22"/>
      <c r="B22" s="479" t="s">
        <v>253</v>
      </c>
      <c r="C22" s="480"/>
      <c r="D22" s="10">
        <f>-Cockpit!K28</f>
        <v>-22.86</v>
      </c>
      <c r="E22" s="10">
        <f>-Cockpit!$H$25*'Miete, Cashflow, Steuern'!E14</f>
        <v>-23.527800000000003</v>
      </c>
      <c r="F22" s="10">
        <f>-Cockpit!$H$25*'Miete, Cashflow, Steuern'!F14</f>
        <v>-24.215274000000001</v>
      </c>
      <c r="G22" s="10">
        <f>-Cockpit!$H$25*'Miete, Cashflow, Steuern'!G14</f>
        <v>-24.923005020000005</v>
      </c>
      <c r="H22" s="10">
        <f>-Cockpit!$H$25*'Miete, Cashflow, Steuern'!H14</f>
        <v>-25.651593426600005</v>
      </c>
      <c r="I22" s="10">
        <f>-Cockpit!$H$25*'Miete, Cashflow, Steuern'!I14</f>
        <v>-26.401657450518009</v>
      </c>
      <c r="J22" s="10">
        <f>-Cockpit!$H$25*'Miete, Cashflow, Steuern'!J14</f>
        <v>-27.173833719575946</v>
      </c>
      <c r="K22" s="10">
        <f>-Cockpit!$H$25*'Miete, Cashflow, Steuern'!K14</f>
        <v>-27.968777807616473</v>
      </c>
      <c r="L22" s="10">
        <f>-Cockpit!$H$25*'Miete, Cashflow, Steuern'!L14</f>
        <v>-28.787164799827284</v>
      </c>
      <c r="M22" s="10">
        <f>-Cockpit!$H$25*'Miete, Cashflow, Steuern'!M14</f>
        <v>-29.629689874964061</v>
      </c>
      <c r="N22" s="10">
        <f>-Cockpit!$H$25*'Miete, Cashflow, Steuern'!N14</f>
        <v>-30.49706890497778</v>
      </c>
      <c r="O22" s="10">
        <f>-Cockpit!$H$25*'Miete, Cashflow, Steuern'!O14</f>
        <v>-31.390039072567205</v>
      </c>
      <c r="P22" s="10">
        <f>-Cockpit!$H$25*'Miete, Cashflow, Steuern'!P14</f>
        <v>-32.309359507193122</v>
      </c>
      <c r="Q22" s="10">
        <f>-Cockpit!$H$25*'Miete, Cashflow, Steuern'!Q14</f>
        <v>-33.255811940106788</v>
      </c>
      <c r="R22" s="10">
        <f>-Cockpit!$H$25*'Miete, Cashflow, Steuern'!R14</f>
        <v>-34.23020137896183</v>
      </c>
      <c r="S22" s="10">
        <f>-Cockpit!$H$25*'Miete, Cashflow, Steuern'!S14</f>
        <v>-35.233356802595551</v>
      </c>
      <c r="T22" s="10">
        <f>-Cockpit!$H$25*'Miete, Cashflow, Steuern'!T14</f>
        <v>-36.266131876583586</v>
      </c>
      <c r="U22" s="10">
        <f>-Cockpit!$H$25*'Miete, Cashflow, Steuern'!U14</f>
        <v>-37.329405690189461</v>
      </c>
      <c r="V22" s="10">
        <f>-Cockpit!$H$25*'Miete, Cashflow, Steuern'!V14</f>
        <v>-38.424083515349686</v>
      </c>
      <c r="W22" s="10">
        <f>-Cockpit!$H$25*'Miete, Cashflow, Steuern'!W14</f>
        <v>-39.551097588353798</v>
      </c>
      <c r="X22" s="10">
        <f>-Cockpit!$H$25*'Miete, Cashflow, Steuern'!X14</f>
        <v>-40.711407914898921</v>
      </c>
      <c r="Y22" s="10">
        <f>-Cockpit!$H$25*'Miete, Cashflow, Steuern'!Y14</f>
        <v>-41.906003099218275</v>
      </c>
      <c r="Z22" s="10">
        <f>-Cockpit!$H$25*'Miete, Cashflow, Steuern'!Z14</f>
        <v>-43.13590119800466</v>
      </c>
      <c r="AA22" s="10">
        <f>-Cockpit!$H$25*'Miete, Cashflow, Steuern'!AA14</f>
        <v>-44.402150599870836</v>
      </c>
      <c r="AB22" s="10">
        <f>-Cockpit!$H$25*'Miete, Cashflow, Steuern'!AB14</f>
        <v>-45.705830931111514</v>
      </c>
      <c r="AC22" s="10">
        <f>-Cockpit!$H$25*'Miete, Cashflow, Steuern'!AC14</f>
        <v>-47.048053988554308</v>
      </c>
      <c r="AD22" s="10">
        <f>-Cockpit!$H$25*'Miete, Cashflow, Steuern'!AD14</f>
        <v>-48.42996470031057</v>
      </c>
      <c r="AE22" s="10">
        <f>-Cockpit!$H$25*'Miete, Cashflow, Steuern'!AE14</f>
        <v>-49.852742115261528</v>
      </c>
      <c r="AF22" s="10">
        <f>-Cockpit!$H$25*'Miete, Cashflow, Steuern'!AF14</f>
        <v>-51.317600422139826</v>
      </c>
      <c r="AG22" s="10">
        <f>-Cockpit!$H$25*'Miete, Cashflow, Steuern'!AG14</f>
        <v>-52.825789999092898</v>
      </c>
      <c r="AH22" s="10">
        <f>-Cockpit!$H$25*'Miete, Cashflow, Steuern'!AH14</f>
        <v>-54.378598494640336</v>
      </c>
      <c r="AI22" s="10">
        <f>-Cockpit!$H$25*'Miete, Cashflow, Steuern'!AI14</f>
        <v>-55.977351940965683</v>
      </c>
      <c r="AJ22" s="10">
        <f>-Cockpit!$H$25*'Miete, Cashflow, Steuern'!AJ14</f>
        <v>-57.623415900510516</v>
      </c>
      <c r="AK22" s="10">
        <f>-Cockpit!$H$25*'Miete, Cashflow, Steuern'!AK14</f>
        <v>-59.318196646868017</v>
      </c>
      <c r="AL22" s="10">
        <f>-Cockpit!$H$25*'Miete, Cashflow, Steuern'!AL14</f>
        <v>-61.063142381003082</v>
      </c>
      <c r="AM22" s="10">
        <f>-Cockpit!$H$25*'Miete, Cashflow, Steuern'!AM14</f>
        <v>-62.859744483856772</v>
      </c>
      <c r="AN22" s="10">
        <f>-Cockpit!$H$25*'Miete, Cashflow, Steuern'!AN14</f>
        <v>-64.709538806424561</v>
      </c>
      <c r="AO22" s="10">
        <f>-Cockpit!$H$25*'Miete, Cashflow, Steuern'!AO14</f>
        <v>-66.614106998430415</v>
      </c>
      <c r="AP22" s="10">
        <f>-Cockpit!$H$25*'Miete, Cashflow, Steuern'!AP14</f>
        <v>-68.575077876752715</v>
      </c>
      <c r="AQ22" s="10">
        <f>-Cockpit!$H$25*'Miete, Cashflow, Steuern'!AQ14</f>
        <v>-70.594128834792073</v>
      </c>
      <c r="AR22" s="10">
        <f>-Cockpit!$H$25*'Miete, Cashflow, Steuern'!AR14</f>
        <v>-72.672987294007328</v>
      </c>
      <c r="AS22" s="10">
        <f>-Cockpit!$H$25*'Miete, Cashflow, Steuern'!AS14</f>
        <v>-74.813432198882481</v>
      </c>
      <c r="AT22" s="10">
        <f>-Cockpit!$H$25*'Miete, Cashflow, Steuern'!AT14</f>
        <v>-77.017295556625001</v>
      </c>
      <c r="AU22" s="10">
        <f>-Cockpit!$H$25*'Miete, Cashflow, Steuern'!AU14</f>
        <v>-79.286464022935306</v>
      </c>
      <c r="AV22" s="10">
        <f>-Cockpit!$H$25*'Miete, Cashflow, Steuern'!AV14</f>
        <v>-81.622880535227139</v>
      </c>
      <c r="AW22" s="10">
        <f>-Cockpit!$H$25*'Miete, Cashflow, Steuern'!AW14</f>
        <v>-84.028545994719806</v>
      </c>
      <c r="AX22" s="10">
        <f>-Cockpit!$H$25*'Miete, Cashflow, Steuern'!AX14</f>
        <v>-86.50552099886599</v>
      </c>
      <c r="AY22" s="10">
        <f>-Cockpit!$H$25*'Miete, Cashflow, Steuern'!AY14</f>
        <v>-89.055927625622616</v>
      </c>
      <c r="AZ22" s="10">
        <f>-Cockpit!$H$25*'Miete, Cashflow, Steuern'!AZ14</f>
        <v>-91.681951271117796</v>
      </c>
      <c r="BA22" s="283">
        <f>-Cockpit!$H$25*'Miete, Cashflow, Steuern'!BA14</f>
        <v>-94.385842542312332</v>
      </c>
    </row>
    <row r="23" spans="1:53">
      <c r="A23"/>
      <c r="B23" s="489" t="s">
        <v>282</v>
      </c>
      <c r="C23" s="490"/>
      <c r="D23" s="10">
        <f t="shared" ref="D23:AI23" si="8">D20+D21+D22</f>
        <v>-145.36000000000001</v>
      </c>
      <c r="E23" s="10">
        <f t="shared" si="8"/>
        <v>-148.47780000000003</v>
      </c>
      <c r="F23" s="10">
        <f t="shared" si="8"/>
        <v>-151.66427400000001</v>
      </c>
      <c r="G23" s="10">
        <f t="shared" si="8"/>
        <v>-154.92098502000002</v>
      </c>
      <c r="H23" s="10">
        <f t="shared" si="8"/>
        <v>-158.24953302660003</v>
      </c>
      <c r="I23" s="10">
        <f t="shared" si="8"/>
        <v>-161.65155584251801</v>
      </c>
      <c r="J23" s="10">
        <f t="shared" si="8"/>
        <v>-165.12873007941596</v>
      </c>
      <c r="K23" s="10">
        <f t="shared" si="8"/>
        <v>-168.6827720946533</v>
      </c>
      <c r="L23" s="10">
        <f t="shared" si="8"/>
        <v>-172.31543897260485</v>
      </c>
      <c r="M23" s="10">
        <f t="shared" si="8"/>
        <v>-176.02852953119719</v>
      </c>
      <c r="N23" s="10">
        <f t="shared" si="8"/>
        <v>-179.82388535433557</v>
      </c>
      <c r="O23" s="10">
        <f t="shared" si="8"/>
        <v>-183.70339185091217</v>
      </c>
      <c r="P23" s="10">
        <f t="shared" si="8"/>
        <v>-187.66897934110494</v>
      </c>
      <c r="Q23" s="10">
        <f t="shared" si="8"/>
        <v>-191.72262417069686</v>
      </c>
      <c r="R23" s="10">
        <f t="shared" si="8"/>
        <v>-195.8663498541637</v>
      </c>
      <c r="S23" s="10">
        <f t="shared" si="8"/>
        <v>-200.10222824730147</v>
      </c>
      <c r="T23" s="10">
        <f t="shared" si="8"/>
        <v>-204.43238075018363</v>
      </c>
      <c r="U23" s="10">
        <f t="shared" si="8"/>
        <v>-208.85897954126148</v>
      </c>
      <c r="V23" s="10">
        <f t="shared" si="8"/>
        <v>-213.38424884344317</v>
      </c>
      <c r="W23" s="10">
        <f t="shared" si="8"/>
        <v>-218.01046622300916</v>
      </c>
      <c r="X23" s="10">
        <f t="shared" si="8"/>
        <v>-222.7399639222474</v>
      </c>
      <c r="Y23" s="10">
        <f t="shared" si="8"/>
        <v>-227.5751302267137</v>
      </c>
      <c r="Z23" s="10">
        <f t="shared" si="8"/>
        <v>-232.51841086804998</v>
      </c>
      <c r="AA23" s="10">
        <f t="shared" si="8"/>
        <v>-237.57231046331708</v>
      </c>
      <c r="AB23" s="10">
        <f t="shared" si="8"/>
        <v>-242.73939399182666</v>
      </c>
      <c r="AC23" s="10">
        <f t="shared" si="8"/>
        <v>-248.02228831048379</v>
      </c>
      <c r="AD23" s="10">
        <f t="shared" si="8"/>
        <v>-253.42368370867865</v>
      </c>
      <c r="AE23" s="10">
        <f t="shared" si="8"/>
        <v>-258.946335503797</v>
      </c>
      <c r="AF23" s="10">
        <f t="shared" si="8"/>
        <v>-264.59306567844601</v>
      </c>
      <c r="AG23" s="10">
        <f t="shared" si="8"/>
        <v>-270.36676456052516</v>
      </c>
      <c r="AH23" s="10">
        <f t="shared" si="8"/>
        <v>-276.2703925473013</v>
      </c>
      <c r="AI23" s="10">
        <f t="shared" si="8"/>
        <v>-282.30698187467982</v>
      </c>
      <c r="AJ23" s="10">
        <f t="shared" ref="AJ23:BA23" si="9">AJ20+AJ21+AJ22</f>
        <v>-288.47963843289898</v>
      </c>
      <c r="AK23" s="10">
        <f t="shared" si="9"/>
        <v>-294.79154362990425</v>
      </c>
      <c r="AL23" s="10">
        <f t="shared" si="9"/>
        <v>-301.24595630370004</v>
      </c>
      <c r="AM23" s="10">
        <f t="shared" si="9"/>
        <v>-307.84621468500768</v>
      </c>
      <c r="AN23" s="10">
        <f t="shared" si="9"/>
        <v>-314.59573841159846</v>
      </c>
      <c r="AO23" s="10">
        <f t="shared" si="9"/>
        <v>-321.4980305957078</v>
      </c>
      <c r="AP23" s="10">
        <f t="shared" si="9"/>
        <v>-328.5566799459757</v>
      </c>
      <c r="AQ23" s="10">
        <f t="shared" si="9"/>
        <v>-335.77536294539948</v>
      </c>
      <c r="AR23" s="10">
        <f t="shared" si="9"/>
        <v>-343.15784608682691</v>
      </c>
      <c r="AS23" s="10">
        <f t="shared" si="9"/>
        <v>-350.70798816755843</v>
      </c>
      <c r="AT23" s="10">
        <f t="shared" si="9"/>
        <v>-358.42974264467449</v>
      </c>
      <c r="AU23" s="10">
        <f t="shared" si="9"/>
        <v>-366.3271600527458</v>
      </c>
      <c r="AV23" s="10">
        <f t="shared" si="9"/>
        <v>-374.40439048563383</v>
      </c>
      <c r="AW23" s="10">
        <f t="shared" si="9"/>
        <v>-382.66568614413461</v>
      </c>
      <c r="AX23" s="10">
        <f t="shared" si="9"/>
        <v>-391.11540395126917</v>
      </c>
      <c r="AY23" s="10">
        <f t="shared" si="9"/>
        <v>-399.7580082370738</v>
      </c>
      <c r="AZ23" s="10">
        <f t="shared" si="9"/>
        <v>-408.59807349479803</v>
      </c>
      <c r="BA23" s="283">
        <f t="shared" si="9"/>
        <v>-417.64028721046617</v>
      </c>
    </row>
    <row r="24" spans="1:53">
      <c r="A24"/>
      <c r="B24" s="479" t="s">
        <v>31</v>
      </c>
      <c r="C24" s="480"/>
      <c r="D24" s="10">
        <f>-'Wert, AfA, Darlehen'!D110/12</f>
        <v>-347.5</v>
      </c>
      <c r="E24" s="10">
        <f>-'Wert, AfA, Darlehen'!E110/12</f>
        <v>-337.07499999999999</v>
      </c>
      <c r="F24" s="10">
        <f>-'Wert, AfA, Darlehen'!F110/12</f>
        <v>-326.25906249999997</v>
      </c>
      <c r="G24" s="10">
        <f>-'Wert, AfA, Darlehen'!G110/12</f>
        <v>-315.03752734374996</v>
      </c>
      <c r="H24" s="10">
        <f>-'Wert, AfA, Darlehen'!H110/12</f>
        <v>-303.39518461914059</v>
      </c>
      <c r="I24" s="10">
        <f>-'Wert, AfA, Darlehen'!I110/12</f>
        <v>-291.31625404235831</v>
      </c>
      <c r="J24" s="10">
        <f>-'Wert, AfA, Darlehen'!J110/12</f>
        <v>-278.78436356894673</v>
      </c>
      <c r="K24" s="10">
        <f>-'Wert, AfA, Darlehen'!K110/12</f>
        <v>-265.78252720278226</v>
      </c>
      <c r="L24" s="10">
        <f>-'Wert, AfA, Darlehen'!L110/12</f>
        <v>-252.29312197288664</v>
      </c>
      <c r="M24" s="10">
        <f>-'Wert, AfA, Darlehen'!M110/12</f>
        <v>-238.29786404686988</v>
      </c>
      <c r="N24" s="10">
        <f>-'Wert, AfA, Darlehen'!N110/12</f>
        <v>-223.7777839486275</v>
      </c>
      <c r="O24" s="10">
        <f>-'Wert, AfA, Darlehen'!O110/12</f>
        <v>-208.71320084670103</v>
      </c>
      <c r="P24" s="10">
        <f>-'Wert, AfA, Darlehen'!P110/12</f>
        <v>-193.08369587845229</v>
      </c>
      <c r="Q24" s="10">
        <f>-'Wert, AfA, Darlehen'!Q110/12</f>
        <v>-176.86808447389424</v>
      </c>
      <c r="R24" s="10">
        <f>-'Wert, AfA, Darlehen'!R110/12</f>
        <v>-160.04438764166528</v>
      </c>
      <c r="S24" s="10">
        <f>-'Wert, AfA, Darlehen'!S110/12</f>
        <v>-142.58980217822776</v>
      </c>
      <c r="T24" s="10">
        <f>-'Wert, AfA, Darlehen'!T110/12</f>
        <v>-124.48066975991128</v>
      </c>
      <c r="U24" s="10">
        <f>-'Wert, AfA, Darlehen'!U110/12</f>
        <v>-105.69244487590794</v>
      </c>
      <c r="V24" s="10">
        <f>-'Wert, AfA, Darlehen'!V110/12</f>
        <v>-86.199661558754485</v>
      </c>
      <c r="W24" s="10">
        <f>-'Wert, AfA, Darlehen'!W110/12</f>
        <v>-65.975898867207789</v>
      </c>
      <c r="X24" s="10">
        <f>-'Wert, AfA, Darlehen'!X110/12</f>
        <v>-44.993745074728075</v>
      </c>
      <c r="Y24" s="10">
        <f>-'Wert, AfA, Darlehen'!Y110/12</f>
        <v>-23.224760515030379</v>
      </c>
      <c r="Z24" s="10">
        <f>-'Wert, AfA, Darlehen'!Z110/12</f>
        <v>-0.63943903434401927</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-278</v>
      </c>
      <c r="E25" s="10">
        <f>-'Wert, AfA, Darlehen'!E114/12</f>
        <v>-288.42500000000001</v>
      </c>
      <c r="F25" s="10">
        <f>-'Wert, AfA, Darlehen'!F114/12</f>
        <v>-299.24093750000003</v>
      </c>
      <c r="G25" s="10">
        <f>-'Wert, AfA, Darlehen'!G114/12</f>
        <v>-310.46247265625004</v>
      </c>
      <c r="H25" s="10">
        <f>-'Wert, AfA, Darlehen'!H114/12</f>
        <v>-322.10481538085941</v>
      </c>
      <c r="I25" s="10">
        <f>-'Wert, AfA, Darlehen'!I114/12</f>
        <v>-334.18374595764169</v>
      </c>
      <c r="J25" s="10">
        <f>-'Wert, AfA, Darlehen'!J114/12</f>
        <v>-346.71563643105327</v>
      </c>
      <c r="K25" s="10">
        <f>-'Wert, AfA, Darlehen'!K114/12</f>
        <v>-359.71747279721768</v>
      </c>
      <c r="L25" s="10">
        <f>-'Wert, AfA, Darlehen'!L114/12</f>
        <v>-373.20687802711336</v>
      </c>
      <c r="M25" s="10">
        <f>-'Wert, AfA, Darlehen'!M114/12</f>
        <v>-387.20213595313015</v>
      </c>
      <c r="N25" s="10">
        <f>-'Wert, AfA, Darlehen'!N114/12</f>
        <v>-401.72221605137247</v>
      </c>
      <c r="O25" s="10">
        <f>-'Wert, AfA, Darlehen'!O114/12</f>
        <v>-416.78679915329894</v>
      </c>
      <c r="P25" s="10">
        <f>-'Wert, AfA, Darlehen'!P114/12</f>
        <v>-432.41630412154774</v>
      </c>
      <c r="Q25" s="10">
        <f>-'Wert, AfA, Darlehen'!Q114/12</f>
        <v>-448.63191552610579</v>
      </c>
      <c r="R25" s="10">
        <f>-'Wert, AfA, Darlehen'!R114/12</f>
        <v>-465.45561235833475</v>
      </c>
      <c r="S25" s="10">
        <f>-'Wert, AfA, Darlehen'!S114/12</f>
        <v>-482.91019782177227</v>
      </c>
      <c r="T25" s="10">
        <f>-'Wert, AfA, Darlehen'!T114/12</f>
        <v>-501.01933024008872</v>
      </c>
      <c r="U25" s="10">
        <f>-'Wert, AfA, Darlehen'!U114/12</f>
        <v>-519.80755512409212</v>
      </c>
      <c r="V25" s="10">
        <f>-'Wert, AfA, Darlehen'!V114/12</f>
        <v>-539.30033844124557</v>
      </c>
      <c r="W25" s="10">
        <f>-'Wert, AfA, Darlehen'!W114/12</f>
        <v>-559.52410113279223</v>
      </c>
      <c r="X25" s="10">
        <f>-'Wert, AfA, Darlehen'!X114/12</f>
        <v>-580.50625492527195</v>
      </c>
      <c r="Y25" s="10">
        <f>-'Wert, AfA, Darlehen'!Y114/12</f>
        <v>-602.27523948496957</v>
      </c>
      <c r="Z25" s="10">
        <f>-'Wert, AfA, Darlehen'!Z114/12</f>
        <v>-17.051707582507181</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-8.8600000000000136</v>
      </c>
      <c r="E26" s="136">
        <f t="shared" si="10"/>
        <v>10.282200000000103</v>
      </c>
      <c r="F26" s="136">
        <f t="shared" si="10"/>
        <v>30.011526000000117</v>
      </c>
      <c r="G26" s="136">
        <f t="shared" si="10"/>
        <v>50.345848980000255</v>
      </c>
      <c r="H26" s="136">
        <f t="shared" si="10"/>
        <v>71.303581193400191</v>
      </c>
      <c r="I26" s="136">
        <f t="shared" si="10"/>
        <v>92.903692508082258</v>
      </c>
      <c r="J26" s="136">
        <f t="shared" si="10"/>
        <v>115.16572723978231</v>
      </c>
      <c r="K26" s="136">
        <f t="shared" si="10"/>
        <v>138.10982149256262</v>
      </c>
      <c r="L26" s="136">
        <f t="shared" si="10"/>
        <v>161.75672102163799</v>
      </c>
      <c r="M26" s="136">
        <f t="shared" si="10"/>
        <v>186.12779963427141</v>
      </c>
      <c r="N26" s="136">
        <f t="shared" si="10"/>
        <v>211.24507814492381</v>
      </c>
      <c r="O26" s="136">
        <f t="shared" si="10"/>
        <v>237.13124390132816</v>
      </c>
      <c r="P26" s="136">
        <f t="shared" si="10"/>
        <v>263.80967089866584</v>
      </c>
      <c r="Q26" s="136">
        <f t="shared" si="10"/>
        <v>291.30444049952939</v>
      </c>
      <c r="R26" s="136">
        <f t="shared" si="10"/>
        <v>319.64036277789728</v>
      </c>
      <c r="S26" s="136">
        <f t="shared" si="10"/>
        <v>348.84299850588366</v>
      </c>
      <c r="T26" s="136">
        <f t="shared" si="10"/>
        <v>378.93868180260267</v>
      </c>
      <c r="U26" s="136">
        <f t="shared" si="10"/>
        <v>409.95454346505369</v>
      </c>
      <c r="V26" s="136">
        <f t="shared" si="10"/>
        <v>441.91853500154627</v>
      </c>
      <c r="W26" s="136">
        <f t="shared" si="10"/>
        <v>474.85945338878412</v>
      </c>
      <c r="X26" s="136">
        <f t="shared" si="10"/>
        <v>508.80696657438318</v>
      </c>
      <c r="Y26" s="136">
        <f t="shared" si="10"/>
        <v>543.79163974722894</v>
      </c>
      <c r="Z26" s="136">
        <f t="shared" si="10"/>
        <v>1187.6538157819209</v>
      </c>
      <c r="AA26" s="136">
        <f t="shared" si="10"/>
        <v>1242.4993761990443</v>
      </c>
      <c r="AB26" s="136">
        <f t="shared" si="10"/>
        <v>1280.7883037118904</v>
      </c>
      <c r="AC26" s="136">
        <f t="shared" si="10"/>
        <v>1320.2461779746598</v>
      </c>
      <c r="AD26" s="136">
        <f t="shared" si="10"/>
        <v>1360.9084729683404</v>
      </c>
      <c r="AE26" s="136">
        <f t="shared" si="10"/>
        <v>1402.8117350049206</v>
      </c>
      <c r="AF26" s="136">
        <f t="shared" si="10"/>
        <v>1445.9936150595483</v>
      </c>
      <c r="AG26" s="136">
        <f t="shared" si="10"/>
        <v>1490.4929020759048</v>
      </c>
      <c r="AH26" s="136">
        <f t="shared" si="10"/>
        <v>1536.3495572740433</v>
      </c>
      <c r="AI26" s="136">
        <f t="shared" si="10"/>
        <v>1583.604749490843</v>
      </c>
      <c r="AJ26" s="136">
        <f t="shared" ref="AJ26:BA26" si="11">AJ19+AJ23+AJ24+AJ25</f>
        <v>1632.3008915841183</v>
      </c>
      <c r="AK26" s="136">
        <f t="shared" si="11"/>
        <v>1682.481677932363</v>
      </c>
      <c r="AL26" s="136">
        <f t="shared" si="11"/>
        <v>1734.1921230630694</v>
      </c>
      <c r="AM26" s="136">
        <f t="shared" si="11"/>
        <v>1787.4786014435515</v>
      </c>
      <c r="AN26" s="136">
        <f t="shared" si="11"/>
        <v>1842.3888884692203</v>
      </c>
      <c r="AO26" s="136">
        <f t="shared" si="11"/>
        <v>1898.972202685306</v>
      </c>
      <c r="AP26" s="136">
        <f t="shared" si="11"/>
        <v>1957.279249279115</v>
      </c>
      <c r="AQ26" s="136">
        <f t="shared" si="11"/>
        <v>2017.3622648810028</v>
      </c>
      <c r="AR26" s="136">
        <f t="shared" si="11"/>
        <v>2079.2750637134177</v>
      </c>
      <c r="AS26" s="136">
        <f t="shared" si="11"/>
        <v>2143.0730851285243</v>
      </c>
      <c r="AT26" s="136">
        <f t="shared" si="11"/>
        <v>2208.8134425761586</v>
      </c>
      <c r="AU26" s="136">
        <f t="shared" si="11"/>
        <v>2276.5549740450974</v>
      </c>
      <c r="AV26" s="136">
        <f t="shared" si="11"/>
        <v>2346.3582940219376</v>
      </c>
      <c r="AW26" s="136">
        <f t="shared" si="11"/>
        <v>2418.2858470131923</v>
      </c>
      <c r="AX26" s="136">
        <f t="shared" si="11"/>
        <v>2492.4019626775971</v>
      </c>
      <c r="AY26" s="136">
        <f t="shared" si="11"/>
        <v>2568.7729126170138</v>
      </c>
      <c r="AZ26" s="136">
        <f t="shared" si="11"/>
        <v>2647.4669688757954</v>
      </c>
      <c r="BA26" s="286">
        <f t="shared" si="11"/>
        <v>2728.554464199945</v>
      </c>
    </row>
    <row r="27" spans="1:53">
      <c r="B27" s="479" t="s">
        <v>39</v>
      </c>
      <c r="C27" s="480" t="s">
        <v>39</v>
      </c>
      <c r="D27" s="10">
        <f t="shared" ref="D27:AI27" si="12">-D43</f>
        <v>-84.055099999999996</v>
      </c>
      <c r="E27" s="10">
        <f t="shared" si="12"/>
        <v>-96.409100000000024</v>
      </c>
      <c r="F27" s="10">
        <f t="shared" si="12"/>
        <v>-109.16739500000006</v>
      </c>
      <c r="G27" s="10">
        <f t="shared" si="12"/>
        <v>-122.3433346625001</v>
      </c>
      <c r="H27" s="10">
        <f t="shared" si="12"/>
        <v>-135.95071408034386</v>
      </c>
      <c r="I27" s="10">
        <f t="shared" si="12"/>
        <v>-150.0037888080968</v>
      </c>
      <c r="J27" s="10">
        <f t="shared" si="12"/>
        <v>-164.51729040659663</v>
      </c>
      <c r="K27" s="10">
        <f t="shared" si="12"/>
        <v>-179.50644251839933</v>
      </c>
      <c r="L27" s="10">
        <f t="shared" si="12"/>
        <v>-194.98697749246091</v>
      </c>
      <c r="M27" s="10">
        <f t="shared" si="12"/>
        <v>-210.97515357703634</v>
      </c>
      <c r="N27" s="10">
        <f t="shared" si="12"/>
        <v>-227.48777270044144</v>
      </c>
      <c r="O27" s="10">
        <f t="shared" si="12"/>
        <v>-244.5421988600082</v>
      </c>
      <c r="P27" s="10">
        <f t="shared" si="12"/>
        <v>-262.15637714027577</v>
      </c>
      <c r="Q27" s="10">
        <f t="shared" si="12"/>
        <v>-280.34885338219618</v>
      </c>
      <c r="R27" s="10">
        <f t="shared" si="12"/>
        <v>-299.13879452589487</v>
      </c>
      <c r="S27" s="10">
        <f t="shared" si="12"/>
        <v>-318.54600965031432</v>
      </c>
      <c r="T27" s="10">
        <f t="shared" si="12"/>
        <v>-338.59097173388795</v>
      </c>
      <c r="U27" s="10">
        <f t="shared" si="12"/>
        <v>-359.2948401612357</v>
      </c>
      <c r="V27" s="10">
        <f t="shared" si="12"/>
        <v>-380.67948400174816</v>
      </c>
      <c r="W27" s="10">
        <f t="shared" si="12"/>
        <v>-402.76750608683346</v>
      </c>
      <c r="X27" s="10">
        <f t="shared" si="12"/>
        <v>-425.58226791354031</v>
      </c>
      <c r="Y27" s="10">
        <f t="shared" si="12"/>
        <v>-449.14791540323978</v>
      </c>
      <c r="Z27" s="10">
        <f t="shared" si="12"/>
        <v>-473.48940554505964</v>
      </c>
      <c r="AA27" s="10">
        <f t="shared" si="12"/>
        <v>-489.51540115405425</v>
      </c>
      <c r="AB27" s="10">
        <f t="shared" si="12"/>
        <v>-505.7624381003788</v>
      </c>
      <c r="AC27" s="10">
        <f t="shared" si="12"/>
        <v>-522.50067071332717</v>
      </c>
      <c r="AD27" s="10">
        <f t="shared" si="12"/>
        <v>-539.74491055406281</v>
      </c>
      <c r="AE27" s="10">
        <f t="shared" si="12"/>
        <v>-557.51041504440718</v>
      </c>
      <c r="AF27" s="10">
        <f t="shared" si="12"/>
        <v>-575.81290087293644</v>
      </c>
      <c r="AG27" s="10">
        <f t="shared" si="12"/>
        <v>-594.66855780386538</v>
      </c>
      <c r="AH27" s="10">
        <f t="shared" si="12"/>
        <v>-614.09406290081711</v>
      </c>
      <c r="AI27" s="10">
        <f t="shared" si="12"/>
        <v>-634.10659517793408</v>
      </c>
      <c r="AJ27" s="10">
        <f t="shared" ref="AJ27:BA27" si="13">-AJ43</f>
        <v>-654.72385069116626</v>
      </c>
      <c r="AK27" s="10">
        <f t="shared" si="13"/>
        <v>-675.96405808295344</v>
      </c>
      <c r="AL27" s="10">
        <f t="shared" si="13"/>
        <v>-697.84599459391529</v>
      </c>
      <c r="AM27" s="10">
        <f t="shared" si="13"/>
        <v>-720.3890025555753</v>
      </c>
      <c r="AN27" s="10">
        <f t="shared" si="13"/>
        <v>-743.6130063785622</v>
      </c>
      <c r="AO27" s="10">
        <f t="shared" si="13"/>
        <v>-767.53853005116491</v>
      </c>
      <c r="AP27" s="10">
        <f t="shared" si="13"/>
        <v>-792.18671516357074</v>
      </c>
      <c r="AQ27" s="10">
        <f t="shared" si="13"/>
        <v>-817.57933947356628</v>
      </c>
      <c r="AR27" s="10">
        <f t="shared" si="13"/>
        <v>-843.73883602996307</v>
      </c>
      <c r="AS27" s="10">
        <f t="shared" si="13"/>
        <v>-870.68831287049568</v>
      </c>
      <c r="AT27" s="10">
        <f t="shared" si="13"/>
        <v>-898.45157331143719</v>
      </c>
      <c r="AU27" s="10">
        <f t="shared" si="13"/>
        <v>-927.0531368467033</v>
      </c>
      <c r="AV27" s="10">
        <f t="shared" si="13"/>
        <v>-956.51826067474576</v>
      </c>
      <c r="AW27" s="10">
        <f t="shared" si="13"/>
        <v>-986.87296187208233</v>
      </c>
      <c r="AX27" s="10">
        <f t="shared" si="13"/>
        <v>-1018.1440402328813</v>
      </c>
      <c r="AY27" s="10">
        <f t="shared" si="13"/>
        <v>-1050.3591017945962</v>
      </c>
      <c r="AZ27" s="10">
        <f t="shared" si="13"/>
        <v>-1083.5465830702578</v>
      </c>
      <c r="BA27" s="283">
        <f t="shared" si="13"/>
        <v>-1117.7357760086254</v>
      </c>
    </row>
    <row r="28" spans="1:53" ht="15.75" thickBot="1">
      <c r="B28" s="483" t="s">
        <v>41</v>
      </c>
      <c r="C28" s="484"/>
      <c r="D28" s="287">
        <f t="shared" ref="D28:AI28" si="14">D26+D27</f>
        <v>-92.91510000000001</v>
      </c>
      <c r="E28" s="287">
        <f t="shared" si="14"/>
        <v>-86.126899999999921</v>
      </c>
      <c r="F28" s="287">
        <f t="shared" si="14"/>
        <v>-79.155868999999939</v>
      </c>
      <c r="G28" s="287">
        <f t="shared" si="14"/>
        <v>-71.997485682499843</v>
      </c>
      <c r="H28" s="287">
        <f t="shared" si="14"/>
        <v>-64.647132886943666</v>
      </c>
      <c r="I28" s="287">
        <f t="shared" si="14"/>
        <v>-57.100096300014542</v>
      </c>
      <c r="J28" s="287">
        <f t="shared" si="14"/>
        <v>-49.351563166814316</v>
      </c>
      <c r="K28" s="287">
        <f t="shared" si="14"/>
        <v>-41.396621025836708</v>
      </c>
      <c r="L28" s="287">
        <f t="shared" si="14"/>
        <v>-33.230256470822923</v>
      </c>
      <c r="M28" s="287">
        <f t="shared" si="14"/>
        <v>-24.847353942764926</v>
      </c>
      <c r="N28" s="287">
        <f t="shared" si="14"/>
        <v>-16.24269455551763</v>
      </c>
      <c r="O28" s="287">
        <f t="shared" si="14"/>
        <v>-7.410954958680037</v>
      </c>
      <c r="P28" s="287">
        <f t="shared" si="14"/>
        <v>1.6532937583900775</v>
      </c>
      <c r="Q28" s="287">
        <f t="shared" si="14"/>
        <v>10.955587117333209</v>
      </c>
      <c r="R28" s="287">
        <f t="shared" si="14"/>
        <v>20.501568252002414</v>
      </c>
      <c r="S28" s="287">
        <f t="shared" si="14"/>
        <v>30.296988855569339</v>
      </c>
      <c r="T28" s="287">
        <f t="shared" si="14"/>
        <v>40.347710068714719</v>
      </c>
      <c r="U28" s="287">
        <f t="shared" si="14"/>
        <v>50.659703303817992</v>
      </c>
      <c r="V28" s="287">
        <f t="shared" si="14"/>
        <v>61.23905099979811</v>
      </c>
      <c r="W28" s="287">
        <f t="shared" si="14"/>
        <v>72.091947301950654</v>
      </c>
      <c r="X28" s="287">
        <f t="shared" si="14"/>
        <v>83.224698660842876</v>
      </c>
      <c r="Y28" s="287">
        <f t="shared" si="14"/>
        <v>94.643724343989163</v>
      </c>
      <c r="Z28" s="287">
        <f t="shared" si="14"/>
        <v>714.16441023686127</v>
      </c>
      <c r="AA28" s="287">
        <f t="shared" si="14"/>
        <v>752.98397504499007</v>
      </c>
      <c r="AB28" s="287">
        <f t="shared" si="14"/>
        <v>775.02586561151156</v>
      </c>
      <c r="AC28" s="287">
        <f t="shared" si="14"/>
        <v>797.74550726133259</v>
      </c>
      <c r="AD28" s="287">
        <f t="shared" si="14"/>
        <v>821.16356241427764</v>
      </c>
      <c r="AE28" s="287">
        <f t="shared" si="14"/>
        <v>845.30131996051341</v>
      </c>
      <c r="AF28" s="287">
        <f t="shared" si="14"/>
        <v>870.18071418661191</v>
      </c>
      <c r="AG28" s="287">
        <f t="shared" si="14"/>
        <v>895.82434427203941</v>
      </c>
      <c r="AH28" s="287">
        <f t="shared" si="14"/>
        <v>922.25549437322616</v>
      </c>
      <c r="AI28" s="287">
        <f t="shared" si="14"/>
        <v>949.49815431290892</v>
      </c>
      <c r="AJ28" s="287">
        <f t="shared" ref="AJ28:BA28" si="15">AJ26+AJ27</f>
        <v>977.57704089295203</v>
      </c>
      <c r="AK28" s="287">
        <f t="shared" si="15"/>
        <v>1006.5176198494096</v>
      </c>
      <c r="AL28" s="287">
        <f t="shared" si="15"/>
        <v>1036.3461284691541</v>
      </c>
      <c r="AM28" s="287">
        <f t="shared" si="15"/>
        <v>1067.0895988879761</v>
      </c>
      <c r="AN28" s="287">
        <f t="shared" si="15"/>
        <v>1098.7758820906581</v>
      </c>
      <c r="AO28" s="287">
        <f t="shared" si="15"/>
        <v>1131.4336726341412</v>
      </c>
      <c r="AP28" s="287">
        <f t="shared" si="15"/>
        <v>1165.0925341155444</v>
      </c>
      <c r="AQ28" s="287">
        <f t="shared" si="15"/>
        <v>1199.7829254074366</v>
      </c>
      <c r="AR28" s="287">
        <f t="shared" si="15"/>
        <v>1235.5362276834546</v>
      </c>
      <c r="AS28" s="287">
        <f t="shared" si="15"/>
        <v>1272.3847722580285</v>
      </c>
      <c r="AT28" s="287">
        <f t="shared" si="15"/>
        <v>1310.3618692647215</v>
      </c>
      <c r="AU28" s="287">
        <f t="shared" si="15"/>
        <v>1349.5018371983942</v>
      </c>
      <c r="AV28" s="287">
        <f t="shared" si="15"/>
        <v>1389.8400333471918</v>
      </c>
      <c r="AW28" s="287">
        <f t="shared" si="15"/>
        <v>1431.4128851411101</v>
      </c>
      <c r="AX28" s="287">
        <f t="shared" si="15"/>
        <v>1474.2579224447159</v>
      </c>
      <c r="AY28" s="287">
        <f t="shared" si="15"/>
        <v>1518.4138108224176</v>
      </c>
      <c r="AZ28" s="287">
        <f t="shared" si="15"/>
        <v>1563.9203858055375</v>
      </c>
      <c r="BA28" s="288">
        <f t="shared" si="15"/>
        <v>1610.8186881913196</v>
      </c>
    </row>
    <row r="29" spans="1:53" ht="15.75" thickBot="1">
      <c r="I29" s="6"/>
      <c r="J29" s="6"/>
      <c r="K29" s="6"/>
      <c r="L29" s="6"/>
    </row>
    <row r="30" spans="1:53" ht="18" thickBot="1">
      <c r="A30"/>
      <c r="B30" s="273" t="s">
        <v>272</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268</v>
      </c>
      <c r="C32" s="488"/>
      <c r="D32" s="281">
        <f>12*D28</f>
        <v>-1114.9812000000002</v>
      </c>
      <c r="E32" s="281">
        <f t="shared" ref="E32:AJ32" si="18">D32+12*E28</f>
        <v>-2148.503999999999</v>
      </c>
      <c r="F32" s="281">
        <f t="shared" si="18"/>
        <v>-3098.3744279999983</v>
      </c>
      <c r="G32" s="281">
        <f t="shared" si="18"/>
        <v>-3962.3442561899965</v>
      </c>
      <c r="H32" s="281">
        <f t="shared" si="18"/>
        <v>-4738.1098508333207</v>
      </c>
      <c r="I32" s="281">
        <f t="shared" si="18"/>
        <v>-5423.3110064334951</v>
      </c>
      <c r="J32" s="281">
        <f t="shared" si="18"/>
        <v>-6015.5297644352668</v>
      </c>
      <c r="K32" s="281">
        <f t="shared" si="18"/>
        <v>-6512.2892167453074</v>
      </c>
      <c r="L32" s="281">
        <f t="shared" si="18"/>
        <v>-6911.0522943951828</v>
      </c>
      <c r="M32" s="281">
        <f t="shared" si="18"/>
        <v>-7209.2205417083624</v>
      </c>
      <c r="N32" s="281">
        <f t="shared" si="18"/>
        <v>-7404.1328763745742</v>
      </c>
      <c r="O32" s="281">
        <f t="shared" si="18"/>
        <v>-7493.0643358787347</v>
      </c>
      <c r="P32" s="281">
        <f t="shared" si="18"/>
        <v>-7473.2248107780542</v>
      </c>
      <c r="Q32" s="281">
        <f t="shared" si="18"/>
        <v>-7341.7577653700555</v>
      </c>
      <c r="R32" s="281">
        <f t="shared" si="18"/>
        <v>-7095.7389463460268</v>
      </c>
      <c r="S32" s="281">
        <f t="shared" si="18"/>
        <v>-6732.1750800791942</v>
      </c>
      <c r="T32" s="281">
        <f t="shared" si="18"/>
        <v>-6248.0025592546172</v>
      </c>
      <c r="U32" s="281">
        <f t="shared" si="18"/>
        <v>-5640.0861196088008</v>
      </c>
      <c r="V32" s="281">
        <f t="shared" si="18"/>
        <v>-4905.2175076112235</v>
      </c>
      <c r="W32" s="281">
        <f t="shared" si="18"/>
        <v>-4040.1141399878156</v>
      </c>
      <c r="X32" s="281">
        <f t="shared" si="18"/>
        <v>-3041.4177560577009</v>
      </c>
      <c r="Y32" s="281">
        <f t="shared" si="18"/>
        <v>-1905.6930639298309</v>
      </c>
      <c r="Z32" s="281">
        <f t="shared" si="18"/>
        <v>6664.2798589125041</v>
      </c>
      <c r="AA32" s="281">
        <f t="shared" si="18"/>
        <v>15700.087559452386</v>
      </c>
      <c r="AB32" s="281">
        <f t="shared" si="18"/>
        <v>25000.397946790523</v>
      </c>
      <c r="AC32" s="281">
        <f t="shared" si="18"/>
        <v>34573.344033926514</v>
      </c>
      <c r="AD32" s="281">
        <f t="shared" si="18"/>
        <v>44427.306782897846</v>
      </c>
      <c r="AE32" s="281">
        <f t="shared" si="18"/>
        <v>54570.922622424005</v>
      </c>
      <c r="AF32" s="281">
        <f t="shared" si="18"/>
        <v>65013.091192663349</v>
      </c>
      <c r="AG32" s="281">
        <f t="shared" si="18"/>
        <v>75762.983323927823</v>
      </c>
      <c r="AH32" s="281">
        <f t="shared" si="18"/>
        <v>86830.049256406535</v>
      </c>
      <c r="AI32" s="281">
        <f t="shared" si="18"/>
        <v>98224.027108161448</v>
      </c>
      <c r="AJ32" s="281">
        <f t="shared" si="18"/>
        <v>109954.95159887687</v>
      </c>
      <c r="AK32" s="281">
        <f t="shared" ref="AK32:BA32" si="19">AJ32+12*AK28</f>
        <v>122033.16303706978</v>
      </c>
      <c r="AL32" s="281">
        <f t="shared" si="19"/>
        <v>134469.31657869963</v>
      </c>
      <c r="AM32" s="281">
        <f t="shared" si="19"/>
        <v>147274.39176535534</v>
      </c>
      <c r="AN32" s="281">
        <f t="shared" si="19"/>
        <v>160459.70235044323</v>
      </c>
      <c r="AO32" s="281">
        <f t="shared" si="19"/>
        <v>174036.90642205291</v>
      </c>
      <c r="AP32" s="281">
        <f t="shared" si="19"/>
        <v>188018.01683143945</v>
      </c>
      <c r="AQ32" s="281">
        <f t="shared" si="19"/>
        <v>202415.41193632869</v>
      </c>
      <c r="AR32" s="281">
        <f t="shared" si="19"/>
        <v>217241.84666853014</v>
      </c>
      <c r="AS32" s="281">
        <f t="shared" si="19"/>
        <v>232510.4639356265</v>
      </c>
      <c r="AT32" s="281">
        <f t="shared" si="19"/>
        <v>248234.80636680315</v>
      </c>
      <c r="AU32" s="281">
        <f t="shared" si="19"/>
        <v>264428.82841318386</v>
      </c>
      <c r="AV32" s="281">
        <f t="shared" si="19"/>
        <v>281106.90881335014</v>
      </c>
      <c r="AW32" s="281">
        <f t="shared" si="19"/>
        <v>298283.86343504349</v>
      </c>
      <c r="AX32" s="281">
        <f t="shared" si="19"/>
        <v>315974.95850438008</v>
      </c>
      <c r="AY32" s="281">
        <f t="shared" si="19"/>
        <v>334195.92423424911</v>
      </c>
      <c r="AZ32" s="281">
        <f t="shared" si="19"/>
        <v>352962.96886391554</v>
      </c>
      <c r="BA32" s="282">
        <f t="shared" si="19"/>
        <v>372292.79312221135</v>
      </c>
    </row>
    <row r="33" spans="1:53" ht="15.75" thickBot="1">
      <c r="A33"/>
      <c r="B33" s="483" t="s">
        <v>274</v>
      </c>
      <c r="C33" s="484"/>
      <c r="D33" s="284">
        <f>-Cockpit!$N$10+D32</f>
        <v>-43732.381199999996</v>
      </c>
      <c r="E33" s="284">
        <f>-Cockpit!$N$10+E32</f>
        <v>-44765.903999999995</v>
      </c>
      <c r="F33" s="284">
        <f>-Cockpit!$N$10+F32</f>
        <v>-45715.77442799999</v>
      </c>
      <c r="G33" s="284">
        <f>-Cockpit!$N$10+G32</f>
        <v>-46579.744256189988</v>
      </c>
      <c r="H33" s="284">
        <f>-Cockpit!$N$10+H32</f>
        <v>-47355.509850833318</v>
      </c>
      <c r="I33" s="284">
        <f>-Cockpit!$N$10+I32</f>
        <v>-48040.711006433492</v>
      </c>
      <c r="J33" s="284">
        <f>-Cockpit!$N$10+J32</f>
        <v>-48632.929764435263</v>
      </c>
      <c r="K33" s="284">
        <f>-Cockpit!$N$10+K32</f>
        <v>-49129.689216745304</v>
      </c>
      <c r="L33" s="284">
        <f>-Cockpit!$N$10+L32</f>
        <v>-49528.452294395174</v>
      </c>
      <c r="M33" s="284">
        <f>-Cockpit!$N$10+M32</f>
        <v>-49826.620541708355</v>
      </c>
      <c r="N33" s="284">
        <f>-Cockpit!$N$10+N32</f>
        <v>-50021.532876374571</v>
      </c>
      <c r="O33" s="284">
        <f>-Cockpit!$N$10+O32</f>
        <v>-50110.464335878729</v>
      </c>
      <c r="P33" s="284">
        <f>-Cockpit!$N$10+P32</f>
        <v>-50090.624810778048</v>
      </c>
      <c r="Q33" s="284">
        <f>-Cockpit!$N$10+Q32</f>
        <v>-49959.157765370051</v>
      </c>
      <c r="R33" s="284">
        <f>-Cockpit!$N$10+R32</f>
        <v>-49713.138946346022</v>
      </c>
      <c r="S33" s="284">
        <f>-Cockpit!$N$10+S32</f>
        <v>-49349.575080079187</v>
      </c>
      <c r="T33" s="284">
        <f>-Cockpit!$N$10+T32</f>
        <v>-48865.40255925461</v>
      </c>
      <c r="U33" s="284">
        <f>-Cockpit!$N$10+U32</f>
        <v>-48257.486119608795</v>
      </c>
      <c r="V33" s="284">
        <f>-Cockpit!$N$10+V32</f>
        <v>-47522.617507611219</v>
      </c>
      <c r="W33" s="284">
        <f>-Cockpit!$N$10+W32</f>
        <v>-46657.514139987812</v>
      </c>
      <c r="X33" s="284">
        <f>-Cockpit!$N$10+X32</f>
        <v>-45658.817756057695</v>
      </c>
      <c r="Y33" s="284">
        <f>-Cockpit!$N$10+Y32</f>
        <v>-44523.093063929824</v>
      </c>
      <c r="Z33" s="284">
        <f>-Cockpit!$N$10+Z32</f>
        <v>-35953.120141087493</v>
      </c>
      <c r="AA33" s="284">
        <f>-Cockpit!$N$10+AA32</f>
        <v>-26917.312440547608</v>
      </c>
      <c r="AB33" s="284">
        <f>-Cockpit!$N$10+AB32</f>
        <v>-17617.002053209471</v>
      </c>
      <c r="AC33" s="284">
        <f>-Cockpit!$N$10+AC32</f>
        <v>-8044.0559660734798</v>
      </c>
      <c r="AD33" s="284">
        <f>-Cockpit!$N$10+AD32</f>
        <v>1809.9067828978514</v>
      </c>
      <c r="AE33" s="284">
        <f>-Cockpit!$N$10+AE32</f>
        <v>11953.52262242401</v>
      </c>
      <c r="AF33" s="284">
        <f>-Cockpit!$N$10+AF32</f>
        <v>22395.691192663355</v>
      </c>
      <c r="AG33" s="284">
        <f>-Cockpit!$N$10+AG32</f>
        <v>33145.583323927829</v>
      </c>
      <c r="AH33" s="284">
        <f>-Cockpit!$N$10+AH32</f>
        <v>44212.649256406541</v>
      </c>
      <c r="AI33" s="284">
        <f>-Cockpit!$N$10+AI32</f>
        <v>55606.627108161454</v>
      </c>
      <c r="AJ33" s="284">
        <f>-Cockpit!$N$10+AJ32</f>
        <v>67337.551598876875</v>
      </c>
      <c r="AK33" s="284">
        <f>-Cockpit!$N$10+AK32</f>
        <v>79415.763037069788</v>
      </c>
      <c r="AL33" s="284">
        <f>-Cockpit!$N$10+AL32</f>
        <v>91851.916578699631</v>
      </c>
      <c r="AM33" s="284">
        <f>-Cockpit!$N$10+AM32</f>
        <v>104656.99176535534</v>
      </c>
      <c r="AN33" s="284">
        <f>-Cockpit!$N$10+AN32</f>
        <v>117842.30235044323</v>
      </c>
      <c r="AO33" s="284">
        <f>-Cockpit!$N$10+AO32</f>
        <v>131419.50642205292</v>
      </c>
      <c r="AP33" s="284">
        <f>-Cockpit!$N$10+AP32</f>
        <v>145400.61683143946</v>
      </c>
      <c r="AQ33" s="284">
        <f>-Cockpit!$N$10+AQ32</f>
        <v>159798.01193632869</v>
      </c>
      <c r="AR33" s="284">
        <f>-Cockpit!$N$10+AR32</f>
        <v>174624.44666853014</v>
      </c>
      <c r="AS33" s="284">
        <f>-Cockpit!$N$10+AS32</f>
        <v>189893.0639356265</v>
      </c>
      <c r="AT33" s="284">
        <f>-Cockpit!$N$10+AT32</f>
        <v>205617.40636680316</v>
      </c>
      <c r="AU33" s="284">
        <f>-Cockpit!$N$10+AU32</f>
        <v>221811.42841318386</v>
      </c>
      <c r="AV33" s="284">
        <f>-Cockpit!$N$10+AV32</f>
        <v>238489.50881335014</v>
      </c>
      <c r="AW33" s="284">
        <f>-Cockpit!$N$10+AW32</f>
        <v>255666.46343504349</v>
      </c>
      <c r="AX33" s="284">
        <f>-Cockpit!$N$10+AX32</f>
        <v>273357.55850438005</v>
      </c>
      <c r="AY33" s="284">
        <f>-Cockpit!$N$10+AY32</f>
        <v>291578.52423424914</v>
      </c>
      <c r="AZ33" s="284">
        <f>-Cockpit!$N$10+AZ32</f>
        <v>310345.56886391551</v>
      </c>
      <c r="BA33" s="285">
        <f>-Cockpit!$N$10+BA32</f>
        <v>329675.39312221133</v>
      </c>
    </row>
    <row r="34" spans="1:53" ht="30.75" customHeight="1" thickBot="1"/>
    <row r="35" spans="1:53" ht="18" thickBot="1">
      <c r="B35" s="273" t="s">
        <v>273</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478</v>
      </c>
      <c r="C37" s="486"/>
      <c r="D37" s="281">
        <f t="shared" ref="D37:AI37" si="22">D14</f>
        <v>762</v>
      </c>
      <c r="E37" s="281">
        <f t="shared" si="22"/>
        <v>784.2600000000001</v>
      </c>
      <c r="F37" s="281">
        <f t="shared" si="22"/>
        <v>807.17580000000009</v>
      </c>
      <c r="G37" s="281">
        <f t="shared" si="22"/>
        <v>830.76683400000024</v>
      </c>
      <c r="H37" s="281">
        <f t="shared" si="22"/>
        <v>855.05311422000023</v>
      </c>
      <c r="I37" s="281">
        <f t="shared" si="22"/>
        <v>880.05524835060032</v>
      </c>
      <c r="J37" s="281">
        <f t="shared" si="22"/>
        <v>905.79445731919827</v>
      </c>
      <c r="K37" s="281">
        <f t="shared" si="22"/>
        <v>932.29259358721583</v>
      </c>
      <c r="L37" s="281">
        <f t="shared" si="22"/>
        <v>959.57215999424284</v>
      </c>
      <c r="M37" s="281">
        <f t="shared" si="22"/>
        <v>987.65632916546872</v>
      </c>
      <c r="N37" s="281">
        <f t="shared" si="22"/>
        <v>1016.5689634992593</v>
      </c>
      <c r="O37" s="281">
        <f t="shared" si="22"/>
        <v>1046.3346357522403</v>
      </c>
      <c r="P37" s="281">
        <f t="shared" si="22"/>
        <v>1076.9786502397708</v>
      </c>
      <c r="Q37" s="281">
        <f t="shared" si="22"/>
        <v>1108.5270646702263</v>
      </c>
      <c r="R37" s="281">
        <f t="shared" si="22"/>
        <v>1141.006712632061</v>
      </c>
      <c r="S37" s="281">
        <f t="shared" si="22"/>
        <v>1174.4452267531851</v>
      </c>
      <c r="T37" s="281">
        <f t="shared" si="22"/>
        <v>1208.8710625527863</v>
      </c>
      <c r="U37" s="281">
        <f t="shared" si="22"/>
        <v>1244.3135230063153</v>
      </c>
      <c r="V37" s="281">
        <f t="shared" si="22"/>
        <v>1280.8027838449896</v>
      </c>
      <c r="W37" s="281">
        <f t="shared" si="22"/>
        <v>1318.3699196117934</v>
      </c>
      <c r="X37" s="281">
        <f t="shared" si="22"/>
        <v>1357.0469304966307</v>
      </c>
      <c r="Y37" s="281">
        <f t="shared" si="22"/>
        <v>1396.8667699739426</v>
      </c>
      <c r="Z37" s="281">
        <f t="shared" si="22"/>
        <v>1437.863373266822</v>
      </c>
      <c r="AA37" s="281">
        <f t="shared" si="22"/>
        <v>1480.0716866623613</v>
      </c>
      <c r="AB37" s="281">
        <f t="shared" si="22"/>
        <v>1523.5276977037172</v>
      </c>
      <c r="AC37" s="281">
        <f t="shared" si="22"/>
        <v>1568.2684662851436</v>
      </c>
      <c r="AD37" s="281">
        <f t="shared" si="22"/>
        <v>1614.3321566770192</v>
      </c>
      <c r="AE37" s="281">
        <f t="shared" si="22"/>
        <v>1661.7580705087175</v>
      </c>
      <c r="AF37" s="281">
        <f t="shared" si="22"/>
        <v>1710.5866807379944</v>
      </c>
      <c r="AG37" s="281">
        <f t="shared" si="22"/>
        <v>1760.8596666364299</v>
      </c>
      <c r="AH37" s="281">
        <f t="shared" si="22"/>
        <v>1812.6199498213446</v>
      </c>
      <c r="AI37" s="281">
        <f t="shared" si="22"/>
        <v>1865.9117313655229</v>
      </c>
      <c r="AJ37" s="281">
        <f t="shared" ref="AJ37:BA37" si="23">AJ14</f>
        <v>1920.7805300170173</v>
      </c>
      <c r="AK37" s="281">
        <f t="shared" si="23"/>
        <v>1977.2732215622673</v>
      </c>
      <c r="AL37" s="281">
        <f t="shared" si="23"/>
        <v>2035.4380793667694</v>
      </c>
      <c r="AM37" s="281">
        <f t="shared" si="23"/>
        <v>2095.3248161285592</v>
      </c>
      <c r="AN37" s="281">
        <f t="shared" si="23"/>
        <v>2156.9846268808187</v>
      </c>
      <c r="AO37" s="281">
        <f t="shared" si="23"/>
        <v>2220.4702332810139</v>
      </c>
      <c r="AP37" s="281">
        <f t="shared" si="23"/>
        <v>2285.8359292250907</v>
      </c>
      <c r="AQ37" s="281">
        <f t="shared" si="23"/>
        <v>2353.1376278264024</v>
      </c>
      <c r="AR37" s="281">
        <f t="shared" si="23"/>
        <v>2422.4329098002445</v>
      </c>
      <c r="AS37" s="281">
        <f t="shared" si="23"/>
        <v>2493.7810732960829</v>
      </c>
      <c r="AT37" s="281">
        <f t="shared" si="23"/>
        <v>2567.2431852208333</v>
      </c>
      <c r="AU37" s="281">
        <f t="shared" si="23"/>
        <v>2642.8821340978434</v>
      </c>
      <c r="AV37" s="281">
        <f t="shared" si="23"/>
        <v>2720.7626845075715</v>
      </c>
      <c r="AW37" s="281">
        <f t="shared" si="23"/>
        <v>2800.951533157327</v>
      </c>
      <c r="AX37" s="281">
        <f t="shared" si="23"/>
        <v>2883.5173666288665</v>
      </c>
      <c r="AY37" s="281">
        <f t="shared" si="23"/>
        <v>2968.5309208540875</v>
      </c>
      <c r="AZ37" s="281">
        <f t="shared" si="23"/>
        <v>3056.0650423705933</v>
      </c>
      <c r="BA37" s="282">
        <f t="shared" si="23"/>
        <v>3146.1947514104113</v>
      </c>
    </row>
    <row r="38" spans="1:53">
      <c r="B38" s="479" t="s">
        <v>254</v>
      </c>
      <c r="C38" s="480"/>
      <c r="D38" s="10">
        <f t="shared" ref="D38:AI38" si="24">D23-D21-D22</f>
        <v>-90.000000000000014</v>
      </c>
      <c r="E38" s="10">
        <f t="shared" si="24"/>
        <v>-91.800000000000026</v>
      </c>
      <c r="F38" s="10">
        <f t="shared" si="24"/>
        <v>-93.635999999999996</v>
      </c>
      <c r="G38" s="10">
        <f t="shared" si="24"/>
        <v>-95.508720000000011</v>
      </c>
      <c r="H38" s="10">
        <f t="shared" si="24"/>
        <v>-97.418894400000028</v>
      </c>
      <c r="I38" s="10">
        <f t="shared" si="24"/>
        <v>-99.367272288000009</v>
      </c>
      <c r="J38" s="10">
        <f t="shared" si="24"/>
        <v>-101.35461773375999</v>
      </c>
      <c r="K38" s="10">
        <f t="shared" si="24"/>
        <v>-103.38171008843523</v>
      </c>
      <c r="L38" s="10">
        <f t="shared" si="24"/>
        <v>-105.44934429020392</v>
      </c>
      <c r="M38" s="10">
        <f t="shared" si="24"/>
        <v>-107.55833117600802</v>
      </c>
      <c r="N38" s="10">
        <f t="shared" si="24"/>
        <v>-109.70949779952819</v>
      </c>
      <c r="O38" s="10">
        <f t="shared" si="24"/>
        <v>-111.90368775551876</v>
      </c>
      <c r="P38" s="10">
        <f t="shared" si="24"/>
        <v>-114.14176151062911</v>
      </c>
      <c r="Q38" s="10">
        <f t="shared" si="24"/>
        <v>-116.42459674084171</v>
      </c>
      <c r="R38" s="10">
        <f t="shared" si="24"/>
        <v>-118.75308867565852</v>
      </c>
      <c r="S38" s="10">
        <f t="shared" si="24"/>
        <v>-121.1281504491717</v>
      </c>
      <c r="T38" s="10">
        <f t="shared" si="24"/>
        <v>-123.55071345815514</v>
      </c>
      <c r="U38" s="10">
        <f t="shared" si="24"/>
        <v>-126.02172772731824</v>
      </c>
      <c r="V38" s="10">
        <f t="shared" si="24"/>
        <v>-128.54216228186462</v>
      </c>
      <c r="W38" s="10">
        <f t="shared" si="24"/>
        <v>-131.11300552750191</v>
      </c>
      <c r="X38" s="10">
        <f t="shared" si="24"/>
        <v>-133.73526563805194</v>
      </c>
      <c r="Y38" s="10">
        <f t="shared" si="24"/>
        <v>-136.40997095081298</v>
      </c>
      <c r="Z38" s="10">
        <f t="shared" si="24"/>
        <v>-139.13817036982923</v>
      </c>
      <c r="AA38" s="10">
        <f t="shared" si="24"/>
        <v>-141.92093377722586</v>
      </c>
      <c r="AB38" s="10">
        <f t="shared" si="24"/>
        <v>-144.75935245277032</v>
      </c>
      <c r="AC38" s="10">
        <f t="shared" si="24"/>
        <v>-147.65453950182578</v>
      </c>
      <c r="AD38" s="10">
        <f t="shared" si="24"/>
        <v>-150.60763029186228</v>
      </c>
      <c r="AE38" s="10">
        <f t="shared" si="24"/>
        <v>-153.61978289769957</v>
      </c>
      <c r="AF38" s="10">
        <f t="shared" si="24"/>
        <v>-156.69217855565353</v>
      </c>
      <c r="AG38" s="10">
        <f t="shared" si="24"/>
        <v>-159.82602212676656</v>
      </c>
      <c r="AH38" s="10">
        <f t="shared" si="24"/>
        <v>-163.02254256930198</v>
      </c>
      <c r="AI38" s="10">
        <f t="shared" si="24"/>
        <v>-166.28299342068794</v>
      </c>
      <c r="AJ38" s="10">
        <f t="shared" ref="AJ38:BA38" si="25">AJ23-AJ21-AJ22</f>
        <v>-169.60865328910177</v>
      </c>
      <c r="AK38" s="10">
        <f t="shared" si="25"/>
        <v>-173.0008263548838</v>
      </c>
      <c r="AL38" s="10">
        <f t="shared" si="25"/>
        <v>-176.46084288198148</v>
      </c>
      <c r="AM38" s="10">
        <f t="shared" si="25"/>
        <v>-179.99005973962107</v>
      </c>
      <c r="AN38" s="10">
        <f t="shared" si="25"/>
        <v>-183.58986093441348</v>
      </c>
      <c r="AO38" s="10">
        <f t="shared" si="25"/>
        <v>-187.26165815310179</v>
      </c>
      <c r="AP38" s="10">
        <f t="shared" si="25"/>
        <v>-191.00689131616386</v>
      </c>
      <c r="AQ38" s="10">
        <f t="shared" si="25"/>
        <v>-194.82702914248711</v>
      </c>
      <c r="AR38" s="10">
        <f t="shared" si="25"/>
        <v>-198.72356972533686</v>
      </c>
      <c r="AS38" s="10">
        <f t="shared" si="25"/>
        <v>-202.69804111984359</v>
      </c>
      <c r="AT38" s="10">
        <f t="shared" si="25"/>
        <v>-206.75200194224044</v>
      </c>
      <c r="AU38" s="10">
        <f t="shared" si="25"/>
        <v>-210.8870419810853</v>
      </c>
      <c r="AV38" s="10">
        <f t="shared" si="25"/>
        <v>-215.10478282070699</v>
      </c>
      <c r="AW38" s="10">
        <f t="shared" si="25"/>
        <v>-219.4068784771211</v>
      </c>
      <c r="AX38" s="10">
        <f t="shared" si="25"/>
        <v>-223.79501604666362</v>
      </c>
      <c r="AY38" s="10">
        <f t="shared" si="25"/>
        <v>-228.27091636759681</v>
      </c>
      <c r="AZ38" s="10">
        <f t="shared" si="25"/>
        <v>-232.83633469494879</v>
      </c>
      <c r="BA38" s="283">
        <f t="shared" si="25"/>
        <v>-237.49306138884776</v>
      </c>
    </row>
    <row r="39" spans="1:53">
      <c r="B39" s="479" t="s">
        <v>31</v>
      </c>
      <c r="C39" s="480"/>
      <c r="D39" s="10">
        <f>-'Wert, AfA, Darlehen'!D110/12</f>
        <v>-347.5</v>
      </c>
      <c r="E39" s="10">
        <f>-'Wert, AfA, Darlehen'!E110/12</f>
        <v>-337.07499999999999</v>
      </c>
      <c r="F39" s="10">
        <f>-'Wert, AfA, Darlehen'!F110/12</f>
        <v>-326.25906249999997</v>
      </c>
      <c r="G39" s="10">
        <f>-'Wert, AfA, Darlehen'!G110/12</f>
        <v>-315.03752734374996</v>
      </c>
      <c r="H39" s="10">
        <f>-'Wert, AfA, Darlehen'!H110/12</f>
        <v>-303.39518461914059</v>
      </c>
      <c r="I39" s="10">
        <f>-'Wert, AfA, Darlehen'!I110/12</f>
        <v>-291.31625404235831</v>
      </c>
      <c r="J39" s="10">
        <f>-'Wert, AfA, Darlehen'!J110/12</f>
        <v>-278.78436356894673</v>
      </c>
      <c r="K39" s="10">
        <f>-'Wert, AfA, Darlehen'!K110/12</f>
        <v>-265.78252720278226</v>
      </c>
      <c r="L39" s="10">
        <f>-'Wert, AfA, Darlehen'!L110/12</f>
        <v>-252.29312197288664</v>
      </c>
      <c r="M39" s="10">
        <f>-'Wert, AfA, Darlehen'!M110/12</f>
        <v>-238.29786404686988</v>
      </c>
      <c r="N39" s="10">
        <f>-'Wert, AfA, Darlehen'!N110/12</f>
        <v>-223.7777839486275</v>
      </c>
      <c r="O39" s="10">
        <f>-'Wert, AfA, Darlehen'!O110/12</f>
        <v>-208.71320084670103</v>
      </c>
      <c r="P39" s="10">
        <f>-'Wert, AfA, Darlehen'!P110/12</f>
        <v>-193.08369587845229</v>
      </c>
      <c r="Q39" s="10">
        <f>-'Wert, AfA, Darlehen'!Q110/12</f>
        <v>-176.86808447389424</v>
      </c>
      <c r="R39" s="10">
        <f>-'Wert, AfA, Darlehen'!R110/12</f>
        <v>-160.04438764166528</v>
      </c>
      <c r="S39" s="10">
        <f>-'Wert, AfA, Darlehen'!S110/12</f>
        <v>-142.58980217822776</v>
      </c>
      <c r="T39" s="10">
        <f>-'Wert, AfA, Darlehen'!T110/12</f>
        <v>-124.48066975991128</v>
      </c>
      <c r="U39" s="10">
        <f>-'Wert, AfA, Darlehen'!U110/12</f>
        <v>-105.69244487590794</v>
      </c>
      <c r="V39" s="10">
        <f>-'Wert, AfA, Darlehen'!V110/12</f>
        <v>-86.199661558754485</v>
      </c>
      <c r="W39" s="10">
        <f>-'Wert, AfA, Darlehen'!W110/12</f>
        <v>-65.975898867207789</v>
      </c>
      <c r="X39" s="10">
        <f>-'Wert, AfA, Darlehen'!X110/12</f>
        <v>-44.993745074728075</v>
      </c>
      <c r="Y39" s="10">
        <f>-'Wert, AfA, Darlehen'!Y110/12</f>
        <v>-23.224760515030379</v>
      </c>
      <c r="Z39" s="10">
        <f>-'Wert, AfA, Darlehen'!Z110/12</f>
        <v>-0.63943903434401927</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-114.36225</v>
      </c>
      <c r="E40" s="10">
        <f>-'Wert, AfA, Darlehen'!E19-'Wert, AfA, Darlehen'!E24-'Wert, AfA, Darlehen'!E34</f>
        <v>-114.36225</v>
      </c>
      <c r="F40" s="10">
        <f>-'Wert, AfA, Darlehen'!F19-'Wert, AfA, Darlehen'!F24-'Wert, AfA, Darlehen'!F34</f>
        <v>-114.36225</v>
      </c>
      <c r="G40" s="10">
        <f>-'Wert, AfA, Darlehen'!G19-'Wert, AfA, Darlehen'!G24-'Wert, AfA, Darlehen'!G34</f>
        <v>-114.36225</v>
      </c>
      <c r="H40" s="10">
        <f>-'Wert, AfA, Darlehen'!H19-'Wert, AfA, Darlehen'!H24-'Wert, AfA, Darlehen'!H34</f>
        <v>-114.36225</v>
      </c>
      <c r="I40" s="10">
        <f>-'Wert, AfA, Darlehen'!I19-'Wert, AfA, Darlehen'!I24-'Wert, AfA, Darlehen'!I34</f>
        <v>-114.36225</v>
      </c>
      <c r="J40" s="10">
        <f>-'Wert, AfA, Darlehen'!J19-'Wert, AfA, Darlehen'!J24-'Wert, AfA, Darlehen'!J34</f>
        <v>-114.36225</v>
      </c>
      <c r="K40" s="10">
        <f>-'Wert, AfA, Darlehen'!K19-'Wert, AfA, Darlehen'!K24-'Wert, AfA, Darlehen'!K34</f>
        <v>-114.36225</v>
      </c>
      <c r="L40" s="10">
        <f>-'Wert, AfA, Darlehen'!L19-'Wert, AfA, Darlehen'!L24-'Wert, AfA, Darlehen'!L34</f>
        <v>-114.36225</v>
      </c>
      <c r="M40" s="10">
        <f>-'Wert, AfA, Darlehen'!M19-'Wert, AfA, Darlehen'!M24-'Wert, AfA, Darlehen'!M34</f>
        <v>-114.36225</v>
      </c>
      <c r="N40" s="10">
        <f>-'Wert, AfA, Darlehen'!N19-'Wert, AfA, Darlehen'!N24-'Wert, AfA, Darlehen'!N34</f>
        <v>-114.36225</v>
      </c>
      <c r="O40" s="10">
        <f>-'Wert, AfA, Darlehen'!O19-'Wert, AfA, Darlehen'!O24-'Wert, AfA, Darlehen'!O34</f>
        <v>-114.36225</v>
      </c>
      <c r="P40" s="10">
        <f>-'Wert, AfA, Darlehen'!P19-'Wert, AfA, Darlehen'!P24-'Wert, AfA, Darlehen'!P34</f>
        <v>-114.36225</v>
      </c>
      <c r="Q40" s="10">
        <f>-'Wert, AfA, Darlehen'!Q19-'Wert, AfA, Darlehen'!Q24-'Wert, AfA, Darlehen'!Q34</f>
        <v>-114.36225</v>
      </c>
      <c r="R40" s="10">
        <f>-'Wert, AfA, Darlehen'!R19-'Wert, AfA, Darlehen'!R24-'Wert, AfA, Darlehen'!R34</f>
        <v>-114.36225</v>
      </c>
      <c r="S40" s="10">
        <f>-'Wert, AfA, Darlehen'!S19-'Wert, AfA, Darlehen'!S24-'Wert, AfA, Darlehen'!S34</f>
        <v>-114.36225</v>
      </c>
      <c r="T40" s="10">
        <f>-'Wert, AfA, Darlehen'!T19-'Wert, AfA, Darlehen'!T24-'Wert, AfA, Darlehen'!T34</f>
        <v>-114.36225</v>
      </c>
      <c r="U40" s="10">
        <f>-'Wert, AfA, Darlehen'!U19-'Wert, AfA, Darlehen'!U24-'Wert, AfA, Darlehen'!U34</f>
        <v>-114.36225</v>
      </c>
      <c r="V40" s="10">
        <f>-'Wert, AfA, Darlehen'!V19-'Wert, AfA, Darlehen'!V24-'Wert, AfA, Darlehen'!V34</f>
        <v>-114.36225</v>
      </c>
      <c r="W40" s="10">
        <f>-'Wert, AfA, Darlehen'!W19-'Wert, AfA, Darlehen'!W24-'Wert, AfA, Darlehen'!W34</f>
        <v>-114.36225</v>
      </c>
      <c r="X40" s="10">
        <f>-'Wert, AfA, Darlehen'!X19-'Wert, AfA, Darlehen'!X24-'Wert, AfA, Darlehen'!X34</f>
        <v>-114.36225</v>
      </c>
      <c r="Y40" s="10">
        <f>-'Wert, AfA, Darlehen'!Y19-'Wert, AfA, Darlehen'!Y24-'Wert, AfA, Darlehen'!Y34</f>
        <v>-114.36225</v>
      </c>
      <c r="Z40" s="10">
        <f>-'Wert, AfA, Darlehen'!Z19-'Wert, AfA, Darlehen'!Z24-'Wert, AfA, Darlehen'!Z34</f>
        <v>-114.36225</v>
      </c>
      <c r="AA40" s="10">
        <f>-'Wert, AfA, Darlehen'!AA19-'Wert, AfA, Darlehen'!AA24-'Wert, AfA, Darlehen'!AA34</f>
        <v>-114.36225</v>
      </c>
      <c r="AB40" s="10">
        <f>-'Wert, AfA, Darlehen'!AB19-'Wert, AfA, Darlehen'!AB24-'Wert, AfA, Darlehen'!AB34</f>
        <v>-114.36225</v>
      </c>
      <c r="AC40" s="10">
        <f>-'Wert, AfA, Darlehen'!AC19-'Wert, AfA, Darlehen'!AC24-'Wert, AfA, Darlehen'!AC34</f>
        <v>-114.36225</v>
      </c>
      <c r="AD40" s="10">
        <f>-'Wert, AfA, Darlehen'!AD19-'Wert, AfA, Darlehen'!AD24-'Wert, AfA, Darlehen'!AD34</f>
        <v>-114.36225</v>
      </c>
      <c r="AE40" s="10">
        <f>-'Wert, AfA, Darlehen'!AE19-'Wert, AfA, Darlehen'!AE24-'Wert, AfA, Darlehen'!AE34</f>
        <v>-114.36225</v>
      </c>
      <c r="AF40" s="10">
        <f>-'Wert, AfA, Darlehen'!AF19-'Wert, AfA, Darlehen'!AF24-'Wert, AfA, Darlehen'!AF34</f>
        <v>-114.36225</v>
      </c>
      <c r="AG40" s="10">
        <f>-'Wert, AfA, Darlehen'!AG19-'Wert, AfA, Darlehen'!AG24-'Wert, AfA, Darlehen'!AG34</f>
        <v>-114.36225</v>
      </c>
      <c r="AH40" s="10">
        <f>-'Wert, AfA, Darlehen'!AH19-'Wert, AfA, Darlehen'!AH24-'Wert, AfA, Darlehen'!AH34</f>
        <v>-114.36225</v>
      </c>
      <c r="AI40" s="10">
        <f>-'Wert, AfA, Darlehen'!AI19-'Wert, AfA, Darlehen'!AI24-'Wert, AfA, Darlehen'!AI34</f>
        <v>-114.36225</v>
      </c>
      <c r="AJ40" s="10">
        <f>-'Wert, AfA, Darlehen'!AJ19-'Wert, AfA, Darlehen'!AJ24-'Wert, AfA, Darlehen'!AJ34</f>
        <v>-114.36225</v>
      </c>
      <c r="AK40" s="10">
        <f>-'Wert, AfA, Darlehen'!AK19-'Wert, AfA, Darlehen'!AK24-'Wert, AfA, Darlehen'!AK34</f>
        <v>-114.36225</v>
      </c>
      <c r="AL40" s="10">
        <f>-'Wert, AfA, Darlehen'!AL19-'Wert, AfA, Darlehen'!AL24-'Wert, AfA, Darlehen'!AL34</f>
        <v>-114.36225</v>
      </c>
      <c r="AM40" s="10">
        <f>-'Wert, AfA, Darlehen'!AM19-'Wert, AfA, Darlehen'!AM24-'Wert, AfA, Darlehen'!AM34</f>
        <v>-114.36225</v>
      </c>
      <c r="AN40" s="10">
        <f>-'Wert, AfA, Darlehen'!AN19-'Wert, AfA, Darlehen'!AN24-'Wert, AfA, Darlehen'!AN34</f>
        <v>-114.36225</v>
      </c>
      <c r="AO40" s="10">
        <f>-'Wert, AfA, Darlehen'!AO19-'Wert, AfA, Darlehen'!AO24-'Wert, AfA, Darlehen'!AO34</f>
        <v>-114.36225</v>
      </c>
      <c r="AP40" s="10">
        <f>-'Wert, AfA, Darlehen'!AP19-'Wert, AfA, Darlehen'!AP24-'Wert, AfA, Darlehen'!AP34</f>
        <v>-114.36225</v>
      </c>
      <c r="AQ40" s="10">
        <f>-'Wert, AfA, Darlehen'!AQ19-'Wert, AfA, Darlehen'!AQ24-'Wert, AfA, Darlehen'!AQ34</f>
        <v>-114.36225</v>
      </c>
      <c r="AR40" s="10">
        <f>-'Wert, AfA, Darlehen'!AR19-'Wert, AfA, Darlehen'!AR24-'Wert, AfA, Darlehen'!AR34</f>
        <v>-114.36225</v>
      </c>
      <c r="AS40" s="10">
        <f>-'Wert, AfA, Darlehen'!AS19-'Wert, AfA, Darlehen'!AS24-'Wert, AfA, Darlehen'!AS34</f>
        <v>-114.36225</v>
      </c>
      <c r="AT40" s="10">
        <f>-'Wert, AfA, Darlehen'!AT19-'Wert, AfA, Darlehen'!AT24-'Wert, AfA, Darlehen'!AT34</f>
        <v>-114.36225</v>
      </c>
      <c r="AU40" s="10">
        <f>-'Wert, AfA, Darlehen'!AU19-'Wert, AfA, Darlehen'!AU24-'Wert, AfA, Darlehen'!AU34</f>
        <v>-114.36225</v>
      </c>
      <c r="AV40" s="10">
        <f>-'Wert, AfA, Darlehen'!AV19-'Wert, AfA, Darlehen'!AV24-'Wert, AfA, Darlehen'!AV34</f>
        <v>-114.36225</v>
      </c>
      <c r="AW40" s="10">
        <f>-'Wert, AfA, Darlehen'!AW19-'Wert, AfA, Darlehen'!AW24-'Wert, AfA, Darlehen'!AW34</f>
        <v>-114.36225</v>
      </c>
      <c r="AX40" s="10">
        <f>-'Wert, AfA, Darlehen'!AX19-'Wert, AfA, Darlehen'!AX24-'Wert, AfA, Darlehen'!AX34</f>
        <v>-114.36225</v>
      </c>
      <c r="AY40" s="10">
        <f>-'Wert, AfA, Darlehen'!AY19-'Wert, AfA, Darlehen'!AY24-'Wert, AfA, Darlehen'!AY34</f>
        <v>-114.36225</v>
      </c>
      <c r="AZ40" s="10">
        <f>-'Wert, AfA, Darlehen'!AZ19-'Wert, AfA, Darlehen'!AZ24-'Wert, AfA, Darlehen'!AZ34</f>
        <v>-114.36225</v>
      </c>
      <c r="BA40" s="283">
        <f>-'Wert, AfA, Darlehen'!BA19-'Wert, AfA, Darlehen'!BA24-'Wert, AfA, Darlehen'!BA34</f>
        <v>-114.36225</v>
      </c>
    </row>
    <row r="41" spans="1:53">
      <c r="B41" s="479" t="s">
        <v>37</v>
      </c>
      <c r="C41" s="480"/>
      <c r="D41" s="10">
        <f t="shared" ref="D41:AI41" si="26">SUM(D37:D40)</f>
        <v>210.13774999999998</v>
      </c>
      <c r="E41" s="10">
        <f t="shared" si="26"/>
        <v>241.02275000000003</v>
      </c>
      <c r="F41" s="10">
        <f t="shared" si="26"/>
        <v>272.91848750000014</v>
      </c>
      <c r="G41" s="10">
        <f t="shared" si="26"/>
        <v>305.85833665625023</v>
      </c>
      <c r="H41" s="10">
        <f t="shared" si="26"/>
        <v>339.87678520085962</v>
      </c>
      <c r="I41" s="10">
        <f t="shared" si="26"/>
        <v>375.00947202024201</v>
      </c>
      <c r="J41" s="10">
        <f t="shared" si="26"/>
        <v>411.29322601649153</v>
      </c>
      <c r="K41" s="10">
        <f t="shared" si="26"/>
        <v>448.76610629599827</v>
      </c>
      <c r="L41" s="10">
        <f t="shared" si="26"/>
        <v>487.46744373115223</v>
      </c>
      <c r="M41" s="10">
        <f t="shared" si="26"/>
        <v>527.43788394259082</v>
      </c>
      <c r="N41" s="10">
        <f t="shared" si="26"/>
        <v>568.71943175110357</v>
      </c>
      <c r="O41" s="10">
        <f t="shared" si="26"/>
        <v>611.35549715002048</v>
      </c>
      <c r="P41" s="10">
        <f t="shared" si="26"/>
        <v>655.39094285068938</v>
      </c>
      <c r="Q41" s="10">
        <f t="shared" si="26"/>
        <v>700.87213345549037</v>
      </c>
      <c r="R41" s="10">
        <f t="shared" si="26"/>
        <v>747.84698631473714</v>
      </c>
      <c r="S41" s="10">
        <f t="shared" si="26"/>
        <v>796.36502412578568</v>
      </c>
      <c r="T41" s="10">
        <f t="shared" si="26"/>
        <v>846.47742933471989</v>
      </c>
      <c r="U41" s="10">
        <f t="shared" si="26"/>
        <v>898.23710040308913</v>
      </c>
      <c r="V41" s="10">
        <f t="shared" si="26"/>
        <v>951.69871000437035</v>
      </c>
      <c r="W41" s="10">
        <f t="shared" si="26"/>
        <v>1006.9187652170837</v>
      </c>
      <c r="X41" s="10">
        <f t="shared" si="26"/>
        <v>1063.9556697838507</v>
      </c>
      <c r="Y41" s="10">
        <f t="shared" si="26"/>
        <v>1122.8697885080994</v>
      </c>
      <c r="Z41" s="10">
        <f t="shared" si="26"/>
        <v>1183.723513862649</v>
      </c>
      <c r="AA41" s="10">
        <f t="shared" si="26"/>
        <v>1223.7885028851356</v>
      </c>
      <c r="AB41" s="10">
        <f t="shared" si="26"/>
        <v>1264.4060952509469</v>
      </c>
      <c r="AC41" s="10">
        <f t="shared" si="26"/>
        <v>1306.2516767833179</v>
      </c>
      <c r="AD41" s="10">
        <f t="shared" si="26"/>
        <v>1349.362276385157</v>
      </c>
      <c r="AE41" s="10">
        <f t="shared" si="26"/>
        <v>1393.776037611018</v>
      </c>
      <c r="AF41" s="10">
        <f t="shared" si="26"/>
        <v>1439.5322521823409</v>
      </c>
      <c r="AG41" s="10">
        <f t="shared" si="26"/>
        <v>1486.6713945096635</v>
      </c>
      <c r="AH41" s="10">
        <f t="shared" si="26"/>
        <v>1535.2351572520427</v>
      </c>
      <c r="AI41" s="10">
        <f t="shared" si="26"/>
        <v>1585.266487944835</v>
      </c>
      <c r="AJ41" s="10">
        <f t="shared" ref="AJ41:BA41" si="27">SUM(AJ37:AJ40)</f>
        <v>1636.8096267279157</v>
      </c>
      <c r="AK41" s="10">
        <f t="shared" si="27"/>
        <v>1689.9101452073835</v>
      </c>
      <c r="AL41" s="10">
        <f t="shared" si="27"/>
        <v>1744.614986484788</v>
      </c>
      <c r="AM41" s="10">
        <f t="shared" si="27"/>
        <v>1800.9725063889382</v>
      </c>
      <c r="AN41" s="10">
        <f t="shared" si="27"/>
        <v>1859.0325159464053</v>
      </c>
      <c r="AO41" s="10">
        <f t="shared" si="27"/>
        <v>1918.8463251279122</v>
      </c>
      <c r="AP41" s="10">
        <f t="shared" si="27"/>
        <v>1980.4667879089268</v>
      </c>
      <c r="AQ41" s="10">
        <f t="shared" si="27"/>
        <v>2043.9483486839156</v>
      </c>
      <c r="AR41" s="10">
        <f t="shared" si="27"/>
        <v>2109.3470900749076</v>
      </c>
      <c r="AS41" s="10">
        <f t="shared" si="27"/>
        <v>2176.720782176239</v>
      </c>
      <c r="AT41" s="10">
        <f t="shared" si="27"/>
        <v>2246.1289332785927</v>
      </c>
      <c r="AU41" s="10">
        <f t="shared" si="27"/>
        <v>2317.6328421167582</v>
      </c>
      <c r="AV41" s="10">
        <f t="shared" si="27"/>
        <v>2391.2956516868644</v>
      </c>
      <c r="AW41" s="10">
        <f t="shared" si="27"/>
        <v>2467.1824046802058</v>
      </c>
      <c r="AX41" s="10">
        <f t="shared" si="27"/>
        <v>2545.3601005822029</v>
      </c>
      <c r="AY41" s="10">
        <f t="shared" si="27"/>
        <v>2625.8977544864906</v>
      </c>
      <c r="AZ41" s="10">
        <f t="shared" si="27"/>
        <v>2708.8664576756446</v>
      </c>
      <c r="BA41" s="283">
        <f t="shared" si="27"/>
        <v>2794.3394400215634</v>
      </c>
    </row>
    <row r="42" spans="1:53">
      <c r="B42" s="479" t="s">
        <v>294</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1" t="s">
        <v>40</v>
      </c>
      <c r="C43" s="482"/>
      <c r="D43" s="284">
        <f t="shared" ref="D43:AI43" si="30">D42*D41</f>
        <v>84.055099999999996</v>
      </c>
      <c r="E43" s="284">
        <f t="shared" si="30"/>
        <v>96.409100000000024</v>
      </c>
      <c r="F43" s="284">
        <f t="shared" si="30"/>
        <v>109.16739500000006</v>
      </c>
      <c r="G43" s="284">
        <f t="shared" si="30"/>
        <v>122.3433346625001</v>
      </c>
      <c r="H43" s="284">
        <f t="shared" si="30"/>
        <v>135.95071408034386</v>
      </c>
      <c r="I43" s="284">
        <f t="shared" si="30"/>
        <v>150.0037888080968</v>
      </c>
      <c r="J43" s="284">
        <f t="shared" si="30"/>
        <v>164.51729040659663</v>
      </c>
      <c r="K43" s="284">
        <f t="shared" si="30"/>
        <v>179.50644251839933</v>
      </c>
      <c r="L43" s="284">
        <f t="shared" si="30"/>
        <v>194.98697749246091</v>
      </c>
      <c r="M43" s="284">
        <f t="shared" si="30"/>
        <v>210.97515357703634</v>
      </c>
      <c r="N43" s="284">
        <f t="shared" si="30"/>
        <v>227.48777270044144</v>
      </c>
      <c r="O43" s="284">
        <f t="shared" si="30"/>
        <v>244.5421988600082</v>
      </c>
      <c r="P43" s="284">
        <f t="shared" si="30"/>
        <v>262.15637714027577</v>
      </c>
      <c r="Q43" s="284">
        <f t="shared" si="30"/>
        <v>280.34885338219618</v>
      </c>
      <c r="R43" s="284">
        <f t="shared" si="30"/>
        <v>299.13879452589487</v>
      </c>
      <c r="S43" s="284">
        <f t="shared" si="30"/>
        <v>318.54600965031432</v>
      </c>
      <c r="T43" s="284">
        <f t="shared" si="30"/>
        <v>338.59097173388795</v>
      </c>
      <c r="U43" s="284">
        <f t="shared" si="30"/>
        <v>359.2948401612357</v>
      </c>
      <c r="V43" s="284">
        <f t="shared" si="30"/>
        <v>380.67948400174816</v>
      </c>
      <c r="W43" s="284">
        <f t="shared" si="30"/>
        <v>402.76750608683346</v>
      </c>
      <c r="X43" s="284">
        <f t="shared" si="30"/>
        <v>425.58226791354031</v>
      </c>
      <c r="Y43" s="284">
        <f t="shared" si="30"/>
        <v>449.14791540323978</v>
      </c>
      <c r="Z43" s="284">
        <f t="shared" si="30"/>
        <v>473.48940554505964</v>
      </c>
      <c r="AA43" s="284">
        <f t="shared" si="30"/>
        <v>489.51540115405425</v>
      </c>
      <c r="AB43" s="284">
        <f t="shared" si="30"/>
        <v>505.7624381003788</v>
      </c>
      <c r="AC43" s="284">
        <f t="shared" si="30"/>
        <v>522.50067071332717</v>
      </c>
      <c r="AD43" s="284">
        <f t="shared" si="30"/>
        <v>539.74491055406281</v>
      </c>
      <c r="AE43" s="284">
        <f t="shared" si="30"/>
        <v>557.51041504440718</v>
      </c>
      <c r="AF43" s="284">
        <f t="shared" si="30"/>
        <v>575.81290087293644</v>
      </c>
      <c r="AG43" s="284">
        <f t="shared" si="30"/>
        <v>594.66855780386538</v>
      </c>
      <c r="AH43" s="284">
        <f t="shared" si="30"/>
        <v>614.09406290081711</v>
      </c>
      <c r="AI43" s="284">
        <f t="shared" si="30"/>
        <v>634.10659517793408</v>
      </c>
      <c r="AJ43" s="284">
        <f t="shared" ref="AJ43:BA43" si="31">AJ42*AJ41</f>
        <v>654.72385069116626</v>
      </c>
      <c r="AK43" s="284">
        <f t="shared" si="31"/>
        <v>675.96405808295344</v>
      </c>
      <c r="AL43" s="284">
        <f t="shared" si="31"/>
        <v>697.84599459391529</v>
      </c>
      <c r="AM43" s="284">
        <f t="shared" si="31"/>
        <v>720.3890025555753</v>
      </c>
      <c r="AN43" s="284">
        <f t="shared" si="31"/>
        <v>743.6130063785622</v>
      </c>
      <c r="AO43" s="284">
        <f t="shared" si="31"/>
        <v>767.53853005116491</v>
      </c>
      <c r="AP43" s="284">
        <f t="shared" si="31"/>
        <v>792.18671516357074</v>
      </c>
      <c r="AQ43" s="284">
        <f t="shared" si="31"/>
        <v>817.57933947356628</v>
      </c>
      <c r="AR43" s="284">
        <f t="shared" si="31"/>
        <v>843.73883602996307</v>
      </c>
      <c r="AS43" s="284">
        <f t="shared" si="31"/>
        <v>870.68831287049568</v>
      </c>
      <c r="AT43" s="284">
        <f t="shared" si="31"/>
        <v>898.45157331143719</v>
      </c>
      <c r="AU43" s="284">
        <f t="shared" si="31"/>
        <v>927.0531368467033</v>
      </c>
      <c r="AV43" s="284">
        <f t="shared" si="31"/>
        <v>956.51826067474576</v>
      </c>
      <c r="AW43" s="284">
        <f t="shared" si="31"/>
        <v>986.87296187208233</v>
      </c>
      <c r="AX43" s="284">
        <f t="shared" si="31"/>
        <v>1018.1440402328813</v>
      </c>
      <c r="AY43" s="284">
        <f t="shared" si="31"/>
        <v>1050.3591017945962</v>
      </c>
      <c r="AZ43" s="284">
        <f t="shared" si="31"/>
        <v>1083.5465830702578</v>
      </c>
      <c r="BA43" s="285">
        <f t="shared" si="31"/>
        <v>1117.7357760086254</v>
      </c>
    </row>
    <row r="45" spans="1:53">
      <c r="B45" s="135" t="s">
        <v>372</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351</v>
      </c>
      <c r="C1" s="427"/>
      <c r="E1" s="491" t="s">
        <v>359</v>
      </c>
      <c r="F1" s="491"/>
      <c r="G1" s="491"/>
      <c r="H1" s="491"/>
      <c r="I1" s="491"/>
      <c r="J1" s="427" t="s">
        <v>469</v>
      </c>
      <c r="K1" s="427"/>
      <c r="L1" s="427"/>
      <c r="M1" s="427"/>
      <c r="N1" s="427"/>
      <c r="O1" s="427"/>
      <c r="P1" s="427"/>
      <c r="Q1" s="427"/>
      <c r="R1" s="427"/>
      <c r="T1" s="427"/>
      <c r="U1" s="427"/>
    </row>
    <row r="2" spans="1:53" s="150" customFormat="1" ht="1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139000</v>
      </c>
      <c r="E8" s="291">
        <f>D12</f>
        <v>141780</v>
      </c>
      <c r="F8" s="291">
        <f t="shared" ref="F8:BA8" si="1">E12</f>
        <v>144615.6</v>
      </c>
      <c r="G8" s="291">
        <f t="shared" si="1"/>
        <v>147507.91200000001</v>
      </c>
      <c r="H8" s="291">
        <f t="shared" si="1"/>
        <v>150458.07024</v>
      </c>
      <c r="I8" s="291">
        <f t="shared" si="1"/>
        <v>153467.23164479999</v>
      </c>
      <c r="J8" s="291">
        <f t="shared" si="1"/>
        <v>156536.576277696</v>
      </c>
      <c r="K8" s="291">
        <f t="shared" si="1"/>
        <v>159667.30780324992</v>
      </c>
      <c r="L8" s="291">
        <f t="shared" si="1"/>
        <v>162860.65395931492</v>
      </c>
      <c r="M8" s="291">
        <f t="shared" si="1"/>
        <v>166117.86703850122</v>
      </c>
      <c r="N8" s="291">
        <f t="shared" si="1"/>
        <v>169440.22437927124</v>
      </c>
      <c r="O8" s="291">
        <f t="shared" si="1"/>
        <v>172829.02886685665</v>
      </c>
      <c r="P8" s="291">
        <f t="shared" si="1"/>
        <v>176285.60944419377</v>
      </c>
      <c r="Q8" s="291">
        <f t="shared" si="1"/>
        <v>179811.32163307766</v>
      </c>
      <c r="R8" s="291">
        <f t="shared" si="1"/>
        <v>183407.54806573922</v>
      </c>
      <c r="S8" s="291">
        <f t="shared" si="1"/>
        <v>187075.69902705401</v>
      </c>
      <c r="T8" s="291">
        <f t="shared" si="1"/>
        <v>190817.2130075951</v>
      </c>
      <c r="U8" s="291">
        <f t="shared" si="1"/>
        <v>194633.557267747</v>
      </c>
      <c r="V8" s="291">
        <f t="shared" si="1"/>
        <v>198526.22841310196</v>
      </c>
      <c r="W8" s="291">
        <f t="shared" si="1"/>
        <v>202496.752981364</v>
      </c>
      <c r="X8" s="291">
        <f t="shared" si="1"/>
        <v>206546.68804099128</v>
      </c>
      <c r="Y8" s="291">
        <f t="shared" si="1"/>
        <v>210677.6218018111</v>
      </c>
      <c r="Z8" s="291">
        <f t="shared" si="1"/>
        <v>214891.17423784733</v>
      </c>
      <c r="AA8" s="291">
        <f t="shared" si="1"/>
        <v>219188.99772260428</v>
      </c>
      <c r="AB8" s="291">
        <f t="shared" si="1"/>
        <v>223572.77767705638</v>
      </c>
      <c r="AC8" s="291">
        <f t="shared" si="1"/>
        <v>228044.23323059751</v>
      </c>
      <c r="AD8" s="291">
        <f t="shared" si="1"/>
        <v>232605.11789520946</v>
      </c>
      <c r="AE8" s="291">
        <f t="shared" si="1"/>
        <v>237257.22025311366</v>
      </c>
      <c r="AF8" s="291">
        <f t="shared" si="1"/>
        <v>242002.36465817594</v>
      </c>
      <c r="AG8" s="291">
        <f t="shared" si="1"/>
        <v>246842.41195133945</v>
      </c>
      <c r="AH8" s="291">
        <f t="shared" si="1"/>
        <v>251779.26019036624</v>
      </c>
      <c r="AI8" s="291">
        <f t="shared" si="1"/>
        <v>256814.84539417358</v>
      </c>
      <c r="AJ8" s="291">
        <f t="shared" si="1"/>
        <v>261951.14230205704</v>
      </c>
      <c r="AK8" s="291">
        <f t="shared" si="1"/>
        <v>267190.1651480982</v>
      </c>
      <c r="AL8" s="291">
        <f t="shared" si="1"/>
        <v>272533.96845106018</v>
      </c>
      <c r="AM8" s="291">
        <f t="shared" si="1"/>
        <v>277984.64782008139</v>
      </c>
      <c r="AN8" s="291">
        <f t="shared" si="1"/>
        <v>283544.340776483</v>
      </c>
      <c r="AO8" s="291">
        <f t="shared" si="1"/>
        <v>289215.22759201267</v>
      </c>
      <c r="AP8" s="291">
        <f t="shared" si="1"/>
        <v>294999.53214385291</v>
      </c>
      <c r="AQ8" s="291">
        <f t="shared" si="1"/>
        <v>300899.52278672997</v>
      </c>
      <c r="AR8" s="291">
        <f t="shared" si="1"/>
        <v>306917.51324246457</v>
      </c>
      <c r="AS8" s="291">
        <f t="shared" si="1"/>
        <v>313055.86350731389</v>
      </c>
      <c r="AT8" s="291">
        <f t="shared" si="1"/>
        <v>319316.98077746015</v>
      </c>
      <c r="AU8" s="291">
        <f t="shared" si="1"/>
        <v>325703.32039300934</v>
      </c>
      <c r="AV8" s="291">
        <f t="shared" si="1"/>
        <v>332217.38680086954</v>
      </c>
      <c r="AW8" s="291">
        <f t="shared" si="1"/>
        <v>338861.73453688691</v>
      </c>
      <c r="AX8" s="291">
        <f t="shared" si="1"/>
        <v>345638.96922762465</v>
      </c>
      <c r="AY8" s="291">
        <f t="shared" si="1"/>
        <v>352551.74861217715</v>
      </c>
      <c r="AZ8" s="291">
        <f t="shared" si="1"/>
        <v>359602.78358442069</v>
      </c>
      <c r="BA8" s="292">
        <f t="shared" si="1"/>
        <v>366794.83925610909</v>
      </c>
    </row>
    <row r="9" spans="1:53">
      <c r="A9"/>
      <c r="B9" s="457" t="s">
        <v>66</v>
      </c>
      <c r="C9" s="458"/>
      <c r="D9" s="4">
        <f>D8-'Wert, AfA, Darlehen'!D106</f>
        <v>27800</v>
      </c>
      <c r="E9" s="4">
        <f>E8-'Wert, AfA, Darlehen'!E106</f>
        <v>33916</v>
      </c>
      <c r="F9" s="4">
        <f>F8-'Wert, AfA, Darlehen'!F106</f>
        <v>40212.700000000012</v>
      </c>
      <c r="G9" s="4">
        <f>G8-'Wert, AfA, Darlehen'!G106</f>
        <v>46695.903250000018</v>
      </c>
      <c r="H9" s="4">
        <f>H8-'Wert, AfA, Darlehen'!H106</f>
        <v>53371.611161875015</v>
      </c>
      <c r="I9" s="4">
        <f>I8-'Wert, AfA, Darlehen'!I106</f>
        <v>60246.030351245325</v>
      </c>
      <c r="J9" s="4">
        <f>J8-'Wert, AfA, Darlehen'!J106</f>
        <v>67325.579935633039</v>
      </c>
      <c r="K9" s="4">
        <f>K8-'Wert, AfA, Darlehen'!K106</f>
        <v>74616.899098359587</v>
      </c>
      <c r="L9" s="4">
        <f>L8-'Wert, AfA, Darlehen'!L106</f>
        <v>82126.854927991197</v>
      </c>
      <c r="M9" s="4">
        <f>M8-'Wert, AfA, Darlehen'!M106</f>
        <v>89862.550543502861</v>
      </c>
      <c r="N9" s="4">
        <f>N8-'Wert, AfA, Darlehen'!N106</f>
        <v>97831.333515710445</v>
      </c>
      <c r="O9" s="4">
        <f>O8-'Wert, AfA, Darlehen'!O106</f>
        <v>106040.80459591233</v>
      </c>
      <c r="P9" s="4">
        <f>P8-'Wert, AfA, Darlehen'!P106</f>
        <v>114498.82676308905</v>
      </c>
      <c r="Q9" s="4">
        <f>Q8-'Wert, AfA, Darlehen'!Q106</f>
        <v>123213.5346014315</v>
      </c>
      <c r="R9" s="4">
        <f>R8-'Wert, AfA, Darlehen'!R106</f>
        <v>132193.34402040631</v>
      </c>
      <c r="S9" s="4">
        <f>S8-'Wert, AfA, Darlehen'!S106</f>
        <v>141446.96233002114</v>
      </c>
      <c r="T9" s="4">
        <f>T8-'Wert, AfA, Darlehen'!T106</f>
        <v>150983.39868442348</v>
      </c>
      <c r="U9" s="4">
        <f>U8-'Wert, AfA, Darlehen'!U106</f>
        <v>160811.97490745646</v>
      </c>
      <c r="V9" s="4">
        <f>V8-'Wert, AfA, Darlehen'!V106</f>
        <v>170942.3367143005</v>
      </c>
      <c r="W9" s="4">
        <f>W8-'Wert, AfA, Darlehen'!W106</f>
        <v>181384.4653438575</v>
      </c>
      <c r="X9" s="4">
        <f>X8-'Wert, AfA, Darlehen'!X106</f>
        <v>192148.68961707829</v>
      </c>
      <c r="Y9" s="4">
        <f>Y8-'Wert, AfA, Darlehen'!Y106</f>
        <v>203245.69843700138</v>
      </c>
      <c r="Z9" s="4">
        <f>Z8-'Wert, AfA, Darlehen'!Z106</f>
        <v>214686.55374685724</v>
      </c>
      <c r="AA9" s="4">
        <f>AA8-'Wert, AfA, Darlehen'!AA106</f>
        <v>219188.99772260428</v>
      </c>
      <c r="AB9" s="4">
        <f>AB8-'Wert, AfA, Darlehen'!AB106</f>
        <v>223572.77767705638</v>
      </c>
      <c r="AC9" s="4">
        <f>AC8-'Wert, AfA, Darlehen'!AC106</f>
        <v>228044.23323059751</v>
      </c>
      <c r="AD9" s="4">
        <f>AD8-'Wert, AfA, Darlehen'!AD106</f>
        <v>232605.11789520946</v>
      </c>
      <c r="AE9" s="4">
        <f>AE8-'Wert, AfA, Darlehen'!AE106</f>
        <v>237257.22025311366</v>
      </c>
      <c r="AF9" s="4">
        <f>AF8-'Wert, AfA, Darlehen'!AF106</f>
        <v>242002.36465817594</v>
      </c>
      <c r="AG9" s="4">
        <f>AG8-'Wert, AfA, Darlehen'!AG106</f>
        <v>246842.41195133945</v>
      </c>
      <c r="AH9" s="4">
        <f>AH8-'Wert, AfA, Darlehen'!AH106</f>
        <v>251779.26019036624</v>
      </c>
      <c r="AI9" s="4">
        <f>AI8-'Wert, AfA, Darlehen'!AI106</f>
        <v>256814.84539417358</v>
      </c>
      <c r="AJ9" s="4">
        <f>AJ8-'Wert, AfA, Darlehen'!AJ106</f>
        <v>261951.14230205704</v>
      </c>
      <c r="AK9" s="4">
        <f>AK8-'Wert, AfA, Darlehen'!AK106</f>
        <v>267190.1651480982</v>
      </c>
      <c r="AL9" s="4">
        <f>AL8-'Wert, AfA, Darlehen'!AL106</f>
        <v>272533.96845106018</v>
      </c>
      <c r="AM9" s="4">
        <f>AM8-'Wert, AfA, Darlehen'!AM106</f>
        <v>277984.64782008139</v>
      </c>
      <c r="AN9" s="4">
        <f>AN8-'Wert, AfA, Darlehen'!AN106</f>
        <v>283544.340776483</v>
      </c>
      <c r="AO9" s="4">
        <f>AO8-'Wert, AfA, Darlehen'!AO106</f>
        <v>289215.22759201267</v>
      </c>
      <c r="AP9" s="4">
        <f>AP8-'Wert, AfA, Darlehen'!AP106</f>
        <v>294999.53214385291</v>
      </c>
      <c r="AQ9" s="4">
        <f>AQ8-'Wert, AfA, Darlehen'!AQ106</f>
        <v>300899.52278672997</v>
      </c>
      <c r="AR9" s="4">
        <f>AR8-'Wert, AfA, Darlehen'!AR106</f>
        <v>306917.51324246457</v>
      </c>
      <c r="AS9" s="4">
        <f>AS8-'Wert, AfA, Darlehen'!AS106</f>
        <v>313055.86350731389</v>
      </c>
      <c r="AT9" s="4">
        <f>AT8-'Wert, AfA, Darlehen'!AT106</f>
        <v>319316.98077746015</v>
      </c>
      <c r="AU9" s="4">
        <f>AU8-'Wert, AfA, Darlehen'!AU106</f>
        <v>325703.32039300934</v>
      </c>
      <c r="AV9" s="4">
        <f>AV8-'Wert, AfA, Darlehen'!AV106</f>
        <v>332217.38680086954</v>
      </c>
      <c r="AW9" s="4">
        <f>AW8-'Wert, AfA, Darlehen'!AW106</f>
        <v>338861.73453688691</v>
      </c>
      <c r="AX9" s="4">
        <f>AX8-'Wert, AfA, Darlehen'!AX106</f>
        <v>345638.96922762465</v>
      </c>
      <c r="AY9" s="4">
        <f>AY8-'Wert, AfA, Darlehen'!AY106</f>
        <v>352551.74861217715</v>
      </c>
      <c r="AZ9" s="4">
        <f>AZ8-'Wert, AfA, Darlehen'!AZ106</f>
        <v>359602.78358442069</v>
      </c>
      <c r="BA9" s="295">
        <f>BA8-'Wert, AfA, Darlehen'!BA106</f>
        <v>366794.83925610909</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2780</v>
      </c>
      <c r="E11" s="4">
        <f>E8*E10</f>
        <v>2835.6</v>
      </c>
      <c r="F11" s="4">
        <f>F8*F10</f>
        <v>2892.3120000000004</v>
      </c>
      <c r="G11" s="4">
        <f t="shared" ref="G11:BA11" si="3">G8*G10</f>
        <v>2950.1582400000002</v>
      </c>
      <c r="H11" s="4">
        <f t="shared" si="3"/>
        <v>3009.1614048000001</v>
      </c>
      <c r="I11" s="4">
        <f t="shared" si="3"/>
        <v>3069.3446328959999</v>
      </c>
      <c r="J11" s="4">
        <f t="shared" si="3"/>
        <v>3130.7315255539202</v>
      </c>
      <c r="K11" s="4">
        <f t="shared" si="3"/>
        <v>3193.3461560649985</v>
      </c>
      <c r="L11" s="4">
        <f t="shared" si="3"/>
        <v>3257.2130791862983</v>
      </c>
      <c r="M11" s="4">
        <f t="shared" si="3"/>
        <v>3322.3573407700246</v>
      </c>
      <c r="N11" s="4">
        <f t="shared" si="3"/>
        <v>3388.8044875854248</v>
      </c>
      <c r="O11" s="4">
        <f t="shared" si="3"/>
        <v>3456.580577337133</v>
      </c>
      <c r="P11" s="4">
        <f t="shared" si="3"/>
        <v>3525.7121888838756</v>
      </c>
      <c r="Q11" s="4">
        <f t="shared" si="3"/>
        <v>3596.2264326615532</v>
      </c>
      <c r="R11" s="4">
        <f t="shared" si="3"/>
        <v>3668.1509613147846</v>
      </c>
      <c r="S11" s="4">
        <f t="shared" si="3"/>
        <v>3741.5139805410804</v>
      </c>
      <c r="T11" s="4">
        <f t="shared" si="3"/>
        <v>3816.3442601519018</v>
      </c>
      <c r="U11" s="4">
        <f t="shared" si="3"/>
        <v>3892.6711453549401</v>
      </c>
      <c r="V11" s="4">
        <f t="shared" si="3"/>
        <v>3970.5245682620393</v>
      </c>
      <c r="W11" s="4">
        <f t="shared" si="3"/>
        <v>4049.9350596272802</v>
      </c>
      <c r="X11" s="4">
        <f t="shared" si="3"/>
        <v>4130.9337608198257</v>
      </c>
      <c r="Y11" s="4">
        <f t="shared" si="3"/>
        <v>4213.5524360362224</v>
      </c>
      <c r="Z11" s="4">
        <f t="shared" si="3"/>
        <v>4297.8234847569465</v>
      </c>
      <c r="AA11" s="4">
        <f t="shared" si="3"/>
        <v>4383.7799544520858</v>
      </c>
      <c r="AB11" s="4">
        <f t="shared" si="3"/>
        <v>4471.4555535411273</v>
      </c>
      <c r="AC11" s="4">
        <f t="shared" si="3"/>
        <v>4560.88466461195</v>
      </c>
      <c r="AD11" s="4">
        <f t="shared" si="3"/>
        <v>4652.1023579041894</v>
      </c>
      <c r="AE11" s="4">
        <f t="shared" si="3"/>
        <v>4745.1444050622731</v>
      </c>
      <c r="AF11" s="4">
        <f t="shared" si="3"/>
        <v>4840.0472931635186</v>
      </c>
      <c r="AG11" s="4">
        <f t="shared" si="3"/>
        <v>4936.8482390267891</v>
      </c>
      <c r="AH11" s="4">
        <f t="shared" si="3"/>
        <v>5035.5852038073253</v>
      </c>
      <c r="AI11" s="4">
        <f t="shared" si="3"/>
        <v>5136.2969078834712</v>
      </c>
      <c r="AJ11" s="4">
        <f t="shared" si="3"/>
        <v>5239.0228460411408</v>
      </c>
      <c r="AK11" s="4">
        <f t="shared" si="3"/>
        <v>5343.8033029619637</v>
      </c>
      <c r="AL11" s="4">
        <f t="shared" si="3"/>
        <v>5450.6793690212035</v>
      </c>
      <c r="AM11" s="4">
        <f t="shared" si="3"/>
        <v>5559.6929564016282</v>
      </c>
      <c r="AN11" s="4">
        <f t="shared" si="3"/>
        <v>5670.8868155296605</v>
      </c>
      <c r="AO11" s="4">
        <f t="shared" si="3"/>
        <v>5784.3045518402532</v>
      </c>
      <c r="AP11" s="4">
        <f t="shared" si="3"/>
        <v>5899.9906428770582</v>
      </c>
      <c r="AQ11" s="4">
        <f t="shared" si="3"/>
        <v>6017.9904557345999</v>
      </c>
      <c r="AR11" s="4">
        <f t="shared" si="3"/>
        <v>6138.3502648492913</v>
      </c>
      <c r="AS11" s="4">
        <f t="shared" si="3"/>
        <v>6261.1172701462783</v>
      </c>
      <c r="AT11" s="4">
        <f t="shared" si="3"/>
        <v>6386.3396155492028</v>
      </c>
      <c r="AU11" s="4">
        <f t="shared" si="3"/>
        <v>6514.0664078601867</v>
      </c>
      <c r="AV11" s="4">
        <f t="shared" si="3"/>
        <v>6644.3477360173911</v>
      </c>
      <c r="AW11" s="4">
        <f t="shared" si="3"/>
        <v>6777.2346907377387</v>
      </c>
      <c r="AX11" s="4">
        <f t="shared" si="3"/>
        <v>6912.779384552493</v>
      </c>
      <c r="AY11" s="4">
        <f t="shared" si="3"/>
        <v>7051.0349722435431</v>
      </c>
      <c r="AZ11" s="4">
        <f t="shared" si="3"/>
        <v>7192.0556716884139</v>
      </c>
      <c r="BA11" s="295">
        <f t="shared" si="3"/>
        <v>7335.8967851221823</v>
      </c>
    </row>
    <row r="12" spans="1:53" ht="15.75" thickBot="1">
      <c r="A12"/>
      <c r="B12" s="498" t="s">
        <v>280</v>
      </c>
      <c r="C12" s="499"/>
      <c r="D12" s="305">
        <f>D8+D11</f>
        <v>141780</v>
      </c>
      <c r="E12" s="305">
        <f t="shared" ref="E12:BA12" si="4">E8+E11</f>
        <v>144615.6</v>
      </c>
      <c r="F12" s="305">
        <f t="shared" si="4"/>
        <v>147507.91200000001</v>
      </c>
      <c r="G12" s="305">
        <f t="shared" si="4"/>
        <v>150458.07024</v>
      </c>
      <c r="H12" s="305">
        <f t="shared" si="4"/>
        <v>153467.23164479999</v>
      </c>
      <c r="I12" s="305">
        <f t="shared" si="4"/>
        <v>156536.576277696</v>
      </c>
      <c r="J12" s="305">
        <f t="shared" si="4"/>
        <v>159667.30780324992</v>
      </c>
      <c r="K12" s="305">
        <f t="shared" si="4"/>
        <v>162860.65395931492</v>
      </c>
      <c r="L12" s="305">
        <f t="shared" si="4"/>
        <v>166117.86703850122</v>
      </c>
      <c r="M12" s="305">
        <f t="shared" si="4"/>
        <v>169440.22437927124</v>
      </c>
      <c r="N12" s="305">
        <f t="shared" si="4"/>
        <v>172829.02886685665</v>
      </c>
      <c r="O12" s="305">
        <f t="shared" si="4"/>
        <v>176285.60944419377</v>
      </c>
      <c r="P12" s="305">
        <f t="shared" si="4"/>
        <v>179811.32163307766</v>
      </c>
      <c r="Q12" s="305">
        <f t="shared" si="4"/>
        <v>183407.54806573922</v>
      </c>
      <c r="R12" s="305">
        <f t="shared" si="4"/>
        <v>187075.69902705401</v>
      </c>
      <c r="S12" s="305">
        <f t="shared" si="4"/>
        <v>190817.2130075951</v>
      </c>
      <c r="T12" s="305">
        <f t="shared" si="4"/>
        <v>194633.557267747</v>
      </c>
      <c r="U12" s="305">
        <f t="shared" si="4"/>
        <v>198526.22841310196</v>
      </c>
      <c r="V12" s="305">
        <f t="shared" si="4"/>
        <v>202496.752981364</v>
      </c>
      <c r="W12" s="305">
        <f t="shared" si="4"/>
        <v>206546.68804099128</v>
      </c>
      <c r="X12" s="305">
        <f t="shared" si="4"/>
        <v>210677.6218018111</v>
      </c>
      <c r="Y12" s="305">
        <f t="shared" si="4"/>
        <v>214891.17423784733</v>
      </c>
      <c r="Z12" s="305">
        <f t="shared" si="4"/>
        <v>219188.99772260428</v>
      </c>
      <c r="AA12" s="305">
        <f t="shared" si="4"/>
        <v>223572.77767705638</v>
      </c>
      <c r="AB12" s="305">
        <f t="shared" si="4"/>
        <v>228044.23323059751</v>
      </c>
      <c r="AC12" s="305">
        <f t="shared" si="4"/>
        <v>232605.11789520946</v>
      </c>
      <c r="AD12" s="305">
        <f t="shared" si="4"/>
        <v>237257.22025311366</v>
      </c>
      <c r="AE12" s="305">
        <f t="shared" si="4"/>
        <v>242002.36465817594</v>
      </c>
      <c r="AF12" s="305">
        <f t="shared" si="4"/>
        <v>246842.41195133945</v>
      </c>
      <c r="AG12" s="305">
        <f t="shared" si="4"/>
        <v>251779.26019036624</v>
      </c>
      <c r="AH12" s="305">
        <f t="shared" si="4"/>
        <v>256814.84539417358</v>
      </c>
      <c r="AI12" s="305">
        <f t="shared" si="4"/>
        <v>261951.14230205704</v>
      </c>
      <c r="AJ12" s="305">
        <f t="shared" si="4"/>
        <v>267190.1651480982</v>
      </c>
      <c r="AK12" s="305">
        <f t="shared" si="4"/>
        <v>272533.96845106018</v>
      </c>
      <c r="AL12" s="305">
        <f t="shared" si="4"/>
        <v>277984.64782008139</v>
      </c>
      <c r="AM12" s="305">
        <f t="shared" si="4"/>
        <v>283544.340776483</v>
      </c>
      <c r="AN12" s="305">
        <f t="shared" si="4"/>
        <v>289215.22759201267</v>
      </c>
      <c r="AO12" s="305">
        <f t="shared" si="4"/>
        <v>294999.53214385291</v>
      </c>
      <c r="AP12" s="305">
        <f t="shared" si="4"/>
        <v>300899.52278672997</v>
      </c>
      <c r="AQ12" s="305">
        <f t="shared" si="4"/>
        <v>306917.51324246457</v>
      </c>
      <c r="AR12" s="305">
        <f t="shared" si="4"/>
        <v>313055.86350731389</v>
      </c>
      <c r="AS12" s="305">
        <f t="shared" si="4"/>
        <v>319316.98077746015</v>
      </c>
      <c r="AT12" s="305">
        <f t="shared" si="4"/>
        <v>325703.32039300934</v>
      </c>
      <c r="AU12" s="305">
        <f t="shared" si="4"/>
        <v>332217.38680086954</v>
      </c>
      <c r="AV12" s="305">
        <f t="shared" si="4"/>
        <v>338861.73453688691</v>
      </c>
      <c r="AW12" s="305">
        <f t="shared" si="4"/>
        <v>345638.96922762465</v>
      </c>
      <c r="AX12" s="305">
        <f t="shared" si="4"/>
        <v>352551.74861217715</v>
      </c>
      <c r="AY12" s="305">
        <f t="shared" si="4"/>
        <v>359602.78358442069</v>
      </c>
      <c r="AZ12" s="305">
        <f t="shared" si="4"/>
        <v>366794.83925610909</v>
      </c>
      <c r="BA12" s="306">
        <f t="shared" si="4"/>
        <v>374130.73604123126</v>
      </c>
    </row>
    <row r="13" spans="1:53" ht="39" customHeight="1" thickBot="1">
      <c r="D13" s="36"/>
    </row>
    <row r="14" spans="1:53" ht="18" thickBot="1">
      <c r="B14" s="273" t="s">
        <v>263</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483</v>
      </c>
      <c r="C16" s="137"/>
      <c r="D16" s="10">
        <f>Cockpit!H22</f>
        <v>91489.8</v>
      </c>
      <c r="E16" s="10">
        <f>D16</f>
        <v>91489.8</v>
      </c>
      <c r="F16" s="10">
        <f t="shared" ref="F16:BA16" si="5">E16</f>
        <v>91489.8</v>
      </c>
      <c r="G16" s="10">
        <f t="shared" si="5"/>
        <v>91489.8</v>
      </c>
      <c r="H16" s="10">
        <f t="shared" si="5"/>
        <v>91489.8</v>
      </c>
      <c r="I16" s="10">
        <f t="shared" si="5"/>
        <v>91489.8</v>
      </c>
      <c r="J16" s="10">
        <f t="shared" si="5"/>
        <v>91489.8</v>
      </c>
      <c r="K16" s="10">
        <f t="shared" si="5"/>
        <v>91489.8</v>
      </c>
      <c r="L16" s="10">
        <f t="shared" si="5"/>
        <v>91489.8</v>
      </c>
      <c r="M16" s="10">
        <f t="shared" si="5"/>
        <v>91489.8</v>
      </c>
      <c r="N16" s="10">
        <f t="shared" si="5"/>
        <v>91489.8</v>
      </c>
      <c r="O16" s="10">
        <f t="shared" si="5"/>
        <v>91489.8</v>
      </c>
      <c r="P16" s="10">
        <f t="shared" si="5"/>
        <v>91489.8</v>
      </c>
      <c r="Q16" s="10">
        <f t="shared" si="5"/>
        <v>91489.8</v>
      </c>
      <c r="R16" s="10">
        <f t="shared" si="5"/>
        <v>91489.8</v>
      </c>
      <c r="S16" s="10">
        <f t="shared" si="5"/>
        <v>91489.8</v>
      </c>
      <c r="T16" s="10">
        <f t="shared" si="5"/>
        <v>91489.8</v>
      </c>
      <c r="U16" s="10">
        <f t="shared" si="5"/>
        <v>91489.8</v>
      </c>
      <c r="V16" s="10">
        <f t="shared" si="5"/>
        <v>91489.8</v>
      </c>
      <c r="W16" s="10">
        <f t="shared" si="5"/>
        <v>91489.8</v>
      </c>
      <c r="X16" s="10">
        <f t="shared" si="5"/>
        <v>91489.8</v>
      </c>
      <c r="Y16" s="10">
        <f t="shared" si="5"/>
        <v>91489.8</v>
      </c>
      <c r="Z16" s="10">
        <f t="shared" si="5"/>
        <v>91489.8</v>
      </c>
      <c r="AA16" s="10">
        <f t="shared" si="5"/>
        <v>91489.8</v>
      </c>
      <c r="AB16" s="10">
        <f t="shared" si="5"/>
        <v>91489.8</v>
      </c>
      <c r="AC16" s="10">
        <f t="shared" si="5"/>
        <v>91489.8</v>
      </c>
      <c r="AD16" s="10">
        <f t="shared" si="5"/>
        <v>91489.8</v>
      </c>
      <c r="AE16" s="10">
        <f t="shared" si="5"/>
        <v>91489.8</v>
      </c>
      <c r="AF16" s="10">
        <f t="shared" si="5"/>
        <v>91489.8</v>
      </c>
      <c r="AG16" s="10">
        <f t="shared" si="5"/>
        <v>91489.8</v>
      </c>
      <c r="AH16" s="10">
        <f t="shared" si="5"/>
        <v>91489.8</v>
      </c>
      <c r="AI16" s="10">
        <f t="shared" si="5"/>
        <v>91489.8</v>
      </c>
      <c r="AJ16" s="10">
        <f t="shared" si="5"/>
        <v>91489.8</v>
      </c>
      <c r="AK16" s="10">
        <f t="shared" si="5"/>
        <v>91489.8</v>
      </c>
      <c r="AL16" s="10">
        <f t="shared" si="5"/>
        <v>91489.8</v>
      </c>
      <c r="AM16" s="10">
        <f t="shared" si="5"/>
        <v>91489.8</v>
      </c>
      <c r="AN16" s="10">
        <f t="shared" si="5"/>
        <v>91489.8</v>
      </c>
      <c r="AO16" s="10">
        <f t="shared" si="5"/>
        <v>91489.8</v>
      </c>
      <c r="AP16" s="10">
        <f t="shared" si="5"/>
        <v>91489.8</v>
      </c>
      <c r="AQ16" s="10">
        <f t="shared" si="5"/>
        <v>91489.8</v>
      </c>
      <c r="AR16" s="10">
        <f t="shared" si="5"/>
        <v>91489.8</v>
      </c>
      <c r="AS16" s="10">
        <f t="shared" si="5"/>
        <v>91489.8</v>
      </c>
      <c r="AT16" s="10">
        <f t="shared" si="5"/>
        <v>91489.8</v>
      </c>
      <c r="AU16" s="10">
        <f t="shared" si="5"/>
        <v>91489.8</v>
      </c>
      <c r="AV16" s="10">
        <f t="shared" si="5"/>
        <v>91489.8</v>
      </c>
      <c r="AW16" s="10">
        <f t="shared" si="5"/>
        <v>91489.8</v>
      </c>
      <c r="AX16" s="10">
        <f t="shared" si="5"/>
        <v>91489.8</v>
      </c>
      <c r="AY16" s="10">
        <f t="shared" si="5"/>
        <v>91489.8</v>
      </c>
      <c r="AZ16" s="10">
        <f t="shared" si="5"/>
        <v>91489.8</v>
      </c>
      <c r="BA16" s="283">
        <f t="shared" si="5"/>
        <v>91489.8</v>
      </c>
    </row>
    <row r="17" spans="2:53">
      <c r="B17" s="479" t="s">
        <v>264</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265</v>
      </c>
      <c r="C18" s="480"/>
      <c r="D18" s="10">
        <f>D17*D16</f>
        <v>1372.347</v>
      </c>
      <c r="E18" s="10">
        <f t="shared" ref="E18:AJ18" si="8">MIN(E17*E16,E16-D20)</f>
        <v>1372.347</v>
      </c>
      <c r="F18" s="10">
        <f t="shared" si="8"/>
        <v>1372.347</v>
      </c>
      <c r="G18" s="10">
        <f t="shared" si="8"/>
        <v>1372.347</v>
      </c>
      <c r="H18" s="10">
        <f t="shared" si="8"/>
        <v>1372.347</v>
      </c>
      <c r="I18" s="10">
        <f t="shared" si="8"/>
        <v>1372.347</v>
      </c>
      <c r="J18" s="10">
        <f t="shared" si="8"/>
        <v>1372.347</v>
      </c>
      <c r="K18" s="10">
        <f t="shared" si="8"/>
        <v>1372.347</v>
      </c>
      <c r="L18" s="10">
        <f t="shared" si="8"/>
        <v>1372.347</v>
      </c>
      <c r="M18" s="10">
        <f t="shared" si="8"/>
        <v>1372.347</v>
      </c>
      <c r="N18" s="10">
        <f t="shared" si="8"/>
        <v>1372.347</v>
      </c>
      <c r="O18" s="10">
        <f t="shared" si="8"/>
        <v>1372.347</v>
      </c>
      <c r="P18" s="10">
        <f t="shared" si="8"/>
        <v>1372.347</v>
      </c>
      <c r="Q18" s="10">
        <f t="shared" si="8"/>
        <v>1372.347</v>
      </c>
      <c r="R18" s="10">
        <f t="shared" si="8"/>
        <v>1372.347</v>
      </c>
      <c r="S18" s="10">
        <f t="shared" si="8"/>
        <v>1372.347</v>
      </c>
      <c r="T18" s="10">
        <f t="shared" si="8"/>
        <v>1372.347</v>
      </c>
      <c r="U18" s="10">
        <f t="shared" si="8"/>
        <v>1372.347</v>
      </c>
      <c r="V18" s="10">
        <f t="shared" si="8"/>
        <v>1372.347</v>
      </c>
      <c r="W18" s="10">
        <f t="shared" si="8"/>
        <v>1372.347</v>
      </c>
      <c r="X18" s="10">
        <f t="shared" si="8"/>
        <v>1372.347</v>
      </c>
      <c r="Y18" s="10">
        <f t="shared" si="8"/>
        <v>1372.347</v>
      </c>
      <c r="Z18" s="10">
        <f t="shared" si="8"/>
        <v>1372.347</v>
      </c>
      <c r="AA18" s="10">
        <f t="shared" si="8"/>
        <v>1372.347</v>
      </c>
      <c r="AB18" s="10">
        <f t="shared" si="8"/>
        <v>1372.347</v>
      </c>
      <c r="AC18" s="10">
        <f t="shared" si="8"/>
        <v>1372.347</v>
      </c>
      <c r="AD18" s="10">
        <f t="shared" si="8"/>
        <v>1372.347</v>
      </c>
      <c r="AE18" s="10">
        <f t="shared" si="8"/>
        <v>1372.347</v>
      </c>
      <c r="AF18" s="10">
        <f t="shared" si="8"/>
        <v>1372.347</v>
      </c>
      <c r="AG18" s="10">
        <f t="shared" si="8"/>
        <v>1372.347</v>
      </c>
      <c r="AH18" s="10">
        <f t="shared" si="8"/>
        <v>1372.347</v>
      </c>
      <c r="AI18" s="10">
        <f t="shared" si="8"/>
        <v>1372.347</v>
      </c>
      <c r="AJ18" s="10">
        <f t="shared" si="8"/>
        <v>1372.347</v>
      </c>
      <c r="AK18" s="10">
        <f t="shared" ref="AK18:BA18" si="9">MIN(AK17*AK16,AK16-AJ20)</f>
        <v>1372.347</v>
      </c>
      <c r="AL18" s="10">
        <f t="shared" si="9"/>
        <v>1372.347</v>
      </c>
      <c r="AM18" s="10">
        <f t="shared" si="9"/>
        <v>1372.347</v>
      </c>
      <c r="AN18" s="10">
        <f t="shared" si="9"/>
        <v>1372.347</v>
      </c>
      <c r="AO18" s="10">
        <f t="shared" si="9"/>
        <v>1372.347</v>
      </c>
      <c r="AP18" s="10">
        <f t="shared" si="9"/>
        <v>1372.347</v>
      </c>
      <c r="AQ18" s="10">
        <f t="shared" si="9"/>
        <v>1372.347</v>
      </c>
      <c r="AR18" s="10">
        <f t="shared" si="9"/>
        <v>1372.347</v>
      </c>
      <c r="AS18" s="10">
        <f t="shared" si="9"/>
        <v>1372.347</v>
      </c>
      <c r="AT18" s="10">
        <f t="shared" si="9"/>
        <v>1372.347</v>
      </c>
      <c r="AU18" s="10">
        <f t="shared" si="9"/>
        <v>1372.347</v>
      </c>
      <c r="AV18" s="10">
        <f t="shared" si="9"/>
        <v>1372.347</v>
      </c>
      <c r="AW18" s="10">
        <f t="shared" si="9"/>
        <v>1372.347</v>
      </c>
      <c r="AX18" s="10">
        <f t="shared" si="9"/>
        <v>1372.347</v>
      </c>
      <c r="AY18" s="10">
        <f t="shared" si="9"/>
        <v>1372.347</v>
      </c>
      <c r="AZ18" s="10">
        <f t="shared" si="9"/>
        <v>1372.347</v>
      </c>
      <c r="BA18" s="283">
        <f t="shared" si="9"/>
        <v>1372.347</v>
      </c>
    </row>
    <row r="19" spans="2:53">
      <c r="B19" s="494" t="s">
        <v>266</v>
      </c>
      <c r="C19" s="495"/>
      <c r="D19" s="38">
        <f>D18/12</f>
        <v>114.36225</v>
      </c>
      <c r="E19" s="10">
        <f>E18/12</f>
        <v>114.36225</v>
      </c>
      <c r="F19" s="10">
        <f t="shared" ref="F19:BA19" si="10">F18/12</f>
        <v>114.36225</v>
      </c>
      <c r="G19" s="10">
        <f t="shared" si="10"/>
        <v>114.36225</v>
      </c>
      <c r="H19" s="10">
        <f t="shared" si="10"/>
        <v>114.36225</v>
      </c>
      <c r="I19" s="10">
        <f t="shared" si="10"/>
        <v>114.36225</v>
      </c>
      <c r="J19" s="10">
        <f t="shared" si="10"/>
        <v>114.36225</v>
      </c>
      <c r="K19" s="10">
        <f t="shared" si="10"/>
        <v>114.36225</v>
      </c>
      <c r="L19" s="10">
        <f t="shared" si="10"/>
        <v>114.36225</v>
      </c>
      <c r="M19" s="10">
        <f t="shared" si="10"/>
        <v>114.36225</v>
      </c>
      <c r="N19" s="10">
        <f t="shared" si="10"/>
        <v>114.36225</v>
      </c>
      <c r="O19" s="10">
        <f t="shared" si="10"/>
        <v>114.36225</v>
      </c>
      <c r="P19" s="10">
        <f t="shared" si="10"/>
        <v>114.36225</v>
      </c>
      <c r="Q19" s="10">
        <f t="shared" si="10"/>
        <v>114.36225</v>
      </c>
      <c r="R19" s="10">
        <f t="shared" si="10"/>
        <v>114.36225</v>
      </c>
      <c r="S19" s="10">
        <f t="shared" si="10"/>
        <v>114.36225</v>
      </c>
      <c r="T19" s="10">
        <f t="shared" si="10"/>
        <v>114.36225</v>
      </c>
      <c r="U19" s="10">
        <f t="shared" si="10"/>
        <v>114.36225</v>
      </c>
      <c r="V19" s="10">
        <f t="shared" si="10"/>
        <v>114.36225</v>
      </c>
      <c r="W19" s="10">
        <f t="shared" si="10"/>
        <v>114.36225</v>
      </c>
      <c r="X19" s="10">
        <f t="shared" si="10"/>
        <v>114.36225</v>
      </c>
      <c r="Y19" s="10">
        <f t="shared" si="10"/>
        <v>114.36225</v>
      </c>
      <c r="Z19" s="10">
        <f t="shared" si="10"/>
        <v>114.36225</v>
      </c>
      <c r="AA19" s="10">
        <f t="shared" si="10"/>
        <v>114.36225</v>
      </c>
      <c r="AB19" s="10">
        <f t="shared" si="10"/>
        <v>114.36225</v>
      </c>
      <c r="AC19" s="10">
        <f t="shared" si="10"/>
        <v>114.36225</v>
      </c>
      <c r="AD19" s="10">
        <f t="shared" si="10"/>
        <v>114.36225</v>
      </c>
      <c r="AE19" s="10">
        <f t="shared" si="10"/>
        <v>114.36225</v>
      </c>
      <c r="AF19" s="10">
        <f t="shared" si="10"/>
        <v>114.36225</v>
      </c>
      <c r="AG19" s="10">
        <f t="shared" si="10"/>
        <v>114.36225</v>
      </c>
      <c r="AH19" s="10">
        <f t="shared" si="10"/>
        <v>114.36225</v>
      </c>
      <c r="AI19" s="10">
        <f t="shared" si="10"/>
        <v>114.36225</v>
      </c>
      <c r="AJ19" s="10">
        <f t="shared" si="10"/>
        <v>114.36225</v>
      </c>
      <c r="AK19" s="10">
        <f t="shared" si="10"/>
        <v>114.36225</v>
      </c>
      <c r="AL19" s="10">
        <f t="shared" si="10"/>
        <v>114.36225</v>
      </c>
      <c r="AM19" s="10">
        <f t="shared" si="10"/>
        <v>114.36225</v>
      </c>
      <c r="AN19" s="10">
        <f t="shared" si="10"/>
        <v>114.36225</v>
      </c>
      <c r="AO19" s="10">
        <f t="shared" si="10"/>
        <v>114.36225</v>
      </c>
      <c r="AP19" s="10">
        <f t="shared" si="10"/>
        <v>114.36225</v>
      </c>
      <c r="AQ19" s="10">
        <f t="shared" si="10"/>
        <v>114.36225</v>
      </c>
      <c r="AR19" s="10">
        <f t="shared" si="10"/>
        <v>114.36225</v>
      </c>
      <c r="AS19" s="10">
        <f t="shared" si="10"/>
        <v>114.36225</v>
      </c>
      <c r="AT19" s="10">
        <f t="shared" si="10"/>
        <v>114.36225</v>
      </c>
      <c r="AU19" s="10">
        <f t="shared" si="10"/>
        <v>114.36225</v>
      </c>
      <c r="AV19" s="10">
        <f t="shared" si="10"/>
        <v>114.36225</v>
      </c>
      <c r="AW19" s="10">
        <f t="shared" si="10"/>
        <v>114.36225</v>
      </c>
      <c r="AX19" s="10">
        <f t="shared" si="10"/>
        <v>114.36225</v>
      </c>
      <c r="AY19" s="10">
        <f t="shared" si="10"/>
        <v>114.36225</v>
      </c>
      <c r="AZ19" s="10">
        <f t="shared" si="10"/>
        <v>114.36225</v>
      </c>
      <c r="BA19" s="283">
        <f t="shared" si="10"/>
        <v>114.36225</v>
      </c>
    </row>
    <row r="20" spans="2:53" ht="15.75" thickBot="1">
      <c r="B20" s="481" t="s">
        <v>258</v>
      </c>
      <c r="C20" s="482"/>
      <c r="D20" s="284">
        <f>D18</f>
        <v>1372.347</v>
      </c>
      <c r="E20" s="284">
        <f t="shared" ref="E20:AJ20" si="11">D20+E18</f>
        <v>2744.694</v>
      </c>
      <c r="F20" s="284">
        <f t="shared" si="11"/>
        <v>4117.0410000000002</v>
      </c>
      <c r="G20" s="284">
        <f t="shared" si="11"/>
        <v>5489.3879999999999</v>
      </c>
      <c r="H20" s="284">
        <f t="shared" si="11"/>
        <v>6861.7349999999997</v>
      </c>
      <c r="I20" s="284">
        <f t="shared" si="11"/>
        <v>8234.0820000000003</v>
      </c>
      <c r="J20" s="284">
        <f t="shared" si="11"/>
        <v>9606.4290000000001</v>
      </c>
      <c r="K20" s="284">
        <f t="shared" si="11"/>
        <v>10978.776</v>
      </c>
      <c r="L20" s="284">
        <f t="shared" si="11"/>
        <v>12351.123</v>
      </c>
      <c r="M20" s="284">
        <f t="shared" si="11"/>
        <v>13723.47</v>
      </c>
      <c r="N20" s="284">
        <f t="shared" si="11"/>
        <v>15095.816999999999</v>
      </c>
      <c r="O20" s="284">
        <f t="shared" si="11"/>
        <v>16468.164000000001</v>
      </c>
      <c r="P20" s="284">
        <f t="shared" si="11"/>
        <v>17840.511000000002</v>
      </c>
      <c r="Q20" s="284">
        <f t="shared" si="11"/>
        <v>19212.858000000004</v>
      </c>
      <c r="R20" s="284">
        <f t="shared" si="11"/>
        <v>20585.205000000005</v>
      </c>
      <c r="S20" s="284">
        <f t="shared" si="11"/>
        <v>21957.552000000007</v>
      </c>
      <c r="T20" s="284">
        <f t="shared" si="11"/>
        <v>23329.899000000009</v>
      </c>
      <c r="U20" s="284">
        <f t="shared" si="11"/>
        <v>24702.24600000001</v>
      </c>
      <c r="V20" s="284">
        <f t="shared" si="11"/>
        <v>26074.593000000012</v>
      </c>
      <c r="W20" s="284">
        <f t="shared" si="11"/>
        <v>27446.940000000013</v>
      </c>
      <c r="X20" s="284">
        <f t="shared" si="11"/>
        <v>28819.287000000015</v>
      </c>
      <c r="Y20" s="284">
        <f t="shared" si="11"/>
        <v>30191.634000000016</v>
      </c>
      <c r="Z20" s="284">
        <f t="shared" si="11"/>
        <v>31563.981000000018</v>
      </c>
      <c r="AA20" s="284">
        <f t="shared" si="11"/>
        <v>32936.328000000016</v>
      </c>
      <c r="AB20" s="284">
        <f t="shared" si="11"/>
        <v>34308.675000000017</v>
      </c>
      <c r="AC20" s="284">
        <f t="shared" si="11"/>
        <v>35681.022000000019</v>
      </c>
      <c r="AD20" s="284">
        <f t="shared" si="11"/>
        <v>37053.369000000021</v>
      </c>
      <c r="AE20" s="284">
        <f t="shared" si="11"/>
        <v>38425.716000000022</v>
      </c>
      <c r="AF20" s="284">
        <f t="shared" si="11"/>
        <v>39798.063000000024</v>
      </c>
      <c r="AG20" s="284">
        <f t="shared" si="11"/>
        <v>41170.410000000025</v>
      </c>
      <c r="AH20" s="284">
        <f t="shared" si="11"/>
        <v>42542.757000000027</v>
      </c>
      <c r="AI20" s="284">
        <f t="shared" si="11"/>
        <v>43915.104000000028</v>
      </c>
      <c r="AJ20" s="284">
        <f t="shared" si="11"/>
        <v>45287.45100000003</v>
      </c>
      <c r="AK20" s="284">
        <f t="shared" ref="AK20:BA20" si="12">AJ20+AK18</f>
        <v>46659.798000000032</v>
      </c>
      <c r="AL20" s="284">
        <f t="shared" si="12"/>
        <v>48032.145000000033</v>
      </c>
      <c r="AM20" s="284">
        <f t="shared" si="12"/>
        <v>49404.492000000035</v>
      </c>
      <c r="AN20" s="284">
        <f t="shared" si="12"/>
        <v>50776.839000000036</v>
      </c>
      <c r="AO20" s="284">
        <f t="shared" si="12"/>
        <v>52149.186000000038</v>
      </c>
      <c r="AP20" s="284">
        <f t="shared" si="12"/>
        <v>53521.533000000039</v>
      </c>
      <c r="AQ20" s="284">
        <f t="shared" si="12"/>
        <v>54893.880000000041</v>
      </c>
      <c r="AR20" s="284">
        <f t="shared" si="12"/>
        <v>56266.227000000043</v>
      </c>
      <c r="AS20" s="284">
        <f t="shared" si="12"/>
        <v>57638.574000000044</v>
      </c>
      <c r="AT20" s="284">
        <f t="shared" si="12"/>
        <v>59010.921000000046</v>
      </c>
      <c r="AU20" s="284">
        <f t="shared" si="12"/>
        <v>60383.268000000047</v>
      </c>
      <c r="AV20" s="284">
        <f t="shared" si="12"/>
        <v>61755.615000000049</v>
      </c>
      <c r="AW20" s="284">
        <f t="shared" si="12"/>
        <v>63127.96200000005</v>
      </c>
      <c r="AX20" s="284">
        <f t="shared" si="12"/>
        <v>64500.309000000052</v>
      </c>
      <c r="AY20" s="284">
        <f t="shared" si="12"/>
        <v>65872.656000000046</v>
      </c>
      <c r="AZ20" s="284">
        <f t="shared" si="12"/>
        <v>67245.003000000041</v>
      </c>
      <c r="BA20" s="285">
        <f t="shared" si="12"/>
        <v>68617.350000000035</v>
      </c>
    </row>
    <row r="21" spans="2:53" ht="15.75" thickBot="1">
      <c r="D21" s="36"/>
    </row>
    <row r="22" spans="2:53" ht="18" hidden="1" thickBot="1">
      <c r="B22" s="273" t="s">
        <v>262</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1" t="s">
        <v>266</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470</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472</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492" t="s">
        <v>266</v>
      </c>
      <c r="C34" s="49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3.7499999999999999E-2</v>
      </c>
      <c r="E39" s="39">
        <f t="shared" ref="E39:AJ39" si="26">IF(E38&lt;&gt;"",E38,D39)</f>
        <v>3.7499999999999999E-2</v>
      </c>
      <c r="F39" s="39">
        <f t="shared" si="26"/>
        <v>3.7499999999999999E-2</v>
      </c>
      <c r="G39" s="39">
        <f t="shared" si="26"/>
        <v>3.7499999999999999E-2</v>
      </c>
      <c r="H39" s="39">
        <f t="shared" si="26"/>
        <v>3.7499999999999999E-2</v>
      </c>
      <c r="I39" s="39">
        <f t="shared" si="26"/>
        <v>3.7499999999999999E-2</v>
      </c>
      <c r="J39" s="39">
        <f t="shared" si="26"/>
        <v>3.7499999999999999E-2</v>
      </c>
      <c r="K39" s="39">
        <f t="shared" si="26"/>
        <v>3.7499999999999999E-2</v>
      </c>
      <c r="L39" s="39">
        <f t="shared" si="26"/>
        <v>3.7499999999999999E-2</v>
      </c>
      <c r="M39" s="39">
        <f t="shared" si="26"/>
        <v>3.7499999999999999E-2</v>
      </c>
      <c r="N39" s="39">
        <f t="shared" si="26"/>
        <v>3.7499999999999999E-2</v>
      </c>
      <c r="O39" s="39">
        <f t="shared" si="26"/>
        <v>3.7499999999999999E-2</v>
      </c>
      <c r="P39" s="39">
        <f t="shared" si="26"/>
        <v>3.7499999999999999E-2</v>
      </c>
      <c r="Q39" s="39">
        <f t="shared" si="26"/>
        <v>3.7499999999999999E-2</v>
      </c>
      <c r="R39" s="39">
        <f t="shared" si="26"/>
        <v>3.7499999999999999E-2</v>
      </c>
      <c r="S39" s="39">
        <f t="shared" si="26"/>
        <v>3.7499999999999999E-2</v>
      </c>
      <c r="T39" s="39">
        <f t="shared" si="26"/>
        <v>3.7499999999999999E-2</v>
      </c>
      <c r="U39" s="39">
        <f t="shared" si="26"/>
        <v>3.7499999999999999E-2</v>
      </c>
      <c r="V39" s="39">
        <f t="shared" si="26"/>
        <v>3.7499999999999999E-2</v>
      </c>
      <c r="W39" s="39">
        <f t="shared" si="26"/>
        <v>3.7499999999999999E-2</v>
      </c>
      <c r="X39" s="39">
        <f t="shared" si="26"/>
        <v>3.7499999999999999E-2</v>
      </c>
      <c r="Y39" s="39">
        <f t="shared" si="26"/>
        <v>3.7499999999999999E-2</v>
      </c>
      <c r="Z39" s="39">
        <f t="shared" si="26"/>
        <v>3.7499999999999999E-2</v>
      </c>
      <c r="AA39" s="39">
        <f t="shared" si="26"/>
        <v>3.7499999999999999E-2</v>
      </c>
      <c r="AB39" s="39">
        <f t="shared" si="26"/>
        <v>3.7499999999999999E-2</v>
      </c>
      <c r="AC39" s="39">
        <f t="shared" si="26"/>
        <v>3.7499999999999999E-2</v>
      </c>
      <c r="AD39" s="39">
        <f t="shared" si="26"/>
        <v>3.7499999999999999E-2</v>
      </c>
      <c r="AE39" s="39">
        <f t="shared" si="26"/>
        <v>3.7499999999999999E-2</v>
      </c>
      <c r="AF39" s="39">
        <f t="shared" si="26"/>
        <v>3.7499999999999999E-2</v>
      </c>
      <c r="AG39" s="39">
        <f t="shared" si="26"/>
        <v>3.7499999999999999E-2</v>
      </c>
      <c r="AH39" s="39">
        <f t="shared" si="26"/>
        <v>3.7499999999999999E-2</v>
      </c>
      <c r="AI39" s="39">
        <f t="shared" si="26"/>
        <v>3.7499999999999999E-2</v>
      </c>
      <c r="AJ39" s="39">
        <f t="shared" si="26"/>
        <v>3.7499999999999999E-2</v>
      </c>
      <c r="AK39" s="39">
        <f t="shared" ref="AK39:BA39" si="27">IF(AK38&lt;&gt;"",AK38,AJ39)</f>
        <v>3.7499999999999999E-2</v>
      </c>
      <c r="AL39" s="39">
        <f t="shared" si="27"/>
        <v>3.7499999999999999E-2</v>
      </c>
      <c r="AM39" s="39">
        <f t="shared" si="27"/>
        <v>3.7499999999999999E-2</v>
      </c>
      <c r="AN39" s="39">
        <f t="shared" si="27"/>
        <v>3.7499999999999999E-2</v>
      </c>
      <c r="AO39" s="39">
        <f t="shared" si="27"/>
        <v>3.7499999999999999E-2</v>
      </c>
      <c r="AP39" s="39">
        <f t="shared" si="27"/>
        <v>3.7499999999999999E-2</v>
      </c>
      <c r="AQ39" s="39">
        <f t="shared" si="27"/>
        <v>3.7499999999999999E-2</v>
      </c>
      <c r="AR39" s="39">
        <f t="shared" si="27"/>
        <v>3.7499999999999999E-2</v>
      </c>
      <c r="AS39" s="39">
        <f t="shared" si="27"/>
        <v>3.7499999999999999E-2</v>
      </c>
      <c r="AT39" s="39">
        <f t="shared" si="27"/>
        <v>3.7499999999999999E-2</v>
      </c>
      <c r="AU39" s="39">
        <f t="shared" si="27"/>
        <v>3.7499999999999999E-2</v>
      </c>
      <c r="AV39" s="39">
        <f t="shared" si="27"/>
        <v>3.7499999999999999E-2</v>
      </c>
      <c r="AW39" s="39">
        <f t="shared" si="27"/>
        <v>3.7499999999999999E-2</v>
      </c>
      <c r="AX39" s="39">
        <f t="shared" si="27"/>
        <v>3.7499999999999999E-2</v>
      </c>
      <c r="AY39" s="39">
        <f t="shared" si="27"/>
        <v>3.7499999999999999E-2</v>
      </c>
      <c r="AZ39" s="39">
        <f t="shared" si="27"/>
        <v>3.7499999999999999E-2</v>
      </c>
      <c r="BA39" s="297">
        <f t="shared" si="27"/>
        <v>3.7499999999999999E-2</v>
      </c>
    </row>
    <row r="40" spans="2:53" ht="8.25" customHeight="1">
      <c r="B40" s="502"/>
      <c r="C40" s="503"/>
      <c r="I40" s="6"/>
      <c r="J40" s="6"/>
      <c r="K40" s="6"/>
      <c r="L40" s="6"/>
      <c r="BA40" s="302"/>
    </row>
    <row r="41" spans="2:53">
      <c r="B41" s="457" t="s">
        <v>42</v>
      </c>
      <c r="C41" s="458"/>
      <c r="D41" s="4">
        <f>Cockpit!N17</f>
        <v>111200</v>
      </c>
      <c r="E41" s="4">
        <f>D50</f>
        <v>107864</v>
      </c>
      <c r="F41" s="4">
        <f t="shared" ref="F41:M41" si="28">E50</f>
        <v>104402.9</v>
      </c>
      <c r="G41" s="4">
        <f t="shared" si="28"/>
        <v>100812.00874999999</v>
      </c>
      <c r="H41" s="4">
        <f t="shared" si="28"/>
        <v>97086.459078124986</v>
      </c>
      <c r="I41" s="4">
        <f t="shared" si="28"/>
        <v>93221.201293554666</v>
      </c>
      <c r="J41" s="4">
        <f t="shared" si="28"/>
        <v>89210.996342062965</v>
      </c>
      <c r="K41" s="4">
        <f t="shared" si="28"/>
        <v>85050.408704890331</v>
      </c>
      <c r="L41" s="4">
        <f t="shared" si="28"/>
        <v>80733.799031323724</v>
      </c>
      <c r="M41" s="4">
        <f t="shared" si="28"/>
        <v>76255.316494998362</v>
      </c>
      <c r="N41" s="4">
        <f t="shared" ref="N41:BA41" si="29">M50</f>
        <v>71608.890863560795</v>
      </c>
      <c r="O41" s="4">
        <f t="shared" si="29"/>
        <v>66788.224270944324</v>
      </c>
      <c r="P41" s="4">
        <f t="shared" si="29"/>
        <v>61786.782681104734</v>
      </c>
      <c r="Q41" s="4">
        <f t="shared" si="29"/>
        <v>56597.787031646163</v>
      </c>
      <c r="R41" s="4">
        <f t="shared" si="29"/>
        <v>51214.204045332895</v>
      </c>
      <c r="S41" s="4">
        <f t="shared" si="29"/>
        <v>45628.73669703288</v>
      </c>
      <c r="T41" s="4">
        <f t="shared" si="29"/>
        <v>39833.814323171609</v>
      </c>
      <c r="U41" s="4">
        <f t="shared" si="29"/>
        <v>33821.582360290544</v>
      </c>
      <c r="V41" s="4">
        <f t="shared" si="29"/>
        <v>27583.891698801439</v>
      </c>
      <c r="W41" s="4">
        <f t="shared" si="29"/>
        <v>21112.287637506492</v>
      </c>
      <c r="X41" s="4">
        <f t="shared" si="29"/>
        <v>14397.998423912984</v>
      </c>
      <c r="Y41" s="4">
        <f t="shared" si="29"/>
        <v>7431.9233648097215</v>
      </c>
      <c r="Z41" s="4">
        <f t="shared" si="29"/>
        <v>204.62049099008618</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4170</v>
      </c>
      <c r="E42" s="4">
        <f t="shared" si="30"/>
        <v>4044.8999999999996</v>
      </c>
      <c r="F42" s="4">
        <f t="shared" si="30"/>
        <v>3915.1087499999994</v>
      </c>
      <c r="G42" s="4">
        <f t="shared" si="30"/>
        <v>3780.4503281249995</v>
      </c>
      <c r="H42" s="4">
        <f t="shared" si="30"/>
        <v>3640.7422154296869</v>
      </c>
      <c r="I42" s="4">
        <f t="shared" si="30"/>
        <v>3495.7950485082997</v>
      </c>
      <c r="J42" s="4">
        <f t="shared" si="30"/>
        <v>3345.412362827361</v>
      </c>
      <c r="K42" s="4">
        <f t="shared" si="30"/>
        <v>3189.3903264333871</v>
      </c>
      <c r="L42" s="4">
        <f t="shared" si="30"/>
        <v>3027.5174636746397</v>
      </c>
      <c r="M42" s="4">
        <f t="shared" si="30"/>
        <v>2859.5743685624384</v>
      </c>
      <c r="N42" s="4">
        <f t="shared" si="30"/>
        <v>2685.3334073835299</v>
      </c>
      <c r="O42" s="4">
        <f t="shared" si="30"/>
        <v>2504.5584101604122</v>
      </c>
      <c r="P42" s="4">
        <f t="shared" si="30"/>
        <v>2317.0043505414274</v>
      </c>
      <c r="Q42" s="4">
        <f t="shared" si="30"/>
        <v>2122.417013686731</v>
      </c>
      <c r="R42" s="4">
        <f t="shared" si="30"/>
        <v>1920.5326516999835</v>
      </c>
      <c r="S42" s="4">
        <f t="shared" si="30"/>
        <v>1711.077626138733</v>
      </c>
      <c r="T42" s="4">
        <f t="shared" si="30"/>
        <v>1493.7680371189354</v>
      </c>
      <c r="U42" s="4">
        <f t="shared" si="30"/>
        <v>1268.3093385108953</v>
      </c>
      <c r="V42" s="4">
        <f t="shared" si="30"/>
        <v>1034.3959387050538</v>
      </c>
      <c r="W42" s="4">
        <f t="shared" si="30"/>
        <v>791.71078640649341</v>
      </c>
      <c r="X42" s="4">
        <f t="shared" si="30"/>
        <v>539.92494089673687</v>
      </c>
      <c r="Y42" s="4">
        <f t="shared" si="30"/>
        <v>278.69712618036453</v>
      </c>
      <c r="Z42" s="4">
        <f t="shared" si="30"/>
        <v>7.6732684121282313</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3336</v>
      </c>
      <c r="E45" s="4">
        <f t="shared" ref="E45:L45" si="32">MIN(D50,IF(E44&lt;&gt;"",E44,MAX(D48-E42,0)))</f>
        <v>3461.1000000000004</v>
      </c>
      <c r="F45" s="4">
        <f t="shared" si="32"/>
        <v>3590.8912500000006</v>
      </c>
      <c r="G45" s="4">
        <f t="shared" si="32"/>
        <v>3725.5496718750005</v>
      </c>
      <c r="H45" s="4">
        <f t="shared" si="32"/>
        <v>3865.2577845703131</v>
      </c>
      <c r="I45" s="4">
        <f t="shared" si="32"/>
        <v>4010.2049514917003</v>
      </c>
      <c r="J45" s="4">
        <f t="shared" si="32"/>
        <v>4160.587637172639</v>
      </c>
      <c r="K45" s="4">
        <f t="shared" si="32"/>
        <v>4316.6096735666124</v>
      </c>
      <c r="L45" s="4">
        <f t="shared" si="32"/>
        <v>4478.4825363253603</v>
      </c>
      <c r="M45" s="4">
        <f>MIN(L50,IF(M44&lt;&gt;"",M44,MAX(L48-M42,0)))</f>
        <v>4646.4256314375616</v>
      </c>
      <c r="N45" s="4">
        <f t="shared" ref="N45:AZ45" si="33">MIN(M50,IF(N44&lt;&gt;"",N44,MAX(M48-N42,0)))</f>
        <v>4820.6665926164696</v>
      </c>
      <c r="O45" s="4">
        <f t="shared" si="33"/>
        <v>5001.4415898395873</v>
      </c>
      <c r="P45" s="4">
        <f t="shared" si="33"/>
        <v>5188.9956494585731</v>
      </c>
      <c r="Q45" s="4">
        <f t="shared" si="33"/>
        <v>5383.5829863132694</v>
      </c>
      <c r="R45" s="4">
        <f t="shared" si="33"/>
        <v>5585.467348300017</v>
      </c>
      <c r="S45" s="4">
        <f t="shared" si="33"/>
        <v>5794.9223738612673</v>
      </c>
      <c r="T45" s="4">
        <f t="shared" si="33"/>
        <v>6012.2319628810646</v>
      </c>
      <c r="U45" s="4">
        <f t="shared" si="33"/>
        <v>6237.690661489105</v>
      </c>
      <c r="V45" s="4">
        <f t="shared" si="33"/>
        <v>6471.6040612949464</v>
      </c>
      <c r="W45" s="4">
        <f t="shared" si="33"/>
        <v>6714.2892135935062</v>
      </c>
      <c r="X45" s="4">
        <f t="shared" si="33"/>
        <v>6966.0750591032629</v>
      </c>
      <c r="Y45" s="4">
        <f t="shared" si="33"/>
        <v>7227.3028738196354</v>
      </c>
      <c r="Z45" s="4">
        <f t="shared" si="33"/>
        <v>204.62049099008618</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0.03</v>
      </c>
      <c r="E46" s="39">
        <f t="shared" ref="E46:BA46" si="34">IF(E41&gt;0,E45/E41,)</f>
        <v>3.2087628865979385E-2</v>
      </c>
      <c r="F46" s="39">
        <f t="shared" si="34"/>
        <v>3.4394554653175348E-2</v>
      </c>
      <c r="G46" s="39">
        <f t="shared" si="34"/>
        <v>3.6955415511200206E-2</v>
      </c>
      <c r="H46" s="39">
        <f t="shared" si="34"/>
        <v>3.9812532265286957E-2</v>
      </c>
      <c r="I46" s="39">
        <f t="shared" si="34"/>
        <v>4.3018164278569179E-2</v>
      </c>
      <c r="J46" s="39">
        <f t="shared" si="34"/>
        <v>4.6637609798904613E-2</v>
      </c>
      <c r="K46" s="39">
        <f t="shared" si="34"/>
        <v>5.0753544154555144E-2</v>
      </c>
      <c r="L46" s="39">
        <f t="shared" si="34"/>
        <v>5.5472213497444411E-2</v>
      </c>
      <c r="M46" s="39">
        <f t="shared" si="34"/>
        <v>6.0932481104347964E-2</v>
      </c>
      <c r="N46" s="39">
        <f t="shared" si="34"/>
        <v>6.7319386384596752E-2</v>
      </c>
      <c r="O46" s="39">
        <f t="shared" si="34"/>
        <v>7.4885081081807178E-2</v>
      </c>
      <c r="P46" s="39">
        <f t="shared" si="34"/>
        <v>8.3982292398038075E-2</v>
      </c>
      <c r="Q46" s="39">
        <f t="shared" si="34"/>
        <v>9.5120026217687378E-2</v>
      </c>
      <c r="R46" s="39">
        <f t="shared" si="34"/>
        <v>0.10906090316967477</v>
      </c>
      <c r="S46" s="39">
        <f t="shared" si="34"/>
        <v>0.12700159577808554</v>
      </c>
      <c r="T46" s="39">
        <f t="shared" si="34"/>
        <v>0.15093287110553474</v>
      </c>
      <c r="U46" s="39">
        <f t="shared" si="34"/>
        <v>0.18442929709914141</v>
      </c>
      <c r="V46" s="39">
        <f t="shared" si="34"/>
        <v>0.23461533752962593</v>
      </c>
      <c r="W46" s="39">
        <f t="shared" si="34"/>
        <v>0.31802755480014439</v>
      </c>
      <c r="X46" s="39">
        <f t="shared" si="34"/>
        <v>0.48382246295663039</v>
      </c>
      <c r="Y46" s="39">
        <f t="shared" si="34"/>
        <v>0.97246735724442912</v>
      </c>
      <c r="Z46" s="39">
        <f t="shared" si="34"/>
        <v>1</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2"/>
      <c r="C47" s="503"/>
      <c r="I47" s="6"/>
      <c r="J47" s="6"/>
      <c r="K47" s="6"/>
      <c r="L47" s="6"/>
      <c r="BA47" s="302"/>
    </row>
    <row r="48" spans="2:53">
      <c r="B48" s="457" t="s">
        <v>45</v>
      </c>
      <c r="C48" s="458"/>
      <c r="D48" s="4">
        <f t="shared" ref="D48:AI48" si="35">D42+D45</f>
        <v>7506</v>
      </c>
      <c r="E48" s="4">
        <f t="shared" si="35"/>
        <v>7506</v>
      </c>
      <c r="F48" s="4">
        <f t="shared" si="35"/>
        <v>7506</v>
      </c>
      <c r="G48" s="4">
        <f t="shared" si="35"/>
        <v>7506</v>
      </c>
      <c r="H48" s="4">
        <f t="shared" si="35"/>
        <v>7506</v>
      </c>
      <c r="I48" s="4">
        <f t="shared" si="35"/>
        <v>7506</v>
      </c>
      <c r="J48" s="4">
        <f t="shared" si="35"/>
        <v>7506</v>
      </c>
      <c r="K48" s="4">
        <f t="shared" si="35"/>
        <v>7506</v>
      </c>
      <c r="L48" s="4">
        <f t="shared" si="35"/>
        <v>7506</v>
      </c>
      <c r="M48" s="4">
        <f t="shared" si="35"/>
        <v>7506</v>
      </c>
      <c r="N48" s="4">
        <f t="shared" si="35"/>
        <v>7506</v>
      </c>
      <c r="O48" s="4">
        <f t="shared" si="35"/>
        <v>7506</v>
      </c>
      <c r="P48" s="4">
        <f t="shared" si="35"/>
        <v>7506</v>
      </c>
      <c r="Q48" s="4">
        <f t="shared" si="35"/>
        <v>7506</v>
      </c>
      <c r="R48" s="4">
        <f t="shared" si="35"/>
        <v>7506</v>
      </c>
      <c r="S48" s="4">
        <f t="shared" si="35"/>
        <v>7506</v>
      </c>
      <c r="T48" s="4">
        <f t="shared" si="35"/>
        <v>7506</v>
      </c>
      <c r="U48" s="4">
        <f t="shared" si="35"/>
        <v>7506</v>
      </c>
      <c r="V48" s="4">
        <f t="shared" si="35"/>
        <v>7506</v>
      </c>
      <c r="W48" s="4">
        <f t="shared" si="35"/>
        <v>7506</v>
      </c>
      <c r="X48" s="4">
        <f t="shared" si="35"/>
        <v>7506</v>
      </c>
      <c r="Y48" s="4">
        <f t="shared" si="35"/>
        <v>7506</v>
      </c>
      <c r="Z48" s="4">
        <f t="shared" si="35"/>
        <v>212.29375940221442</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107864</v>
      </c>
      <c r="E50" s="4">
        <f t="shared" si="37"/>
        <v>104402.9</v>
      </c>
      <c r="F50" s="4">
        <f t="shared" si="37"/>
        <v>100812.00874999999</v>
      </c>
      <c r="G50" s="4">
        <f t="shared" ref="G50" si="38">MAX(G41-G45-G49,0)</f>
        <v>97086.459078124986</v>
      </c>
      <c r="H50" s="4">
        <f t="shared" ref="H50" si="39">MAX(H41-H45-H49,0)</f>
        <v>93221.201293554666</v>
      </c>
      <c r="I50" s="4">
        <f t="shared" ref="I50" si="40">MAX(I41-I45-I49,0)</f>
        <v>89210.996342062965</v>
      </c>
      <c r="J50" s="4">
        <f t="shared" ref="J50" si="41">MAX(J41-J45-J49,0)</f>
        <v>85050.408704890331</v>
      </c>
      <c r="K50" s="4">
        <f t="shared" ref="K50" si="42">MAX(K41-K45-K49,0)</f>
        <v>80733.799031323724</v>
      </c>
      <c r="L50" s="4">
        <f t="shared" ref="L50" si="43">MAX(L41-L45-L49,0)</f>
        <v>76255.316494998362</v>
      </c>
      <c r="M50" s="4">
        <f t="shared" ref="M50" si="44">MAX(M41-M45-M49,0)</f>
        <v>71608.890863560795</v>
      </c>
      <c r="N50" s="4">
        <f t="shared" ref="N50" si="45">MAX(N41-N45-N49,0)</f>
        <v>66788.224270944324</v>
      </c>
      <c r="O50" s="4">
        <f t="shared" ref="O50" si="46">MAX(O41-O45-O49,0)</f>
        <v>61786.782681104734</v>
      </c>
      <c r="P50" s="4">
        <f t="shared" ref="P50" si="47">MAX(P41-P45-P49,0)</f>
        <v>56597.787031646163</v>
      </c>
      <c r="Q50" s="4">
        <f t="shared" ref="Q50" si="48">MAX(Q41-Q45-Q49,0)</f>
        <v>51214.204045332895</v>
      </c>
      <c r="R50" s="4">
        <f t="shared" ref="R50" si="49">MAX(R41-R45-R49,0)</f>
        <v>45628.73669703288</v>
      </c>
      <c r="S50" s="4">
        <f t="shared" ref="S50" si="50">MAX(S41-S45-S49,0)</f>
        <v>39833.814323171609</v>
      </c>
      <c r="T50" s="4">
        <f t="shared" ref="T50" si="51">MAX(T41-T45-T49,0)</f>
        <v>33821.582360290544</v>
      </c>
      <c r="U50" s="4">
        <f t="shared" ref="U50" si="52">MAX(U41-U45-U49,0)</f>
        <v>27583.891698801439</v>
      </c>
      <c r="V50" s="4">
        <f t="shared" ref="V50" si="53">MAX(V41-V45-V49,0)</f>
        <v>21112.287637506492</v>
      </c>
      <c r="W50" s="4">
        <f t="shared" ref="W50" si="54">MAX(W41-W45-W49,0)</f>
        <v>14397.998423912984</v>
      </c>
      <c r="X50" s="4">
        <f t="shared" ref="X50" si="55">MAX(X41-X45-X49,0)</f>
        <v>7431.9233648097215</v>
      </c>
      <c r="Y50" s="4">
        <f t="shared" ref="Y50" si="56">MAX(Y41-Y45-Y49,0)</f>
        <v>204.62049099008618</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48" t="s">
        <v>24</v>
      </c>
      <c r="C51" s="449"/>
      <c r="D51" s="298">
        <f>D48/12</f>
        <v>625.5</v>
      </c>
      <c r="E51" s="298">
        <f t="shared" ref="E51:BA51" si="85">E48/12</f>
        <v>625.5</v>
      </c>
      <c r="F51" s="298">
        <f t="shared" si="85"/>
        <v>625.5</v>
      </c>
      <c r="G51" s="298">
        <f t="shared" si="85"/>
        <v>625.5</v>
      </c>
      <c r="H51" s="298">
        <f t="shared" si="85"/>
        <v>625.5</v>
      </c>
      <c r="I51" s="298">
        <f t="shared" si="85"/>
        <v>625.5</v>
      </c>
      <c r="J51" s="298">
        <f t="shared" si="85"/>
        <v>625.5</v>
      </c>
      <c r="K51" s="298">
        <f t="shared" si="85"/>
        <v>625.5</v>
      </c>
      <c r="L51" s="298">
        <f t="shared" si="85"/>
        <v>625.5</v>
      </c>
      <c r="M51" s="298">
        <f t="shared" si="85"/>
        <v>625.5</v>
      </c>
      <c r="N51" s="298">
        <f t="shared" si="85"/>
        <v>625.5</v>
      </c>
      <c r="O51" s="298">
        <f t="shared" si="85"/>
        <v>625.5</v>
      </c>
      <c r="P51" s="298">
        <f t="shared" si="85"/>
        <v>625.5</v>
      </c>
      <c r="Q51" s="298">
        <f t="shared" si="85"/>
        <v>625.5</v>
      </c>
      <c r="R51" s="298">
        <f t="shared" si="85"/>
        <v>625.5</v>
      </c>
      <c r="S51" s="298">
        <f t="shared" si="85"/>
        <v>625.5</v>
      </c>
      <c r="T51" s="298">
        <f t="shared" si="85"/>
        <v>625.5</v>
      </c>
      <c r="U51" s="298">
        <f t="shared" si="85"/>
        <v>625.5</v>
      </c>
      <c r="V51" s="298">
        <f t="shared" si="85"/>
        <v>625.5</v>
      </c>
      <c r="W51" s="298">
        <f t="shared" si="85"/>
        <v>625.5</v>
      </c>
      <c r="X51" s="298">
        <f t="shared" si="85"/>
        <v>625.5</v>
      </c>
      <c r="Y51" s="298">
        <f t="shared" si="85"/>
        <v>625.5</v>
      </c>
      <c r="Z51" s="298">
        <f t="shared" si="85"/>
        <v>17.691146616851203</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245</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246</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249</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111200</v>
      </c>
      <c r="E106" s="291">
        <f t="shared" ref="E106:BA106" si="537">E41+E58+E75+E92</f>
        <v>107864</v>
      </c>
      <c r="F106" s="291">
        <f t="shared" si="537"/>
        <v>104402.9</v>
      </c>
      <c r="G106" s="291">
        <f t="shared" si="537"/>
        <v>100812.00874999999</v>
      </c>
      <c r="H106" s="291">
        <f t="shared" si="537"/>
        <v>97086.459078124986</v>
      </c>
      <c r="I106" s="291">
        <f t="shared" si="537"/>
        <v>93221.201293554666</v>
      </c>
      <c r="J106" s="291">
        <f t="shared" si="537"/>
        <v>89210.996342062965</v>
      </c>
      <c r="K106" s="291">
        <f t="shared" si="537"/>
        <v>85050.408704890331</v>
      </c>
      <c r="L106" s="291">
        <f t="shared" si="537"/>
        <v>80733.799031323724</v>
      </c>
      <c r="M106" s="291">
        <f t="shared" si="537"/>
        <v>76255.316494998362</v>
      </c>
      <c r="N106" s="291">
        <f t="shared" si="537"/>
        <v>71608.890863560795</v>
      </c>
      <c r="O106" s="291">
        <f t="shared" si="537"/>
        <v>66788.224270944324</v>
      </c>
      <c r="P106" s="291">
        <f t="shared" si="537"/>
        <v>61786.782681104734</v>
      </c>
      <c r="Q106" s="291">
        <f t="shared" si="537"/>
        <v>56597.787031646163</v>
      </c>
      <c r="R106" s="291">
        <f t="shared" si="537"/>
        <v>51214.204045332895</v>
      </c>
      <c r="S106" s="291">
        <f t="shared" si="537"/>
        <v>45628.73669703288</v>
      </c>
      <c r="T106" s="291">
        <f t="shared" si="537"/>
        <v>39833.814323171609</v>
      </c>
      <c r="U106" s="291">
        <f t="shared" si="537"/>
        <v>33821.582360290544</v>
      </c>
      <c r="V106" s="291">
        <f t="shared" si="537"/>
        <v>27583.891698801439</v>
      </c>
      <c r="W106" s="291">
        <f t="shared" si="537"/>
        <v>21112.287637506492</v>
      </c>
      <c r="X106" s="291">
        <f t="shared" si="537"/>
        <v>14397.998423912984</v>
      </c>
      <c r="Y106" s="291">
        <f t="shared" si="537"/>
        <v>7431.9233648097215</v>
      </c>
      <c r="Z106" s="291">
        <f t="shared" si="537"/>
        <v>204.62049099008618</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250</v>
      </c>
      <c r="C107" s="501"/>
      <c r="D107" s="43">
        <f>D41</f>
        <v>111200</v>
      </c>
      <c r="E107" s="43">
        <f t="shared" ref="E107:BA107" si="538">E41</f>
        <v>107864</v>
      </c>
      <c r="F107" s="43">
        <f t="shared" si="538"/>
        <v>104402.9</v>
      </c>
      <c r="G107" s="43">
        <f t="shared" si="538"/>
        <v>100812.00874999999</v>
      </c>
      <c r="H107" s="43">
        <f t="shared" si="538"/>
        <v>97086.459078124986</v>
      </c>
      <c r="I107" s="43">
        <f t="shared" si="538"/>
        <v>93221.201293554666</v>
      </c>
      <c r="J107" s="43">
        <f t="shared" si="538"/>
        <v>89210.996342062965</v>
      </c>
      <c r="K107" s="43">
        <f t="shared" si="538"/>
        <v>85050.408704890331</v>
      </c>
      <c r="L107" s="43">
        <f t="shared" si="538"/>
        <v>80733.799031323724</v>
      </c>
      <c r="M107" s="43">
        <f t="shared" si="538"/>
        <v>76255.316494998362</v>
      </c>
      <c r="N107" s="43">
        <f t="shared" si="538"/>
        <v>71608.890863560795</v>
      </c>
      <c r="O107" s="43">
        <f t="shared" si="538"/>
        <v>66788.224270944324</v>
      </c>
      <c r="P107" s="43">
        <f t="shared" si="538"/>
        <v>61786.782681104734</v>
      </c>
      <c r="Q107" s="43">
        <f t="shared" si="538"/>
        <v>56597.787031646163</v>
      </c>
      <c r="R107" s="43">
        <f t="shared" si="538"/>
        <v>51214.204045332895</v>
      </c>
      <c r="S107" s="43">
        <f t="shared" si="538"/>
        <v>45628.73669703288</v>
      </c>
      <c r="T107" s="43">
        <f t="shared" si="538"/>
        <v>39833.814323171609</v>
      </c>
      <c r="U107" s="43">
        <f t="shared" si="538"/>
        <v>33821.582360290544</v>
      </c>
      <c r="V107" s="43">
        <f t="shared" si="538"/>
        <v>27583.891698801439</v>
      </c>
      <c r="W107" s="43">
        <f t="shared" si="538"/>
        <v>21112.287637506492</v>
      </c>
      <c r="X107" s="43">
        <f t="shared" si="538"/>
        <v>14397.998423912984</v>
      </c>
      <c r="Y107" s="43">
        <f t="shared" si="538"/>
        <v>7431.9233648097215</v>
      </c>
      <c r="Z107" s="43">
        <f t="shared" si="538"/>
        <v>204.62049099008618</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251</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4170</v>
      </c>
      <c r="E110" s="4">
        <f t="shared" ref="E110:BA110" si="540">E42+E59+E76+E93</f>
        <v>4044.8999999999996</v>
      </c>
      <c r="F110" s="4">
        <f t="shared" si="540"/>
        <v>3915.1087499999994</v>
      </c>
      <c r="G110" s="4">
        <f t="shared" si="540"/>
        <v>3780.4503281249995</v>
      </c>
      <c r="H110" s="4">
        <f t="shared" si="540"/>
        <v>3640.7422154296869</v>
      </c>
      <c r="I110" s="4">
        <f t="shared" si="540"/>
        <v>3495.7950485082997</v>
      </c>
      <c r="J110" s="4">
        <f t="shared" si="540"/>
        <v>3345.412362827361</v>
      </c>
      <c r="K110" s="4">
        <f t="shared" si="540"/>
        <v>3189.3903264333871</v>
      </c>
      <c r="L110" s="4">
        <f t="shared" si="540"/>
        <v>3027.5174636746397</v>
      </c>
      <c r="M110" s="4">
        <f t="shared" si="540"/>
        <v>2859.5743685624384</v>
      </c>
      <c r="N110" s="4">
        <f t="shared" si="540"/>
        <v>2685.3334073835299</v>
      </c>
      <c r="O110" s="4">
        <f t="shared" si="540"/>
        <v>2504.5584101604122</v>
      </c>
      <c r="P110" s="4">
        <f t="shared" si="540"/>
        <v>2317.0043505414274</v>
      </c>
      <c r="Q110" s="4">
        <f t="shared" si="540"/>
        <v>2122.417013686731</v>
      </c>
      <c r="R110" s="4">
        <f t="shared" si="540"/>
        <v>1920.5326516999835</v>
      </c>
      <c r="S110" s="4">
        <f t="shared" si="540"/>
        <v>1711.077626138733</v>
      </c>
      <c r="T110" s="4">
        <f t="shared" si="540"/>
        <v>1493.7680371189354</v>
      </c>
      <c r="U110" s="4">
        <f t="shared" si="540"/>
        <v>1268.3093385108953</v>
      </c>
      <c r="V110" s="4">
        <f t="shared" si="540"/>
        <v>1034.3959387050538</v>
      </c>
      <c r="W110" s="4">
        <f t="shared" si="540"/>
        <v>791.71078640649341</v>
      </c>
      <c r="X110" s="4">
        <f t="shared" si="540"/>
        <v>539.92494089673687</v>
      </c>
      <c r="Y110" s="4">
        <f t="shared" si="540"/>
        <v>278.69712618036453</v>
      </c>
      <c r="Z110" s="4">
        <f t="shared" si="540"/>
        <v>7.6732684121282313</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4170</v>
      </c>
      <c r="E111" s="4">
        <f>D111+E110</f>
        <v>8214.9</v>
      </c>
      <c r="F111" s="4">
        <f t="shared" ref="F111:BA111" si="541">E111+F110</f>
        <v>12130.008749999999</v>
      </c>
      <c r="G111" s="4">
        <f t="shared" si="541"/>
        <v>15910.459078124999</v>
      </c>
      <c r="H111" s="4">
        <f t="shared" si="541"/>
        <v>19551.201293554685</v>
      </c>
      <c r="I111" s="4">
        <f t="shared" si="541"/>
        <v>23046.996342062983</v>
      </c>
      <c r="J111" s="4">
        <f t="shared" si="541"/>
        <v>26392.408704890346</v>
      </c>
      <c r="K111" s="4">
        <f t="shared" si="541"/>
        <v>29581.799031323731</v>
      </c>
      <c r="L111" s="4">
        <f t="shared" si="541"/>
        <v>32609.316494998369</v>
      </c>
      <c r="M111" s="4">
        <f t="shared" si="541"/>
        <v>35468.89086356081</v>
      </c>
      <c r="N111" s="4">
        <f t="shared" si="541"/>
        <v>38154.224270944338</v>
      </c>
      <c r="O111" s="4">
        <f t="shared" si="541"/>
        <v>40658.782681104749</v>
      </c>
      <c r="P111" s="4">
        <f t="shared" si="541"/>
        <v>42975.787031646178</v>
      </c>
      <c r="Q111" s="4">
        <f t="shared" si="541"/>
        <v>45098.20404533291</v>
      </c>
      <c r="R111" s="4">
        <f t="shared" si="541"/>
        <v>47018.736697032895</v>
      </c>
      <c r="S111" s="4">
        <f t="shared" si="541"/>
        <v>48729.814323171631</v>
      </c>
      <c r="T111" s="4">
        <f t="shared" si="541"/>
        <v>50223.582360290566</v>
      </c>
      <c r="U111" s="4">
        <f t="shared" si="541"/>
        <v>51491.891698801461</v>
      </c>
      <c r="V111" s="4">
        <f t="shared" si="541"/>
        <v>52526.287637506517</v>
      </c>
      <c r="W111" s="4">
        <f t="shared" si="541"/>
        <v>53317.998423913014</v>
      </c>
      <c r="X111" s="4">
        <f t="shared" si="541"/>
        <v>53857.923364809751</v>
      </c>
      <c r="Y111" s="4">
        <f t="shared" si="541"/>
        <v>54136.620490990113</v>
      </c>
      <c r="Z111" s="4">
        <f t="shared" si="541"/>
        <v>54144.293759402244</v>
      </c>
      <c r="AA111" s="4">
        <f t="shared" si="541"/>
        <v>54144.293759402244</v>
      </c>
      <c r="AB111" s="4">
        <f t="shared" si="541"/>
        <v>54144.293759402244</v>
      </c>
      <c r="AC111" s="4">
        <f t="shared" si="541"/>
        <v>54144.293759402244</v>
      </c>
      <c r="AD111" s="4">
        <f t="shared" si="541"/>
        <v>54144.293759402244</v>
      </c>
      <c r="AE111" s="4">
        <f t="shared" si="541"/>
        <v>54144.293759402244</v>
      </c>
      <c r="AF111" s="4">
        <f t="shared" si="541"/>
        <v>54144.293759402244</v>
      </c>
      <c r="AG111" s="4">
        <f t="shared" si="541"/>
        <v>54144.293759402244</v>
      </c>
      <c r="AH111" s="4">
        <f t="shared" si="541"/>
        <v>54144.293759402244</v>
      </c>
      <c r="AI111" s="4">
        <f t="shared" si="541"/>
        <v>54144.293759402244</v>
      </c>
      <c r="AJ111" s="4">
        <f t="shared" si="541"/>
        <v>54144.293759402244</v>
      </c>
      <c r="AK111" s="4">
        <f t="shared" si="541"/>
        <v>54144.293759402244</v>
      </c>
      <c r="AL111" s="4">
        <f t="shared" si="541"/>
        <v>54144.293759402244</v>
      </c>
      <c r="AM111" s="4">
        <f t="shared" si="541"/>
        <v>54144.293759402244</v>
      </c>
      <c r="AN111" s="4">
        <f t="shared" si="541"/>
        <v>54144.293759402244</v>
      </c>
      <c r="AO111" s="4">
        <f t="shared" si="541"/>
        <v>54144.293759402244</v>
      </c>
      <c r="AP111" s="4">
        <f t="shared" si="541"/>
        <v>54144.293759402244</v>
      </c>
      <c r="AQ111" s="4">
        <f t="shared" si="541"/>
        <v>54144.293759402244</v>
      </c>
      <c r="AR111" s="4">
        <f t="shared" si="541"/>
        <v>54144.293759402244</v>
      </c>
      <c r="AS111" s="4">
        <f t="shared" si="541"/>
        <v>54144.293759402244</v>
      </c>
      <c r="AT111" s="4">
        <f t="shared" si="541"/>
        <v>54144.293759402244</v>
      </c>
      <c r="AU111" s="4">
        <f t="shared" si="541"/>
        <v>54144.293759402244</v>
      </c>
      <c r="AV111" s="4">
        <f t="shared" si="541"/>
        <v>54144.293759402244</v>
      </c>
      <c r="AW111" s="4">
        <f t="shared" si="541"/>
        <v>54144.293759402244</v>
      </c>
      <c r="AX111" s="4">
        <f t="shared" si="541"/>
        <v>54144.293759402244</v>
      </c>
      <c r="AY111" s="4">
        <f t="shared" si="541"/>
        <v>54144.293759402244</v>
      </c>
      <c r="AZ111" s="4">
        <f t="shared" si="541"/>
        <v>54144.293759402244</v>
      </c>
      <c r="BA111" s="295">
        <f t="shared" si="541"/>
        <v>54144.293759402244</v>
      </c>
    </row>
    <row r="112" spans="1:53">
      <c r="B112" s="494" t="s">
        <v>50</v>
      </c>
      <c r="C112" s="495"/>
      <c r="D112" s="44">
        <f>IF(D106&gt;0,D110/D106,)</f>
        <v>3.7499999999999999E-2</v>
      </c>
      <c r="E112" s="44">
        <f t="shared" ref="E112:BA112" si="542">IF(E106&gt;0,E110/E106,)</f>
        <v>3.7499999999999999E-2</v>
      </c>
      <c r="F112" s="44">
        <f t="shared" si="542"/>
        <v>3.7499999999999999E-2</v>
      </c>
      <c r="G112" s="44">
        <f t="shared" si="542"/>
        <v>3.7499999999999999E-2</v>
      </c>
      <c r="H112" s="44">
        <f t="shared" si="542"/>
        <v>3.7499999999999999E-2</v>
      </c>
      <c r="I112" s="44">
        <f t="shared" si="542"/>
        <v>3.7499999999999999E-2</v>
      </c>
      <c r="J112" s="44">
        <f t="shared" si="542"/>
        <v>3.7499999999999999E-2</v>
      </c>
      <c r="K112" s="44">
        <f t="shared" si="542"/>
        <v>3.7499999999999999E-2</v>
      </c>
      <c r="L112" s="44">
        <f t="shared" si="542"/>
        <v>3.7499999999999999E-2</v>
      </c>
      <c r="M112" s="44">
        <f t="shared" si="542"/>
        <v>3.7499999999999999E-2</v>
      </c>
      <c r="N112" s="44">
        <f t="shared" si="542"/>
        <v>3.7499999999999999E-2</v>
      </c>
      <c r="O112" s="44">
        <f t="shared" si="542"/>
        <v>3.7499999999999999E-2</v>
      </c>
      <c r="P112" s="44">
        <f t="shared" si="542"/>
        <v>3.7499999999999999E-2</v>
      </c>
      <c r="Q112" s="44">
        <f t="shared" si="542"/>
        <v>3.7499999999999999E-2</v>
      </c>
      <c r="R112" s="44">
        <f t="shared" si="542"/>
        <v>3.7499999999999999E-2</v>
      </c>
      <c r="S112" s="44">
        <f t="shared" si="542"/>
        <v>3.7499999999999999E-2</v>
      </c>
      <c r="T112" s="44">
        <f t="shared" si="542"/>
        <v>3.7499999999999999E-2</v>
      </c>
      <c r="U112" s="44">
        <f t="shared" si="542"/>
        <v>3.7499999999999999E-2</v>
      </c>
      <c r="V112" s="44">
        <f t="shared" si="542"/>
        <v>3.7499999999999992E-2</v>
      </c>
      <c r="W112" s="44">
        <f t="shared" si="542"/>
        <v>3.7499999999999999E-2</v>
      </c>
      <c r="X112" s="44">
        <f t="shared" si="542"/>
        <v>3.7499999999999999E-2</v>
      </c>
      <c r="Y112" s="44">
        <f t="shared" si="542"/>
        <v>3.7499999999999999E-2</v>
      </c>
      <c r="Z112" s="44">
        <f t="shared" si="542"/>
        <v>3.7499999999999999E-2</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3336</v>
      </c>
      <c r="E114" s="4">
        <f t="shared" ref="E114:BA114" si="543">E45+E62+E79+E96</f>
        <v>3461.1000000000004</v>
      </c>
      <c r="F114" s="4">
        <f t="shared" si="543"/>
        <v>3590.8912500000006</v>
      </c>
      <c r="G114" s="4">
        <f t="shared" si="543"/>
        <v>3725.5496718750005</v>
      </c>
      <c r="H114" s="4">
        <f t="shared" si="543"/>
        <v>3865.2577845703131</v>
      </c>
      <c r="I114" s="4">
        <f t="shared" si="543"/>
        <v>4010.2049514917003</v>
      </c>
      <c r="J114" s="4">
        <f t="shared" si="543"/>
        <v>4160.587637172639</v>
      </c>
      <c r="K114" s="4">
        <f t="shared" si="543"/>
        <v>4316.6096735666124</v>
      </c>
      <c r="L114" s="4">
        <f t="shared" si="543"/>
        <v>4478.4825363253603</v>
      </c>
      <c r="M114" s="4">
        <f t="shared" si="543"/>
        <v>4646.4256314375616</v>
      </c>
      <c r="N114" s="4">
        <f t="shared" si="543"/>
        <v>4820.6665926164696</v>
      </c>
      <c r="O114" s="4">
        <f t="shared" si="543"/>
        <v>5001.4415898395873</v>
      </c>
      <c r="P114" s="4">
        <f t="shared" si="543"/>
        <v>5188.9956494585731</v>
      </c>
      <c r="Q114" s="4">
        <f t="shared" si="543"/>
        <v>5383.5829863132694</v>
      </c>
      <c r="R114" s="4">
        <f t="shared" si="543"/>
        <v>5585.467348300017</v>
      </c>
      <c r="S114" s="4">
        <f t="shared" si="543"/>
        <v>5794.9223738612673</v>
      </c>
      <c r="T114" s="4">
        <f t="shared" si="543"/>
        <v>6012.2319628810646</v>
      </c>
      <c r="U114" s="4">
        <f t="shared" si="543"/>
        <v>6237.690661489105</v>
      </c>
      <c r="V114" s="4">
        <f t="shared" si="543"/>
        <v>6471.6040612949464</v>
      </c>
      <c r="W114" s="4">
        <f t="shared" si="543"/>
        <v>6714.2892135935062</v>
      </c>
      <c r="X114" s="4">
        <f t="shared" si="543"/>
        <v>6966.0750591032629</v>
      </c>
      <c r="Y114" s="4">
        <f t="shared" si="543"/>
        <v>7227.3028738196354</v>
      </c>
      <c r="Z114" s="4">
        <f t="shared" si="543"/>
        <v>204.62049099008618</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0.03</v>
      </c>
      <c r="E115" s="39">
        <f t="shared" ref="E115:BA115" si="544">IF(E106&gt;0,E114/E106,)</f>
        <v>3.2087628865979385E-2</v>
      </c>
      <c r="F115" s="39">
        <f t="shared" si="544"/>
        <v>3.4394554653175348E-2</v>
      </c>
      <c r="G115" s="39">
        <f t="shared" si="544"/>
        <v>3.6955415511200206E-2</v>
      </c>
      <c r="H115" s="39">
        <f t="shared" si="544"/>
        <v>3.9812532265286957E-2</v>
      </c>
      <c r="I115" s="39">
        <f t="shared" si="544"/>
        <v>4.3018164278569179E-2</v>
      </c>
      <c r="J115" s="39">
        <f t="shared" si="544"/>
        <v>4.6637609798904613E-2</v>
      </c>
      <c r="K115" s="39">
        <f t="shared" si="544"/>
        <v>5.0753544154555144E-2</v>
      </c>
      <c r="L115" s="39">
        <f t="shared" si="544"/>
        <v>5.5472213497444411E-2</v>
      </c>
      <c r="M115" s="39">
        <f t="shared" si="544"/>
        <v>6.0932481104347964E-2</v>
      </c>
      <c r="N115" s="39">
        <f t="shared" si="544"/>
        <v>6.7319386384596752E-2</v>
      </c>
      <c r="O115" s="39">
        <f t="shared" si="544"/>
        <v>7.4885081081807178E-2</v>
      </c>
      <c r="P115" s="39">
        <f t="shared" si="544"/>
        <v>8.3982292398038075E-2</v>
      </c>
      <c r="Q115" s="39">
        <f t="shared" si="544"/>
        <v>9.5120026217687378E-2</v>
      </c>
      <c r="R115" s="39">
        <f t="shared" si="544"/>
        <v>0.10906090316967477</v>
      </c>
      <c r="S115" s="39">
        <f t="shared" si="544"/>
        <v>0.12700159577808554</v>
      </c>
      <c r="T115" s="39">
        <f t="shared" si="544"/>
        <v>0.15093287110553474</v>
      </c>
      <c r="U115" s="39">
        <f t="shared" si="544"/>
        <v>0.18442929709914141</v>
      </c>
      <c r="V115" s="39">
        <f t="shared" si="544"/>
        <v>0.23461533752962593</v>
      </c>
      <c r="W115" s="39">
        <f t="shared" si="544"/>
        <v>0.31802755480014439</v>
      </c>
      <c r="X115" s="39">
        <f t="shared" si="544"/>
        <v>0.48382246295663039</v>
      </c>
      <c r="Y115" s="39">
        <f t="shared" si="544"/>
        <v>0.97246735724442912</v>
      </c>
      <c r="Z115" s="39">
        <f t="shared" si="544"/>
        <v>1</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7506</v>
      </c>
      <c r="E117" s="4">
        <f t="shared" ref="E117:BA117" si="545">E48+E65+E82+E99</f>
        <v>7506</v>
      </c>
      <c r="F117" s="4">
        <f t="shared" si="545"/>
        <v>7506</v>
      </c>
      <c r="G117" s="4">
        <f t="shared" si="545"/>
        <v>7506</v>
      </c>
      <c r="H117" s="4">
        <f t="shared" si="545"/>
        <v>7506</v>
      </c>
      <c r="I117" s="4">
        <f t="shared" si="545"/>
        <v>7506</v>
      </c>
      <c r="J117" s="4">
        <f t="shared" si="545"/>
        <v>7506</v>
      </c>
      <c r="K117" s="4">
        <f t="shared" si="545"/>
        <v>7506</v>
      </c>
      <c r="L117" s="4">
        <f t="shared" si="545"/>
        <v>7506</v>
      </c>
      <c r="M117" s="4">
        <f t="shared" si="545"/>
        <v>7506</v>
      </c>
      <c r="N117" s="4">
        <f t="shared" si="545"/>
        <v>7506</v>
      </c>
      <c r="O117" s="4">
        <f t="shared" si="545"/>
        <v>7506</v>
      </c>
      <c r="P117" s="4">
        <f t="shared" si="545"/>
        <v>7506</v>
      </c>
      <c r="Q117" s="4">
        <f t="shared" si="545"/>
        <v>7506</v>
      </c>
      <c r="R117" s="4">
        <f t="shared" si="545"/>
        <v>7506</v>
      </c>
      <c r="S117" s="4">
        <f t="shared" si="545"/>
        <v>7506</v>
      </c>
      <c r="T117" s="4">
        <f t="shared" si="545"/>
        <v>7506</v>
      </c>
      <c r="U117" s="4">
        <f t="shared" si="545"/>
        <v>7506</v>
      </c>
      <c r="V117" s="4">
        <f t="shared" si="545"/>
        <v>7506</v>
      </c>
      <c r="W117" s="4">
        <f t="shared" si="545"/>
        <v>7506</v>
      </c>
      <c r="X117" s="4">
        <f t="shared" si="545"/>
        <v>7506</v>
      </c>
      <c r="Y117" s="4">
        <f t="shared" si="545"/>
        <v>7506</v>
      </c>
      <c r="Z117" s="4">
        <f t="shared" si="545"/>
        <v>212.29375940221442</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107864</v>
      </c>
      <c r="E118" s="4">
        <f t="shared" ref="E118:BA118" si="546">E50+E67+E84+E101</f>
        <v>104402.9</v>
      </c>
      <c r="F118" s="4">
        <f t="shared" si="546"/>
        <v>100812.00874999999</v>
      </c>
      <c r="G118" s="4">
        <f t="shared" si="546"/>
        <v>97086.459078124986</v>
      </c>
      <c r="H118" s="4">
        <f t="shared" si="546"/>
        <v>93221.201293554666</v>
      </c>
      <c r="I118" s="4">
        <f t="shared" si="546"/>
        <v>89210.996342062965</v>
      </c>
      <c r="J118" s="4">
        <f t="shared" si="546"/>
        <v>85050.408704890331</v>
      </c>
      <c r="K118" s="4">
        <f t="shared" si="546"/>
        <v>80733.799031323724</v>
      </c>
      <c r="L118" s="4">
        <f t="shared" si="546"/>
        <v>76255.316494998362</v>
      </c>
      <c r="M118" s="4">
        <f t="shared" si="546"/>
        <v>71608.890863560795</v>
      </c>
      <c r="N118" s="4">
        <f t="shared" si="546"/>
        <v>66788.224270944324</v>
      </c>
      <c r="O118" s="4">
        <f t="shared" si="546"/>
        <v>61786.782681104734</v>
      </c>
      <c r="P118" s="4">
        <f t="shared" si="546"/>
        <v>56597.787031646163</v>
      </c>
      <c r="Q118" s="4">
        <f t="shared" si="546"/>
        <v>51214.204045332895</v>
      </c>
      <c r="R118" s="4">
        <f t="shared" si="546"/>
        <v>45628.73669703288</v>
      </c>
      <c r="S118" s="4">
        <f t="shared" si="546"/>
        <v>39833.814323171609</v>
      </c>
      <c r="T118" s="4">
        <f t="shared" si="546"/>
        <v>33821.582360290544</v>
      </c>
      <c r="U118" s="4">
        <f t="shared" si="546"/>
        <v>27583.891698801439</v>
      </c>
      <c r="V118" s="4">
        <f t="shared" si="546"/>
        <v>21112.287637506492</v>
      </c>
      <c r="W118" s="4">
        <f t="shared" si="546"/>
        <v>14397.998423912984</v>
      </c>
      <c r="X118" s="4">
        <f t="shared" si="546"/>
        <v>7431.9233648097215</v>
      </c>
      <c r="Y118" s="4">
        <f t="shared" si="546"/>
        <v>204.62049099008618</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48" t="s">
        <v>24</v>
      </c>
      <c r="C119" s="449"/>
      <c r="D119" s="298">
        <f>D51+D68+D85+D102</f>
        <v>625.5</v>
      </c>
      <c r="E119" s="298">
        <f t="shared" ref="E119:BA119" si="547">E51+E68+E85+E102</f>
        <v>625.5</v>
      </c>
      <c r="F119" s="298">
        <f t="shared" si="547"/>
        <v>625.5</v>
      </c>
      <c r="G119" s="298">
        <f t="shared" si="547"/>
        <v>625.5</v>
      </c>
      <c r="H119" s="298">
        <f t="shared" si="547"/>
        <v>625.5</v>
      </c>
      <c r="I119" s="298">
        <f t="shared" si="547"/>
        <v>625.5</v>
      </c>
      <c r="J119" s="298">
        <f t="shared" si="547"/>
        <v>625.5</v>
      </c>
      <c r="K119" s="298">
        <f t="shared" si="547"/>
        <v>625.5</v>
      </c>
      <c r="L119" s="298">
        <f t="shared" si="547"/>
        <v>625.5</v>
      </c>
      <c r="M119" s="298">
        <f t="shared" si="547"/>
        <v>625.5</v>
      </c>
      <c r="N119" s="298">
        <f t="shared" si="547"/>
        <v>625.5</v>
      </c>
      <c r="O119" s="298">
        <f t="shared" si="547"/>
        <v>625.5</v>
      </c>
      <c r="P119" s="298">
        <f t="shared" si="547"/>
        <v>625.5</v>
      </c>
      <c r="Q119" s="298">
        <f t="shared" si="547"/>
        <v>625.5</v>
      </c>
      <c r="R119" s="298">
        <f t="shared" si="547"/>
        <v>625.5</v>
      </c>
      <c r="S119" s="298">
        <f t="shared" si="547"/>
        <v>625.5</v>
      </c>
      <c r="T119" s="298">
        <f t="shared" si="547"/>
        <v>625.5</v>
      </c>
      <c r="U119" s="298">
        <f t="shared" si="547"/>
        <v>625.5</v>
      </c>
      <c r="V119" s="298">
        <f t="shared" si="547"/>
        <v>625.5</v>
      </c>
      <c r="W119" s="298">
        <f t="shared" si="547"/>
        <v>625.5</v>
      </c>
      <c r="X119" s="298">
        <f t="shared" si="547"/>
        <v>625.5</v>
      </c>
      <c r="Y119" s="298">
        <f t="shared" si="547"/>
        <v>625.5</v>
      </c>
      <c r="Z119" s="298">
        <f t="shared" si="547"/>
        <v>17.691146616851203</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372</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7" t="s">
        <v>351</v>
      </c>
      <c r="D1" s="427"/>
      <c r="E1" s="427"/>
      <c r="F1" s="427"/>
      <c r="G1" s="427"/>
      <c r="H1" s="272"/>
      <c r="I1" s="272"/>
      <c r="J1" s="272"/>
      <c r="K1" s="272"/>
      <c r="L1" s="272"/>
      <c r="M1" s="272"/>
      <c r="N1" s="272"/>
      <c r="O1" s="272"/>
      <c r="P1" s="464" t="s">
        <v>348</v>
      </c>
      <c r="Q1" s="464"/>
      <c r="R1" s="464"/>
      <c r="S1" s="464"/>
      <c r="T1" s="147"/>
      <c r="U1" s="147"/>
      <c r="V1" s="147"/>
      <c r="W1" s="427"/>
      <c r="X1" s="427"/>
      <c r="Z1" s="427"/>
      <c r="AA1" s="428"/>
    </row>
    <row r="2" spans="2:38" s="150" customFormat="1" ht="18">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5" customHeight="1">
      <c r="S4" s="5"/>
      <c r="T4" s="5"/>
      <c r="U4" s="5"/>
      <c r="V4" s="5"/>
    </row>
    <row r="5" spans="2:38" ht="8.25" customHeight="1"/>
    <row r="6" spans="2:38" ht="13.5" thickBot="1">
      <c r="B6" s="57" t="s">
        <v>284</v>
      </c>
      <c r="C6" s="57"/>
      <c r="R6" s="57"/>
      <c r="S6" s="57"/>
      <c r="U6" s="57" t="s">
        <v>284</v>
      </c>
    </row>
    <row r="7" spans="2:38" ht="15" customHeight="1" thickBot="1">
      <c r="B7" s="355">
        <v>5000</v>
      </c>
      <c r="C7" s="508" t="s">
        <v>369</v>
      </c>
      <c r="D7" s="504" t="s">
        <v>292</v>
      </c>
      <c r="E7" s="504" t="s">
        <v>370</v>
      </c>
      <c r="F7" s="504" t="s">
        <v>371</v>
      </c>
      <c r="G7" s="504" t="s">
        <v>283</v>
      </c>
      <c r="H7" s="504" t="s">
        <v>478</v>
      </c>
      <c r="I7" s="504" t="s">
        <v>79</v>
      </c>
      <c r="J7" s="504" t="s">
        <v>43</v>
      </c>
      <c r="K7" s="504" t="s">
        <v>44</v>
      </c>
      <c r="L7" s="504" t="s">
        <v>287</v>
      </c>
      <c r="M7" s="504" t="s">
        <v>289</v>
      </c>
      <c r="N7" s="504" t="s">
        <v>288</v>
      </c>
      <c r="O7" s="504" t="s">
        <v>101</v>
      </c>
      <c r="P7" s="511" t="s">
        <v>286</v>
      </c>
      <c r="R7" s="515" t="s">
        <v>1</v>
      </c>
      <c r="S7" s="504" t="s">
        <v>369</v>
      </c>
      <c r="T7" s="516" t="s">
        <v>292</v>
      </c>
      <c r="U7" s="356">
        <v>1E-3</v>
      </c>
      <c r="V7" s="508" t="s">
        <v>371</v>
      </c>
      <c r="W7" s="504" t="s">
        <v>283</v>
      </c>
      <c r="X7" s="504" t="s">
        <v>478</v>
      </c>
      <c r="Y7" s="504" t="s">
        <v>79</v>
      </c>
      <c r="Z7" s="504" t="s">
        <v>43</v>
      </c>
      <c r="AA7" s="504" t="s">
        <v>44</v>
      </c>
      <c r="AB7" s="504" t="s">
        <v>287</v>
      </c>
      <c r="AC7" s="504" t="s">
        <v>289</v>
      </c>
      <c r="AD7" s="504" t="s">
        <v>288</v>
      </c>
      <c r="AE7" s="504" t="s">
        <v>101</v>
      </c>
      <c r="AF7" s="511" t="s">
        <v>286</v>
      </c>
      <c r="AH7" s="506" t="s">
        <v>290</v>
      </c>
      <c r="AI7" s="520"/>
      <c r="AJ7" s="520"/>
      <c r="AK7" s="520"/>
      <c r="AL7" s="521"/>
    </row>
    <row r="8" spans="2:38" ht="15.75"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159000</v>
      </c>
      <c r="C9" s="317">
        <f t="shared" ref="C9:C17" si="0">$AL$10</f>
        <v>0.8</v>
      </c>
      <c r="D9" s="318">
        <f>B9*C9</f>
        <v>127200</v>
      </c>
      <c r="E9" s="319">
        <f t="shared" ref="E9:E17" si="1">$AL$11</f>
        <v>3.7499999999999999E-2</v>
      </c>
      <c r="F9" s="319">
        <f t="shared" ref="F9:F17" si="2">$AL$12</f>
        <v>0.03</v>
      </c>
      <c r="G9" s="318">
        <f t="shared" ref="G9:G17" si="3">$AL$13</f>
        <v>702</v>
      </c>
      <c r="H9" s="318">
        <f>G9+Cockpit!$K$9</f>
        <v>762</v>
      </c>
      <c r="I9" s="318">
        <f>-Cockpit!$K$12-Cockpit!$H$25*(Szenarien!G9-Szenarien!$AL$13)</f>
        <v>-145.36000000000001</v>
      </c>
      <c r="J9" s="318">
        <f>Cockpit!$Q$21-E9*(D9-$D13)/12</f>
        <v>-397.5</v>
      </c>
      <c r="K9" s="318">
        <f>Cockpit!$Q$22-F9*(D9-$D13)/12</f>
        <v>-318</v>
      </c>
      <c r="L9" s="318">
        <f>H9+I9+J9+K9</f>
        <v>-98.860000000000014</v>
      </c>
      <c r="M9" s="318">
        <f>Cockpit!$Q$29</f>
        <v>-90.000000000000014</v>
      </c>
      <c r="N9" s="318">
        <f>Cockpit!$Q$31-Cockpit!$H$20*Cockpit!$H$21*(1+Cockpit!$D$22)*(B9-$B13)/12</f>
        <v>-130.99725000000001</v>
      </c>
      <c r="O9" s="318">
        <f>(H9+J9+M9+N9)*Cockpit!$Q$33</f>
        <v>57.4011</v>
      </c>
      <c r="P9" s="320">
        <f t="shared" ref="P9:P12" si="4">L9-O9</f>
        <v>-156.2611</v>
      </c>
      <c r="R9" s="330">
        <f t="shared" ref="R9:R17" si="5">$AL$9</f>
        <v>139000</v>
      </c>
      <c r="S9" s="317">
        <f t="shared" ref="S9:S17" si="6">$AL$10</f>
        <v>0.8</v>
      </c>
      <c r="T9" s="318">
        <f>R9*S9</f>
        <v>111200</v>
      </c>
      <c r="U9" s="338">
        <f>U10+$U$7</f>
        <v>4.1500000000000002E-2</v>
      </c>
      <c r="V9" s="319">
        <f t="shared" ref="V9:V17" si="7">$AL$12</f>
        <v>0.03</v>
      </c>
      <c r="W9" s="318">
        <f t="shared" ref="W9:W17" si="8">$AL$13</f>
        <v>702</v>
      </c>
      <c r="X9" s="318">
        <f>W9+Cockpit!$K$9</f>
        <v>762</v>
      </c>
      <c r="Y9" s="318">
        <f>-Cockpit!$K$12-Cockpit!$H$25*(Szenarien!W9-Szenarien!$AL$13)</f>
        <v>-145.36000000000001</v>
      </c>
      <c r="Z9" s="318">
        <f>Cockpit!$Q$21-U9*(T9-$T$13)/12-(U9-$U$13)*$T$13/12</f>
        <v>-384.56666666666672</v>
      </c>
      <c r="AA9" s="318">
        <f>Cockpit!$Q$22-V9*(T9-$T$13)/12-(V9-$V$13)*$T$13/12</f>
        <v>-278</v>
      </c>
      <c r="AB9" s="318">
        <f>X9+Y9+Z9+AA9</f>
        <v>-45.926666666666733</v>
      </c>
      <c r="AC9" s="318">
        <f>Cockpit!$Q$29</f>
        <v>-90.000000000000014</v>
      </c>
      <c r="AD9" s="318">
        <f>Cockpit!$Q$31-Cockpit!$H$20*Cockpit!$H$21*(1+Cockpit!$D$22)*(R9-$R13)/12</f>
        <v>-114.36225</v>
      </c>
      <c r="AE9" s="318">
        <f>(X9+Z9+AC9+AD9)*Cockpit!$Q$33</f>
        <v>69.228433333333314</v>
      </c>
      <c r="AF9" s="320">
        <f t="shared" ref="AF9:AF12" si="9">AB9-AE9</f>
        <v>-115.15510000000005</v>
      </c>
      <c r="AH9" s="525" t="s">
        <v>1</v>
      </c>
      <c r="AI9" s="526"/>
      <c r="AJ9" s="526"/>
      <c r="AK9" s="527"/>
      <c r="AL9" s="351">
        <f>Cockpit!D14</f>
        <v>139000</v>
      </c>
    </row>
    <row r="10" spans="2:38">
      <c r="B10" s="321">
        <f>B11+$B$7</f>
        <v>154000</v>
      </c>
      <c r="C10" s="47">
        <f t="shared" si="0"/>
        <v>0.8</v>
      </c>
      <c r="D10" s="48">
        <f t="shared" ref="D10:D17" si="10">B10*C10</f>
        <v>123200</v>
      </c>
      <c r="E10" s="49">
        <f t="shared" si="1"/>
        <v>3.7499999999999999E-2</v>
      </c>
      <c r="F10" s="49">
        <f t="shared" si="2"/>
        <v>0.03</v>
      </c>
      <c r="G10" s="48">
        <f t="shared" si="3"/>
        <v>702</v>
      </c>
      <c r="H10" s="48">
        <f>G10+Cockpit!$K$9</f>
        <v>762</v>
      </c>
      <c r="I10" s="48">
        <f>-Cockpit!$K$12-Cockpit!$H$25*(Szenarien!G10-Szenarien!$AL$13)</f>
        <v>-145.36000000000001</v>
      </c>
      <c r="J10" s="48">
        <f>Cockpit!$Q$21-E10*(D10-$D13)/12</f>
        <v>-385</v>
      </c>
      <c r="K10" s="48">
        <f>Cockpit!$Q$22-F10*(D10-$D13)/12</f>
        <v>-308</v>
      </c>
      <c r="L10" s="48">
        <f t="shared" ref="L10:L17" si="11">H10+I10+J10+K10</f>
        <v>-76.360000000000014</v>
      </c>
      <c r="M10" s="48">
        <f>Cockpit!$Q$29</f>
        <v>-90.000000000000014</v>
      </c>
      <c r="N10" s="48">
        <f>Cockpit!$Q$31-Cockpit!$H$20*Cockpit!$H$21*(1+Cockpit!$D$22)*(B10-$B13)/12</f>
        <v>-126.8385</v>
      </c>
      <c r="O10" s="48">
        <f>(H10+J10+M10+N10)*Cockpit!$Q$33</f>
        <v>64.064599999999999</v>
      </c>
      <c r="P10" s="286">
        <f t="shared" si="4"/>
        <v>-140.4246</v>
      </c>
      <c r="R10" s="333">
        <f t="shared" si="5"/>
        <v>139000</v>
      </c>
      <c r="S10" s="47">
        <f t="shared" si="6"/>
        <v>0.8</v>
      </c>
      <c r="T10" s="48">
        <f t="shared" ref="T10:T17" si="12">R10*S10</f>
        <v>111200</v>
      </c>
      <c r="U10" s="129">
        <f>U11+$U$7</f>
        <v>4.0500000000000001E-2</v>
      </c>
      <c r="V10" s="49">
        <f t="shared" si="7"/>
        <v>0.03</v>
      </c>
      <c r="W10" s="48">
        <f t="shared" si="8"/>
        <v>702</v>
      </c>
      <c r="X10" s="48">
        <f>W10+Cockpit!$K$9</f>
        <v>762</v>
      </c>
      <c r="Y10" s="48">
        <f>-Cockpit!$K$12-Cockpit!$H$25*(Szenarien!W10-Szenarien!$AL$13)</f>
        <v>-145.36000000000001</v>
      </c>
      <c r="Z10" s="48">
        <f>Cockpit!$Q$21-U10*(T10-$T$13)/12-(U10-$U$13)*$T$13/12</f>
        <v>-375.3</v>
      </c>
      <c r="AA10" s="48">
        <f>Cockpit!$Q$22-V10*(T10-$T$13)/12-(V10-$V$13)*$T$13/12</f>
        <v>-278</v>
      </c>
      <c r="AB10" s="48">
        <f t="shared" ref="AB10:AB17" si="13">X10+Y10+Z10+AA10</f>
        <v>-36.660000000000025</v>
      </c>
      <c r="AC10" s="48">
        <f>Cockpit!$Q$29</f>
        <v>-90.000000000000014</v>
      </c>
      <c r="AD10" s="48">
        <f>Cockpit!$Q$31-Cockpit!$H$20*Cockpit!$H$21*(1+Cockpit!$D$22)*(R10-$R13)/12</f>
        <v>-114.36225</v>
      </c>
      <c r="AE10" s="48">
        <f>(X10+Z10+AC10+AD10)*Cockpit!$Q$33</f>
        <v>72.935099999999991</v>
      </c>
      <c r="AF10" s="286">
        <f t="shared" si="9"/>
        <v>-109.59510000000002</v>
      </c>
      <c r="AH10" s="528" t="s">
        <v>291</v>
      </c>
      <c r="AI10" s="529"/>
      <c r="AJ10" s="529"/>
      <c r="AK10" s="530"/>
      <c r="AL10" s="352">
        <f>Cockpit!N17/AL9</f>
        <v>0.8</v>
      </c>
    </row>
    <row r="11" spans="2:38">
      <c r="B11" s="321">
        <f>B12+$B$7</f>
        <v>149000</v>
      </c>
      <c r="C11" s="47">
        <f t="shared" si="0"/>
        <v>0.8</v>
      </c>
      <c r="D11" s="48">
        <f t="shared" si="10"/>
        <v>119200</v>
      </c>
      <c r="E11" s="49">
        <f t="shared" si="1"/>
        <v>3.7499999999999999E-2</v>
      </c>
      <c r="F11" s="49">
        <f t="shared" si="2"/>
        <v>0.03</v>
      </c>
      <c r="G11" s="48">
        <f t="shared" si="3"/>
        <v>702</v>
      </c>
      <c r="H11" s="48">
        <f>G11+Cockpit!$K$9</f>
        <v>762</v>
      </c>
      <c r="I11" s="48">
        <f>-Cockpit!$K$12-Cockpit!$H$25*(Szenarien!G11-Szenarien!$AL$13)</f>
        <v>-145.36000000000001</v>
      </c>
      <c r="J11" s="48">
        <f>Cockpit!$Q$21-E11*(D11-$D13)/12</f>
        <v>-372.5</v>
      </c>
      <c r="K11" s="48">
        <f>Cockpit!$Q$22-F11*(D11-$D13)/12</f>
        <v>-298</v>
      </c>
      <c r="L11" s="48">
        <f t="shared" si="11"/>
        <v>-53.860000000000014</v>
      </c>
      <c r="M11" s="48">
        <f>Cockpit!$Q$29</f>
        <v>-90.000000000000014</v>
      </c>
      <c r="N11" s="48">
        <f>Cockpit!$Q$31-Cockpit!$H$20*Cockpit!$H$21*(1+Cockpit!$D$22)*(B11-$B13)/12</f>
        <v>-122.67975</v>
      </c>
      <c r="O11" s="48">
        <f>(H11+J11+M11+N11)*Cockpit!$Q$33</f>
        <v>70.728099999999998</v>
      </c>
      <c r="P11" s="286">
        <f t="shared" si="4"/>
        <v>-124.58810000000001</v>
      </c>
      <c r="R11" s="333">
        <f t="shared" si="5"/>
        <v>139000</v>
      </c>
      <c r="S11" s="47">
        <f t="shared" si="6"/>
        <v>0.8</v>
      </c>
      <c r="T11" s="48">
        <f t="shared" si="12"/>
        <v>111200</v>
      </c>
      <c r="U11" s="129">
        <f>U12+$U$7</f>
        <v>3.95E-2</v>
      </c>
      <c r="V11" s="49">
        <f t="shared" si="7"/>
        <v>0.03</v>
      </c>
      <c r="W11" s="48">
        <f t="shared" si="8"/>
        <v>702</v>
      </c>
      <c r="X11" s="48">
        <f>W11+Cockpit!$K$9</f>
        <v>762</v>
      </c>
      <c r="Y11" s="48">
        <f>-Cockpit!$K$12-Cockpit!$H$25*(Szenarien!W11-Szenarien!$AL$13)</f>
        <v>-145.36000000000001</v>
      </c>
      <c r="Z11" s="48">
        <f>Cockpit!$Q$21-U11*(T11-$T$13)/12-(U11-$U$13)*$T$13/12</f>
        <v>-366.03333333333336</v>
      </c>
      <c r="AA11" s="48">
        <f>Cockpit!$Q$22-V11*(T11-$T$13)/12-(V11-$V$13)*$T$13/12</f>
        <v>-278</v>
      </c>
      <c r="AB11" s="48">
        <f t="shared" si="13"/>
        <v>-27.393333333333374</v>
      </c>
      <c r="AC11" s="48">
        <f>Cockpit!$Q$29</f>
        <v>-90.000000000000014</v>
      </c>
      <c r="AD11" s="48">
        <f>Cockpit!$Q$31-Cockpit!$H$20*Cockpit!$H$21*(1+Cockpit!$D$22)*(R11-$R13)/12</f>
        <v>-114.36225</v>
      </c>
      <c r="AE11" s="48">
        <f>(X11+Z11+AC11+AD11)*Cockpit!$Q$33</f>
        <v>76.641766666666655</v>
      </c>
      <c r="AF11" s="286">
        <f t="shared" si="9"/>
        <v>-104.03510000000003</v>
      </c>
      <c r="AH11" s="528" t="s">
        <v>343</v>
      </c>
      <c r="AI11" s="529"/>
      <c r="AJ11" s="529"/>
      <c r="AK11" s="530"/>
      <c r="AL11" s="353">
        <f>Cockpit!N18</f>
        <v>3.7499999999999999E-2</v>
      </c>
    </row>
    <row r="12" spans="2:38" ht="13.5" thickBot="1">
      <c r="B12" s="322">
        <f>B13+$B$7</f>
        <v>144000</v>
      </c>
      <c r="C12" s="50">
        <f t="shared" si="0"/>
        <v>0.8</v>
      </c>
      <c r="D12" s="51">
        <f t="shared" si="10"/>
        <v>115200</v>
      </c>
      <c r="E12" s="52">
        <f t="shared" si="1"/>
        <v>3.7499999999999999E-2</v>
      </c>
      <c r="F12" s="52">
        <f t="shared" si="2"/>
        <v>0.03</v>
      </c>
      <c r="G12" s="51">
        <f t="shared" si="3"/>
        <v>702</v>
      </c>
      <c r="H12" s="51">
        <f>G12+Cockpit!$K$9</f>
        <v>762</v>
      </c>
      <c r="I12" s="51">
        <f>-Cockpit!$K$12-Cockpit!$H$25*(Szenarien!G12-Szenarien!$AL$13)</f>
        <v>-145.36000000000001</v>
      </c>
      <c r="J12" s="51">
        <f>Cockpit!$Q$21-E12*(D12-$D13)/12</f>
        <v>-360</v>
      </c>
      <c r="K12" s="51">
        <f>Cockpit!$Q$22-F12*(D12-$D13)/12</f>
        <v>-288</v>
      </c>
      <c r="L12" s="51">
        <f t="shared" si="11"/>
        <v>-31.360000000000014</v>
      </c>
      <c r="M12" s="51">
        <f>Cockpit!$Q$29</f>
        <v>-90.000000000000014</v>
      </c>
      <c r="N12" s="51">
        <f>Cockpit!$Q$31-Cockpit!$H$20*Cockpit!$H$21*(1+Cockpit!$D$22)*(B12-$B13)/12</f>
        <v>-118.521</v>
      </c>
      <c r="O12" s="51">
        <f>(H12+J12+M12+N12)*Cockpit!$Q$33</f>
        <v>77.391599999999997</v>
      </c>
      <c r="P12" s="323">
        <f t="shared" si="4"/>
        <v>-108.75160000000001</v>
      </c>
      <c r="Q12" s="53"/>
      <c r="R12" s="334">
        <f t="shared" si="5"/>
        <v>139000</v>
      </c>
      <c r="S12" s="50">
        <f t="shared" si="6"/>
        <v>0.8</v>
      </c>
      <c r="T12" s="51">
        <f t="shared" si="12"/>
        <v>111200</v>
      </c>
      <c r="U12" s="130">
        <f>U13+$U$7</f>
        <v>3.85E-2</v>
      </c>
      <c r="V12" s="52">
        <f t="shared" si="7"/>
        <v>0.03</v>
      </c>
      <c r="W12" s="51">
        <f t="shared" si="8"/>
        <v>702</v>
      </c>
      <c r="X12" s="51">
        <f>W12+Cockpit!$K$9</f>
        <v>762</v>
      </c>
      <c r="Y12" s="51">
        <f>-Cockpit!$K$12-Cockpit!$H$25*(Szenarien!W12-Szenarien!$AL$13)</f>
        <v>-145.36000000000001</v>
      </c>
      <c r="Z12" s="51">
        <f>Cockpit!$Q$21-U12*(T12-$T$13)/12-(U12-$U$13)*$T$13/12</f>
        <v>-356.76666666666665</v>
      </c>
      <c r="AA12" s="51">
        <f>Cockpit!$Q$22-V12*(T12-$T$13)/12-(V12-$V$13)*$T$13/12</f>
        <v>-278</v>
      </c>
      <c r="AB12" s="51">
        <f t="shared" si="13"/>
        <v>-18.126666666666665</v>
      </c>
      <c r="AC12" s="51">
        <f>Cockpit!$Q$29</f>
        <v>-90.000000000000014</v>
      </c>
      <c r="AD12" s="51">
        <f>Cockpit!$Q$31-Cockpit!$H$20*Cockpit!$H$21*(1+Cockpit!$D$22)*(R12-$R13)/12</f>
        <v>-114.36225</v>
      </c>
      <c r="AE12" s="51">
        <f>(X12+Z12+AC12+AD12)*Cockpit!$Q$33</f>
        <v>80.348433333333332</v>
      </c>
      <c r="AF12" s="323">
        <f t="shared" si="9"/>
        <v>-98.475099999999998</v>
      </c>
      <c r="AH12" s="528" t="s">
        <v>344</v>
      </c>
      <c r="AI12" s="529"/>
      <c r="AJ12" s="529"/>
      <c r="AK12" s="530"/>
      <c r="AL12" s="353">
        <f>Cockpit!N19</f>
        <v>0.03</v>
      </c>
    </row>
    <row r="13" spans="2:38" ht="13.5" thickBot="1">
      <c r="B13" s="342">
        <f>$AL$9</f>
        <v>139000</v>
      </c>
      <c r="C13" s="343">
        <f t="shared" si="0"/>
        <v>0.8</v>
      </c>
      <c r="D13" s="344">
        <f t="shared" si="10"/>
        <v>111200</v>
      </c>
      <c r="E13" s="345">
        <f t="shared" si="1"/>
        <v>3.7499999999999999E-2</v>
      </c>
      <c r="F13" s="345">
        <f t="shared" si="2"/>
        <v>0.03</v>
      </c>
      <c r="G13" s="344">
        <f t="shared" si="3"/>
        <v>702</v>
      </c>
      <c r="H13" s="344">
        <f>G13+Cockpit!$K$9</f>
        <v>762</v>
      </c>
      <c r="I13" s="344">
        <f>-Cockpit!$K$12-Cockpit!$H$25*(Szenarien!G13-Szenarien!$AL$13)</f>
        <v>-145.36000000000001</v>
      </c>
      <c r="J13" s="344">
        <f>Cockpit!$Q$21-E13*(D13-$D13)/12</f>
        <v>-347.5</v>
      </c>
      <c r="K13" s="344">
        <f>Cockpit!$Q$22-F13*(D13-$D13)/12</f>
        <v>-278</v>
      </c>
      <c r="L13" s="344">
        <f t="shared" si="11"/>
        <v>-8.8600000000000136</v>
      </c>
      <c r="M13" s="344">
        <f>Cockpit!$Q$29</f>
        <v>-90.000000000000014</v>
      </c>
      <c r="N13" s="344">
        <f>Cockpit!$Q$31-Cockpit!$H$20*Cockpit!$H$21*(1+Cockpit!$D$22)*(B13-$B13)/12</f>
        <v>-114.36225</v>
      </c>
      <c r="O13" s="344">
        <f>(H13+J13+M13+N13)*Cockpit!$Q$33</f>
        <v>84.055099999999996</v>
      </c>
      <c r="P13" s="346">
        <f>L13-O13</f>
        <v>-92.91510000000001</v>
      </c>
      <c r="R13" s="347">
        <f t="shared" si="5"/>
        <v>139000</v>
      </c>
      <c r="S13" s="343">
        <f t="shared" si="6"/>
        <v>0.8</v>
      </c>
      <c r="T13" s="344">
        <f t="shared" si="12"/>
        <v>111200</v>
      </c>
      <c r="U13" s="348">
        <f>$AL$11</f>
        <v>3.7499999999999999E-2</v>
      </c>
      <c r="V13" s="345">
        <f t="shared" si="7"/>
        <v>0.03</v>
      </c>
      <c r="W13" s="344">
        <f t="shared" si="8"/>
        <v>702</v>
      </c>
      <c r="X13" s="344">
        <f>W13+Cockpit!$K$9</f>
        <v>762</v>
      </c>
      <c r="Y13" s="344">
        <f>-Cockpit!$K$12-Cockpit!$H$25*(Szenarien!W13-Szenarien!$AL$13)</f>
        <v>-145.36000000000001</v>
      </c>
      <c r="Z13" s="344">
        <f>Cockpit!$Q$21-U13*(T13-$T$13)/12-(U13-$U$13)*$T$13/12</f>
        <v>-347.5</v>
      </c>
      <c r="AA13" s="344">
        <f>Cockpit!$Q$22-V13*(T13-$T$13)/12-(V13-$V$13)*$T$13/12</f>
        <v>-278</v>
      </c>
      <c r="AB13" s="344">
        <f t="shared" si="13"/>
        <v>-8.8600000000000136</v>
      </c>
      <c r="AC13" s="344">
        <f>Cockpit!$Q$29</f>
        <v>-90.000000000000014</v>
      </c>
      <c r="AD13" s="344">
        <f>Cockpit!$Q$31-Cockpit!$H$20*Cockpit!$H$21*(1+Cockpit!$D$22)*(R13-$R13)/12</f>
        <v>-114.36225</v>
      </c>
      <c r="AE13" s="344">
        <f>(X13+Z13+AC13+AD13)*Cockpit!$Q$33</f>
        <v>84.055099999999996</v>
      </c>
      <c r="AF13" s="346">
        <f>AB13-AE13</f>
        <v>-92.91510000000001</v>
      </c>
      <c r="AH13" s="517" t="s">
        <v>78</v>
      </c>
      <c r="AI13" s="518"/>
      <c r="AJ13" s="518"/>
      <c r="AK13" s="519"/>
      <c r="AL13" s="354">
        <f>Cockpit!H15</f>
        <v>702</v>
      </c>
    </row>
    <row r="14" spans="2:38">
      <c r="B14" s="324">
        <f>B13-$B$7</f>
        <v>134000</v>
      </c>
      <c r="C14" s="54">
        <f t="shared" si="0"/>
        <v>0.8</v>
      </c>
      <c r="D14" s="55">
        <f t="shared" si="10"/>
        <v>107200</v>
      </c>
      <c r="E14" s="56">
        <f t="shared" si="1"/>
        <v>3.7499999999999999E-2</v>
      </c>
      <c r="F14" s="56">
        <f t="shared" si="2"/>
        <v>0.03</v>
      </c>
      <c r="G14" s="55">
        <f t="shared" si="3"/>
        <v>702</v>
      </c>
      <c r="H14" s="55">
        <f>G14+Cockpit!$K$9</f>
        <v>762</v>
      </c>
      <c r="I14" s="55">
        <f>-Cockpit!$K$12-Cockpit!$H$25*(Szenarien!G14-Szenarien!$AL$13)</f>
        <v>-145.36000000000001</v>
      </c>
      <c r="J14" s="55">
        <f>Cockpit!$Q$21-E14*(D14-$D13)/12</f>
        <v>-335</v>
      </c>
      <c r="K14" s="55">
        <f>Cockpit!$Q$22-F14*(D14-$D13)/12</f>
        <v>-268</v>
      </c>
      <c r="L14" s="55">
        <f t="shared" si="11"/>
        <v>13.639999999999986</v>
      </c>
      <c r="M14" s="55">
        <f>Cockpit!$Q$29</f>
        <v>-90.000000000000014</v>
      </c>
      <c r="N14" s="55">
        <f>Cockpit!$Q$31-Cockpit!$H$20*Cockpit!$H$21*(1+Cockpit!$D$22)*(B14-$B13)/12</f>
        <v>-110.20350000000001</v>
      </c>
      <c r="O14" s="55">
        <f>(H14+J14+M14+N14)*Cockpit!$Q$33</f>
        <v>90.718599999999995</v>
      </c>
      <c r="P14" s="325">
        <f t="shared" ref="P14:P17" si="14">L14-O14</f>
        <v>-77.078600000000009</v>
      </c>
      <c r="R14" s="335">
        <f t="shared" si="5"/>
        <v>139000</v>
      </c>
      <c r="S14" s="54">
        <f t="shared" si="6"/>
        <v>0.8</v>
      </c>
      <c r="T14" s="55">
        <f t="shared" si="12"/>
        <v>111200</v>
      </c>
      <c r="U14" s="131">
        <f>U13-$U$7</f>
        <v>3.6499999999999998E-2</v>
      </c>
      <c r="V14" s="56">
        <f t="shared" si="7"/>
        <v>0.03</v>
      </c>
      <c r="W14" s="55">
        <f t="shared" si="8"/>
        <v>702</v>
      </c>
      <c r="X14" s="55">
        <f>W14+Cockpit!$K$9</f>
        <v>762</v>
      </c>
      <c r="Y14" s="55">
        <f>-Cockpit!$K$12-Cockpit!$H$25*(Szenarien!W14-Szenarien!$AL$13)</f>
        <v>-145.36000000000001</v>
      </c>
      <c r="Z14" s="55">
        <f>Cockpit!$Q$21-U14*(T14-$T$13)/12-(U14-$U$13)*$T$13/12</f>
        <v>-338.23333333333335</v>
      </c>
      <c r="AA14" s="55">
        <f>Cockpit!$Q$22-V14*(T14-$T$13)/12-(V14-$V$13)*$T$13/12</f>
        <v>-278</v>
      </c>
      <c r="AB14" s="55">
        <f t="shared" si="13"/>
        <v>0.40666666666663787</v>
      </c>
      <c r="AC14" s="55">
        <f>Cockpit!$Q$29</f>
        <v>-90.000000000000014</v>
      </c>
      <c r="AD14" s="55">
        <f>Cockpit!$Q$31-Cockpit!$H$20*Cockpit!$H$21*(1+Cockpit!$D$22)*(R14-$R13)/12</f>
        <v>-114.36225</v>
      </c>
      <c r="AE14" s="55">
        <f>(X14+Z14+AC14+AD14)*Cockpit!$Q$33</f>
        <v>87.761766666666659</v>
      </c>
      <c r="AF14" s="325">
        <f t="shared" ref="AF14:AF17" si="15">AB14-AE14</f>
        <v>-87.355100000000022</v>
      </c>
    </row>
    <row r="15" spans="2:38">
      <c r="B15" s="321">
        <f>B14-$B$7</f>
        <v>129000</v>
      </c>
      <c r="C15" s="47">
        <f t="shared" si="0"/>
        <v>0.8</v>
      </c>
      <c r="D15" s="48">
        <f t="shared" si="10"/>
        <v>103200</v>
      </c>
      <c r="E15" s="49">
        <f t="shared" si="1"/>
        <v>3.7499999999999999E-2</v>
      </c>
      <c r="F15" s="49">
        <f t="shared" si="2"/>
        <v>0.03</v>
      </c>
      <c r="G15" s="48">
        <f t="shared" si="3"/>
        <v>702</v>
      </c>
      <c r="H15" s="48">
        <f>G15+Cockpit!$K$9</f>
        <v>762</v>
      </c>
      <c r="I15" s="48">
        <f>-Cockpit!$K$12-Cockpit!$H$25*(Szenarien!G15-Szenarien!$AL$13)</f>
        <v>-145.36000000000001</v>
      </c>
      <c r="J15" s="48">
        <f>Cockpit!$Q$21-E15*(D15-$D13)/12</f>
        <v>-322.5</v>
      </c>
      <c r="K15" s="48">
        <f>Cockpit!$Q$22-F15*(D15-$D13)/12</f>
        <v>-258</v>
      </c>
      <c r="L15" s="48">
        <f t="shared" si="11"/>
        <v>36.139999999999986</v>
      </c>
      <c r="M15" s="48">
        <f>Cockpit!$Q$29</f>
        <v>-90.000000000000014</v>
      </c>
      <c r="N15" s="48">
        <f>Cockpit!$Q$31-Cockpit!$H$20*Cockpit!$H$21*(1+Cockpit!$D$22)*(B15-$B13)/12</f>
        <v>-106.04475000000001</v>
      </c>
      <c r="O15" s="48">
        <f>(H15+J15+M15+N15)*Cockpit!$Q$33</f>
        <v>97.382099999999994</v>
      </c>
      <c r="P15" s="286">
        <f t="shared" si="14"/>
        <v>-61.242100000000008</v>
      </c>
      <c r="R15" s="333">
        <f t="shared" si="5"/>
        <v>139000</v>
      </c>
      <c r="S15" s="47">
        <f t="shared" si="6"/>
        <v>0.8</v>
      </c>
      <c r="T15" s="48">
        <f t="shared" si="12"/>
        <v>111200</v>
      </c>
      <c r="U15" s="129">
        <f>U14-$U$7</f>
        <v>3.5499999999999997E-2</v>
      </c>
      <c r="V15" s="49">
        <f t="shared" si="7"/>
        <v>0.03</v>
      </c>
      <c r="W15" s="48">
        <f t="shared" si="8"/>
        <v>702</v>
      </c>
      <c r="X15" s="48">
        <f>W15+Cockpit!$K$9</f>
        <v>762</v>
      </c>
      <c r="Y15" s="48">
        <f>-Cockpit!$K$12-Cockpit!$H$25*(Szenarien!W15-Szenarien!$AL$13)</f>
        <v>-145.36000000000001</v>
      </c>
      <c r="Z15" s="48">
        <f>Cockpit!$Q$21-U15*(T15-$T$13)/12-(U15-$U$13)*$T$13/12</f>
        <v>-328.96666666666664</v>
      </c>
      <c r="AA15" s="48">
        <f>Cockpit!$Q$22-V15*(T15-$T$13)/12-(V15-$V$13)*$T$13/12</f>
        <v>-278</v>
      </c>
      <c r="AB15" s="48">
        <f t="shared" si="13"/>
        <v>9.6733333333333462</v>
      </c>
      <c r="AC15" s="48">
        <f>Cockpit!$Q$29</f>
        <v>-90.000000000000014</v>
      </c>
      <c r="AD15" s="48">
        <f>Cockpit!$Q$31-Cockpit!$H$20*Cockpit!$H$21*(1+Cockpit!$D$22)*(R15-$R13)/12</f>
        <v>-114.36225</v>
      </c>
      <c r="AE15" s="48">
        <f>(X15+Z15+AC15+AD15)*Cockpit!$Q$33</f>
        <v>91.468433333333337</v>
      </c>
      <c r="AF15" s="286">
        <f t="shared" si="15"/>
        <v>-81.795099999999991</v>
      </c>
    </row>
    <row r="16" spans="2:38">
      <c r="B16" s="321">
        <f>B15-$B$7</f>
        <v>124000</v>
      </c>
      <c r="C16" s="47">
        <f t="shared" si="0"/>
        <v>0.8</v>
      </c>
      <c r="D16" s="48">
        <f t="shared" si="10"/>
        <v>99200</v>
      </c>
      <c r="E16" s="49">
        <f t="shared" si="1"/>
        <v>3.7499999999999999E-2</v>
      </c>
      <c r="F16" s="49">
        <f t="shared" si="2"/>
        <v>0.03</v>
      </c>
      <c r="G16" s="48">
        <f t="shared" si="3"/>
        <v>702</v>
      </c>
      <c r="H16" s="48">
        <f>G16+Cockpit!$K$9</f>
        <v>762</v>
      </c>
      <c r="I16" s="48">
        <f>-Cockpit!$K$12-Cockpit!$H$25*(Szenarien!G16-Szenarien!$AL$13)</f>
        <v>-145.36000000000001</v>
      </c>
      <c r="J16" s="48">
        <f>Cockpit!$Q$21-E16*(D16-$D13)/12</f>
        <v>-310</v>
      </c>
      <c r="K16" s="48">
        <f>Cockpit!$Q$22-F16*(D16-$D13)/12</f>
        <v>-248</v>
      </c>
      <c r="L16" s="48">
        <f t="shared" si="11"/>
        <v>58.639999999999986</v>
      </c>
      <c r="M16" s="48">
        <f>Cockpit!$Q$29</f>
        <v>-90.000000000000014</v>
      </c>
      <c r="N16" s="48">
        <f>Cockpit!$Q$31-Cockpit!$H$20*Cockpit!$H$21*(1+Cockpit!$D$22)*(B16-$B13)/12</f>
        <v>-101.88600000000001</v>
      </c>
      <c r="O16" s="48">
        <f>(H16+J16+M16+N16)*Cockpit!$Q$33</f>
        <v>104.04559999999999</v>
      </c>
      <c r="P16" s="286">
        <f t="shared" si="14"/>
        <v>-45.405600000000007</v>
      </c>
      <c r="R16" s="333">
        <f t="shared" si="5"/>
        <v>139000</v>
      </c>
      <c r="S16" s="47">
        <f t="shared" si="6"/>
        <v>0.8</v>
      </c>
      <c r="T16" s="48">
        <f t="shared" si="12"/>
        <v>111200</v>
      </c>
      <c r="U16" s="129">
        <f>U15-$U$7</f>
        <v>3.4499999999999996E-2</v>
      </c>
      <c r="V16" s="49">
        <f t="shared" si="7"/>
        <v>0.03</v>
      </c>
      <c r="W16" s="48">
        <f t="shared" si="8"/>
        <v>702</v>
      </c>
      <c r="X16" s="48">
        <f>W16+Cockpit!$K$9</f>
        <v>762</v>
      </c>
      <c r="Y16" s="48">
        <f>-Cockpit!$K$12-Cockpit!$H$25*(Szenarien!W16-Szenarien!$AL$13)</f>
        <v>-145.36000000000001</v>
      </c>
      <c r="Z16" s="48">
        <f>Cockpit!$Q$21-U16*(T16-$T$13)/12-(U16-$U$13)*$T$13/12</f>
        <v>-319.7</v>
      </c>
      <c r="AA16" s="48">
        <f>Cockpit!$Q$22-V16*(T16-$T$13)/12-(V16-$V$13)*$T$13/12</f>
        <v>-278</v>
      </c>
      <c r="AB16" s="48">
        <f t="shared" si="13"/>
        <v>18.939999999999998</v>
      </c>
      <c r="AC16" s="48">
        <f>Cockpit!$Q$29</f>
        <v>-90.000000000000014</v>
      </c>
      <c r="AD16" s="48">
        <f>Cockpit!$Q$31-Cockpit!$H$20*Cockpit!$H$21*(1+Cockpit!$D$22)*(R16-$R13)/12</f>
        <v>-114.36225</v>
      </c>
      <c r="AE16" s="48">
        <f>(X16+Z16+AC16+AD16)*Cockpit!$Q$33</f>
        <v>95.1751</v>
      </c>
      <c r="AF16" s="286">
        <f t="shared" si="15"/>
        <v>-76.235100000000003</v>
      </c>
    </row>
    <row r="17" spans="2:48" ht="13.5" thickBot="1">
      <c r="B17" s="326">
        <f>B16-$B$7</f>
        <v>119000</v>
      </c>
      <c r="C17" s="327">
        <f t="shared" si="0"/>
        <v>0.8</v>
      </c>
      <c r="D17" s="328">
        <f t="shared" si="10"/>
        <v>95200</v>
      </c>
      <c r="E17" s="329">
        <f t="shared" si="1"/>
        <v>3.7499999999999999E-2</v>
      </c>
      <c r="F17" s="329">
        <f t="shared" si="2"/>
        <v>0.03</v>
      </c>
      <c r="G17" s="328">
        <f t="shared" si="3"/>
        <v>702</v>
      </c>
      <c r="H17" s="328">
        <f>G17+Cockpit!$K$9</f>
        <v>762</v>
      </c>
      <c r="I17" s="328">
        <f>-Cockpit!$K$12-Cockpit!$H$25*(Szenarien!G17-Szenarien!$AL$13)</f>
        <v>-145.36000000000001</v>
      </c>
      <c r="J17" s="328">
        <f>Cockpit!$Q$21-E17*(D17-$D13)/12</f>
        <v>-297.5</v>
      </c>
      <c r="K17" s="328">
        <f>Cockpit!$Q$22-F17*(D17-$D13)/12</f>
        <v>-238</v>
      </c>
      <c r="L17" s="328">
        <f t="shared" si="11"/>
        <v>81.139999999999986</v>
      </c>
      <c r="M17" s="328">
        <f>Cockpit!$Q$29</f>
        <v>-90.000000000000014</v>
      </c>
      <c r="N17" s="328">
        <f>Cockpit!$Q$31-Cockpit!$H$20*Cockpit!$H$21*(1+Cockpit!$D$22)*(B17-$B13)/12</f>
        <v>-97.727249999999998</v>
      </c>
      <c r="O17" s="328">
        <f>(H17+J17+M17+N17)*Cockpit!$Q$33</f>
        <v>110.70909999999999</v>
      </c>
      <c r="P17" s="288">
        <f t="shared" si="14"/>
        <v>-29.569100000000006</v>
      </c>
      <c r="R17" s="336">
        <f t="shared" si="5"/>
        <v>139000</v>
      </c>
      <c r="S17" s="327">
        <f t="shared" si="6"/>
        <v>0.8</v>
      </c>
      <c r="T17" s="328">
        <f t="shared" si="12"/>
        <v>111200</v>
      </c>
      <c r="U17" s="339">
        <f>U16-$U$7</f>
        <v>3.3499999999999995E-2</v>
      </c>
      <c r="V17" s="329">
        <f t="shared" si="7"/>
        <v>0.03</v>
      </c>
      <c r="W17" s="328">
        <f t="shared" si="8"/>
        <v>702</v>
      </c>
      <c r="X17" s="328">
        <f>W17+Cockpit!$K$9</f>
        <v>762</v>
      </c>
      <c r="Y17" s="328">
        <f>-Cockpit!$K$12-Cockpit!$H$25*(Szenarien!W17-Szenarien!$AL$13)</f>
        <v>-145.36000000000001</v>
      </c>
      <c r="Z17" s="328">
        <f>Cockpit!$Q$21-U17*(T17-$T$13)/12-(U17-$U$13)*$T$13/12</f>
        <v>-310.43333333333328</v>
      </c>
      <c r="AA17" s="328">
        <f>Cockpit!$Q$22-V17*(T17-$T$13)/12-(V17-$V$13)*$T$13/12</f>
        <v>-278</v>
      </c>
      <c r="AB17" s="328">
        <f t="shared" si="13"/>
        <v>28.206666666666706</v>
      </c>
      <c r="AC17" s="328">
        <f>Cockpit!$Q$29</f>
        <v>-90.000000000000014</v>
      </c>
      <c r="AD17" s="328">
        <f>Cockpit!$Q$31-Cockpit!$H$20*Cockpit!$H$21*(1+Cockpit!$D$22)*(R17-$R13)/12</f>
        <v>-114.36225</v>
      </c>
      <c r="AE17" s="328">
        <f>(X17+Z17+AC17+AD17)*Cockpit!$Q$33</f>
        <v>98.881766666666692</v>
      </c>
      <c r="AF17" s="288">
        <f t="shared" si="15"/>
        <v>-70.675099999999986</v>
      </c>
    </row>
    <row r="20" spans="2:48" ht="13.5" thickBot="1">
      <c r="B20" s="57"/>
      <c r="C20" s="57" t="s">
        <v>284</v>
      </c>
      <c r="R20" s="57"/>
      <c r="S20" s="57"/>
      <c r="U20" s="57"/>
      <c r="V20" s="57" t="s">
        <v>284</v>
      </c>
      <c r="AH20" s="57"/>
      <c r="AI20" s="57"/>
      <c r="AK20" s="57"/>
      <c r="AL20" s="57"/>
      <c r="AM20" s="57" t="s">
        <v>284</v>
      </c>
    </row>
    <row r="21" spans="2:48" ht="12.75" customHeight="1" thickBot="1">
      <c r="B21" s="506" t="s">
        <v>1</v>
      </c>
      <c r="C21" s="357">
        <v>0.05</v>
      </c>
      <c r="D21" s="509" t="s">
        <v>292</v>
      </c>
      <c r="E21" s="504" t="s">
        <v>370</v>
      </c>
      <c r="F21" s="504" t="s">
        <v>371</v>
      </c>
      <c r="G21" s="504" t="s">
        <v>283</v>
      </c>
      <c r="H21" s="504" t="s">
        <v>478</v>
      </c>
      <c r="I21" s="504" t="s">
        <v>79</v>
      </c>
      <c r="J21" s="504" t="s">
        <v>43</v>
      </c>
      <c r="K21" s="504" t="s">
        <v>44</v>
      </c>
      <c r="L21" s="504" t="s">
        <v>287</v>
      </c>
      <c r="M21" s="504" t="s">
        <v>289</v>
      </c>
      <c r="N21" s="504" t="s">
        <v>288</v>
      </c>
      <c r="O21" s="504" t="s">
        <v>101</v>
      </c>
      <c r="P21" s="511" t="s">
        <v>286</v>
      </c>
      <c r="R21" s="515" t="s">
        <v>1</v>
      </c>
      <c r="S21" s="504" t="s">
        <v>369</v>
      </c>
      <c r="T21" s="504" t="s">
        <v>292</v>
      </c>
      <c r="U21" s="514" t="s">
        <v>370</v>
      </c>
      <c r="V21" s="356">
        <v>5.0000000000000001E-3</v>
      </c>
      <c r="W21" s="508" t="s">
        <v>283</v>
      </c>
      <c r="X21" s="513" t="s">
        <v>478</v>
      </c>
      <c r="Y21" s="513" t="s">
        <v>79</v>
      </c>
      <c r="Z21" s="513" t="s">
        <v>43</v>
      </c>
      <c r="AA21" s="513" t="s">
        <v>44</v>
      </c>
      <c r="AB21" s="513" t="s">
        <v>287</v>
      </c>
      <c r="AC21" s="513" t="s">
        <v>289</v>
      </c>
      <c r="AD21" s="513" t="s">
        <v>288</v>
      </c>
      <c r="AE21" s="513" t="s">
        <v>101</v>
      </c>
      <c r="AF21" s="511" t="s">
        <v>286</v>
      </c>
      <c r="AH21" s="515" t="s">
        <v>1</v>
      </c>
      <c r="AI21" s="504" t="s">
        <v>369</v>
      </c>
      <c r="AJ21" s="504" t="s">
        <v>292</v>
      </c>
      <c r="AK21" s="504" t="s">
        <v>370</v>
      </c>
      <c r="AL21" s="514" t="s">
        <v>371</v>
      </c>
      <c r="AM21" s="358">
        <v>20</v>
      </c>
      <c r="AN21" s="509" t="s">
        <v>478</v>
      </c>
      <c r="AO21" s="513" t="s">
        <v>79</v>
      </c>
      <c r="AP21" s="513" t="s">
        <v>43</v>
      </c>
      <c r="AQ21" s="513" t="s">
        <v>44</v>
      </c>
      <c r="AR21" s="513" t="s">
        <v>287</v>
      </c>
      <c r="AS21" s="513" t="s">
        <v>289</v>
      </c>
      <c r="AT21" s="513" t="s">
        <v>288</v>
      </c>
      <c r="AU21" s="513" t="s">
        <v>101</v>
      </c>
      <c r="AV21" s="511" t="s">
        <v>286</v>
      </c>
    </row>
    <row r="22" spans="2:48" ht="15.75" customHeight="1" thickBot="1">
      <c r="B22" s="507"/>
      <c r="C22" s="315" t="s">
        <v>285</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283</v>
      </c>
      <c r="AN22" s="510"/>
      <c r="AO22" s="510"/>
      <c r="AP22" s="510"/>
      <c r="AQ22" s="510"/>
      <c r="AR22" s="510"/>
      <c r="AS22" s="510"/>
      <c r="AT22" s="510"/>
      <c r="AU22" s="510"/>
      <c r="AV22" s="512"/>
    </row>
    <row r="23" spans="2:48">
      <c r="B23" s="330">
        <f t="shared" ref="B23:B31" si="16">$AL$9</f>
        <v>139000</v>
      </c>
      <c r="C23" s="331">
        <f>C24+$C$21</f>
        <v>1.0000000000000002</v>
      </c>
      <c r="D23" s="332">
        <f t="shared" ref="D23:D31" si="17">C23*B23</f>
        <v>139000.00000000003</v>
      </c>
      <c r="E23" s="319">
        <f t="shared" ref="E23:E31" si="18">$AL$11</f>
        <v>3.7499999999999999E-2</v>
      </c>
      <c r="F23" s="319">
        <f t="shared" ref="F23:F31" si="19">$AL$12</f>
        <v>0.03</v>
      </c>
      <c r="G23" s="318">
        <f t="shared" ref="G23:G31" si="20">$AL$13</f>
        <v>702</v>
      </c>
      <c r="H23" s="318">
        <f>G23+Cockpit!$K$9</f>
        <v>762</v>
      </c>
      <c r="I23" s="318">
        <f>-Cockpit!$K$12-Cockpit!$H$25*(Szenarien!G23-Szenarien!$AL$13)</f>
        <v>-145.36000000000001</v>
      </c>
      <c r="J23" s="318">
        <f>Cockpit!$Q$21-E23*(D23-$D27)/12</f>
        <v>-434.37500000000011</v>
      </c>
      <c r="K23" s="318">
        <f>Cockpit!$Q$22-F23*(D23-$D27)/12</f>
        <v>-347.50000000000006</v>
      </c>
      <c r="L23" s="318">
        <f>H23+I23+J23+K23</f>
        <v>-165.23500000000018</v>
      </c>
      <c r="M23" s="318">
        <f>Cockpit!$Q$29</f>
        <v>-90.000000000000014</v>
      </c>
      <c r="N23" s="318">
        <f>Cockpit!$Q$31-Cockpit!$H$20*Cockpit!$H$21*(1+Cockpit!$D$22)*(B23-$B27)/12</f>
        <v>-114.36225</v>
      </c>
      <c r="O23" s="318">
        <f>(H23+J23+M23+N23)*Cockpit!$Q$33</f>
        <v>49.305099999999953</v>
      </c>
      <c r="P23" s="320">
        <f t="shared" ref="P23:P26" si="21">L23-O23</f>
        <v>-214.54010000000014</v>
      </c>
      <c r="R23" s="330">
        <f t="shared" ref="R23:R31" si="22">$AL$9</f>
        <v>139000</v>
      </c>
      <c r="S23" s="317">
        <f t="shared" ref="S23:S31" si="23">$AL$10</f>
        <v>0.8</v>
      </c>
      <c r="T23" s="318">
        <f>R23*S23</f>
        <v>111200</v>
      </c>
      <c r="U23" s="319">
        <f t="shared" ref="U23:U31" si="24">$AL$11</f>
        <v>3.7499999999999999E-2</v>
      </c>
      <c r="V23" s="338">
        <f>V24+$V$21</f>
        <v>4.9999999999999989E-2</v>
      </c>
      <c r="W23" s="318">
        <f t="shared" ref="W23:W31" si="25">$AL$13</f>
        <v>702</v>
      </c>
      <c r="X23" s="318">
        <f>W23+Cockpit!$K$9</f>
        <v>762</v>
      </c>
      <c r="Y23" s="318">
        <f>-Cockpit!$K$12-Cockpit!$H$25*(Szenarien!W23-Szenarien!$AL$13)</f>
        <v>-145.36000000000001</v>
      </c>
      <c r="Z23" s="318">
        <f>Cockpit!$Q$21-U23*(T23-$T$13)/12-(U23-$U$13)*$T$13/12</f>
        <v>-347.5</v>
      </c>
      <c r="AA23" s="318">
        <f>Cockpit!$Q$22-V23*(T23-$T$13)/12-(V23-$V$13)*$T$13/12</f>
        <v>-463.33333333333326</v>
      </c>
      <c r="AB23" s="318">
        <f>X23+Y23+Z23+AA23</f>
        <v>-194.19333333333327</v>
      </c>
      <c r="AC23" s="318">
        <f>Cockpit!$Q$29</f>
        <v>-90.000000000000014</v>
      </c>
      <c r="AD23" s="318">
        <f>Cockpit!$Q$31-Cockpit!$H$20*Cockpit!$H$21*(1+Cockpit!$D$22)*(R23-$R27)/12</f>
        <v>-114.36225</v>
      </c>
      <c r="AE23" s="318">
        <f>(X23+Z23+AC23+AD23)*Cockpit!$Q$33</f>
        <v>84.055099999999996</v>
      </c>
      <c r="AF23" s="320">
        <f t="shared" ref="AF23:AF26" si="26">AB23-AE23</f>
        <v>-278.24843333333325</v>
      </c>
      <c r="AH23" s="330">
        <f t="shared" ref="AH23:AH31" si="27">$AL$9</f>
        <v>139000</v>
      </c>
      <c r="AI23" s="317">
        <f t="shared" ref="AI23:AI31" si="28">$AL$10</f>
        <v>0.8</v>
      </c>
      <c r="AJ23" s="318">
        <f>AH23*AI23</f>
        <v>111200</v>
      </c>
      <c r="AK23" s="319">
        <f t="shared" ref="AK23:AK31" si="29">$AL$11</f>
        <v>3.7499999999999999E-2</v>
      </c>
      <c r="AL23" s="319">
        <f t="shared" ref="AL23:AL31" si="30">$AL$12</f>
        <v>0.03</v>
      </c>
      <c r="AM23" s="340">
        <f>AM24+$AM$21</f>
        <v>782</v>
      </c>
      <c r="AN23" s="318">
        <f>AM23+Cockpit!$K$9</f>
        <v>842</v>
      </c>
      <c r="AO23" s="318">
        <f>-Cockpit!$K$12-Cockpit!$H$25*(Szenarien!AM23-Szenarien!$AL$13)</f>
        <v>-147.76000000000002</v>
      </c>
      <c r="AP23" s="318">
        <f>Cockpit!$Q$21-AK23*(AJ23-$T$13)/12-(AK23-$U$13)*$T$13/12</f>
        <v>-347.5</v>
      </c>
      <c r="AQ23" s="318">
        <f>Cockpit!$Q$22-AL23*(AJ23-$T$13)/12-(AL23-$V$13)*$T$13/12</f>
        <v>-278</v>
      </c>
      <c r="AR23" s="318">
        <f>AN23+AO23+AP23+AQ23</f>
        <v>68.740000000000009</v>
      </c>
      <c r="AS23" s="318">
        <f>Cockpit!$Q$29</f>
        <v>-90.000000000000014</v>
      </c>
      <c r="AT23" s="318">
        <f>Cockpit!$Q$31-Cockpit!$H$20*Cockpit!$H$21*(1+Cockpit!$D$22)*(AH23-$AH27)/12</f>
        <v>-114.36225</v>
      </c>
      <c r="AU23" s="318">
        <f>(AN23+AP23+AS23+AT23)*Cockpit!$Q$33</f>
        <v>116.0551</v>
      </c>
      <c r="AV23" s="320">
        <f t="shared" ref="AV23:AV26" si="31">AR23-AU23</f>
        <v>-47.315099999999987</v>
      </c>
    </row>
    <row r="24" spans="2:48">
      <c r="B24" s="333">
        <f t="shared" si="16"/>
        <v>139000</v>
      </c>
      <c r="C24" s="126">
        <f>C25+$C$21</f>
        <v>0.95000000000000018</v>
      </c>
      <c r="D24" s="51">
        <f t="shared" si="17"/>
        <v>132050.00000000003</v>
      </c>
      <c r="E24" s="49">
        <f t="shared" si="18"/>
        <v>3.7499999999999999E-2</v>
      </c>
      <c r="F24" s="49">
        <f t="shared" si="19"/>
        <v>0.03</v>
      </c>
      <c r="G24" s="48">
        <f t="shared" si="20"/>
        <v>702</v>
      </c>
      <c r="H24" s="48">
        <f>G24+Cockpit!$K$9</f>
        <v>762</v>
      </c>
      <c r="I24" s="48">
        <f>-Cockpit!$K$12-Cockpit!$H$25*(Szenarien!G24-Szenarien!$AL$13)</f>
        <v>-145.36000000000001</v>
      </c>
      <c r="J24" s="48">
        <f>Cockpit!$Q$21-E24*(D24-$D27)/12</f>
        <v>-412.65625000000011</v>
      </c>
      <c r="K24" s="48">
        <f>Cockpit!$Q$22-F24*(D24-$D27)/12</f>
        <v>-330.12500000000006</v>
      </c>
      <c r="L24" s="48">
        <f t="shared" ref="L24:L31" si="32">H24+I24+J24+K24</f>
        <v>-126.14125000000018</v>
      </c>
      <c r="M24" s="48">
        <f>Cockpit!$Q$29</f>
        <v>-90.000000000000014</v>
      </c>
      <c r="N24" s="48">
        <f>Cockpit!$Q$31-Cockpit!$H$20*Cockpit!$H$21*(1+Cockpit!$D$22)*(B24-$B27)/12</f>
        <v>-114.36225</v>
      </c>
      <c r="O24" s="48">
        <f>(H24+J24+M24+N24)*Cockpit!$Q$33</f>
        <v>57.992599999999953</v>
      </c>
      <c r="P24" s="286">
        <f t="shared" si="21"/>
        <v>-184.13385000000014</v>
      </c>
      <c r="R24" s="333">
        <f t="shared" si="22"/>
        <v>139000</v>
      </c>
      <c r="S24" s="47">
        <f t="shared" si="23"/>
        <v>0.8</v>
      </c>
      <c r="T24" s="48">
        <f t="shared" ref="T24:T31" si="33">R24*S24</f>
        <v>111200</v>
      </c>
      <c r="U24" s="49">
        <f t="shared" si="24"/>
        <v>3.7499999999999999E-2</v>
      </c>
      <c r="V24" s="129">
        <f>V25+$V$21</f>
        <v>4.4999999999999991E-2</v>
      </c>
      <c r="W24" s="48">
        <f t="shared" si="25"/>
        <v>702</v>
      </c>
      <c r="X24" s="48">
        <f>W24+Cockpit!$K$9</f>
        <v>762</v>
      </c>
      <c r="Y24" s="48">
        <f>-Cockpit!$K$12-Cockpit!$H$25*(Szenarien!W24-Szenarien!$AL$13)</f>
        <v>-145.36000000000001</v>
      </c>
      <c r="Z24" s="48">
        <f>Cockpit!$Q$21-U24*(T24-$T$13)/12-(U24-$U$13)*$T$13/12</f>
        <v>-347.5</v>
      </c>
      <c r="AA24" s="48">
        <f>Cockpit!$Q$22-V24*(T24-$T$13)/12-(V24-$V$13)*$T$13/12</f>
        <v>-416.99999999999989</v>
      </c>
      <c r="AB24" s="48">
        <f t="shared" ref="AB24:AB31" si="34">X24+Y24+Z24+AA24</f>
        <v>-147.8599999999999</v>
      </c>
      <c r="AC24" s="48">
        <f>Cockpit!$Q$29</f>
        <v>-90.000000000000014</v>
      </c>
      <c r="AD24" s="48">
        <f>Cockpit!$Q$31-Cockpit!$H$20*Cockpit!$H$21*(1+Cockpit!$D$22)*(R24-$R27)/12</f>
        <v>-114.36225</v>
      </c>
      <c r="AE24" s="48">
        <f>(X24+Z24+AC24+AD24)*Cockpit!$Q$33</f>
        <v>84.055099999999996</v>
      </c>
      <c r="AF24" s="286">
        <f t="shared" si="26"/>
        <v>-231.91509999999988</v>
      </c>
      <c r="AH24" s="333">
        <f t="shared" si="27"/>
        <v>139000</v>
      </c>
      <c r="AI24" s="47">
        <f t="shared" si="28"/>
        <v>0.8</v>
      </c>
      <c r="AJ24" s="48">
        <f t="shared" ref="AJ24:AJ31" si="35">AH24*AI24</f>
        <v>111200</v>
      </c>
      <c r="AK24" s="49">
        <f t="shared" si="29"/>
        <v>3.7499999999999999E-2</v>
      </c>
      <c r="AL24" s="49">
        <f t="shared" si="30"/>
        <v>0.03</v>
      </c>
      <c r="AM24" s="132">
        <f>AM25+$AM$21</f>
        <v>762</v>
      </c>
      <c r="AN24" s="48">
        <f>AM24+Cockpit!$K$9</f>
        <v>822</v>
      </c>
      <c r="AO24" s="48">
        <f>-Cockpit!$K$12-Cockpit!$H$25*(Szenarien!AM24-Szenarien!$AL$13)</f>
        <v>-147.16000000000003</v>
      </c>
      <c r="AP24" s="48">
        <f>Cockpit!$Q$21-AK24*(AJ24-$T$13)/12-(AK24-$U$13)*$T$13/12</f>
        <v>-347.5</v>
      </c>
      <c r="AQ24" s="48">
        <f>Cockpit!$Q$22-AL24*(AJ24-$T$13)/12-(AL24-$V$13)*$T$13/12</f>
        <v>-278</v>
      </c>
      <c r="AR24" s="48">
        <f t="shared" ref="AR24:AR31" si="36">AN24+AO24+AP24+AQ24</f>
        <v>49.339999999999918</v>
      </c>
      <c r="AS24" s="48">
        <f>Cockpit!$Q$29</f>
        <v>-90.000000000000014</v>
      </c>
      <c r="AT24" s="48">
        <f>Cockpit!$Q$31-Cockpit!$H$20*Cockpit!$H$21*(1+Cockpit!$D$22)*(AH24-$AH27)/12</f>
        <v>-114.36225</v>
      </c>
      <c r="AU24" s="48">
        <f>(AN24+AP24+AS24+AT24)*Cockpit!$Q$33</f>
        <v>108.0551</v>
      </c>
      <c r="AV24" s="286">
        <f t="shared" si="31"/>
        <v>-58.715100000000078</v>
      </c>
    </row>
    <row r="25" spans="2:48">
      <c r="B25" s="333">
        <f t="shared" si="16"/>
        <v>139000</v>
      </c>
      <c r="C25" s="126">
        <f>C26+$C$21</f>
        <v>0.90000000000000013</v>
      </c>
      <c r="D25" s="51">
        <f t="shared" si="17"/>
        <v>125100.00000000001</v>
      </c>
      <c r="E25" s="49">
        <f t="shared" si="18"/>
        <v>3.7499999999999999E-2</v>
      </c>
      <c r="F25" s="49">
        <f t="shared" si="19"/>
        <v>0.03</v>
      </c>
      <c r="G25" s="48">
        <f t="shared" si="20"/>
        <v>702</v>
      </c>
      <c r="H25" s="48">
        <f>G25+Cockpit!$K$9</f>
        <v>762</v>
      </c>
      <c r="I25" s="48">
        <f>-Cockpit!$K$12-Cockpit!$H$25*(Szenarien!G25-Szenarien!$AL$13)</f>
        <v>-145.36000000000001</v>
      </c>
      <c r="J25" s="48">
        <f>Cockpit!$Q$21-E25*(D25-$D27)/12</f>
        <v>-390.93750000000006</v>
      </c>
      <c r="K25" s="48">
        <f>Cockpit!$Q$22-F25*(D25-$D27)/12</f>
        <v>-312.75000000000006</v>
      </c>
      <c r="L25" s="48">
        <f t="shared" si="32"/>
        <v>-87.047500000000127</v>
      </c>
      <c r="M25" s="48">
        <f>Cockpit!$Q$29</f>
        <v>-90.000000000000014</v>
      </c>
      <c r="N25" s="48">
        <f>Cockpit!$Q$31-Cockpit!$H$20*Cockpit!$H$21*(1+Cockpit!$D$22)*(B25-$B27)/12</f>
        <v>-114.36225</v>
      </c>
      <c r="O25" s="48">
        <f>(H25+J25+M25+N25)*Cockpit!$Q$33</f>
        <v>66.680099999999968</v>
      </c>
      <c r="P25" s="286">
        <f t="shared" si="21"/>
        <v>-153.72760000000011</v>
      </c>
      <c r="R25" s="333">
        <f t="shared" si="22"/>
        <v>139000</v>
      </c>
      <c r="S25" s="47">
        <f t="shared" si="23"/>
        <v>0.8</v>
      </c>
      <c r="T25" s="48">
        <f t="shared" si="33"/>
        <v>111200</v>
      </c>
      <c r="U25" s="49">
        <f t="shared" si="24"/>
        <v>3.7499999999999999E-2</v>
      </c>
      <c r="V25" s="129">
        <f>V26+$V$21</f>
        <v>3.9999999999999994E-2</v>
      </c>
      <c r="W25" s="48">
        <f t="shared" si="25"/>
        <v>702</v>
      </c>
      <c r="X25" s="48">
        <f>W25+Cockpit!$K$9</f>
        <v>762</v>
      </c>
      <c r="Y25" s="48">
        <f>-Cockpit!$K$12-Cockpit!$H$25*(Szenarien!W25-Szenarien!$AL$13)</f>
        <v>-145.36000000000001</v>
      </c>
      <c r="Z25" s="48">
        <f>Cockpit!$Q$21-U25*(T25-$T$13)/12-(U25-$U$13)*$T$13/12</f>
        <v>-347.5</v>
      </c>
      <c r="AA25" s="48">
        <f>Cockpit!$Q$22-V25*(T25-$T$13)/12-(V25-$V$13)*$T$13/12</f>
        <v>-370.66666666666663</v>
      </c>
      <c r="AB25" s="48">
        <f t="shared" si="34"/>
        <v>-101.52666666666664</v>
      </c>
      <c r="AC25" s="48">
        <f>Cockpit!$Q$29</f>
        <v>-90.000000000000014</v>
      </c>
      <c r="AD25" s="48">
        <f>Cockpit!$Q$31-Cockpit!$H$20*Cockpit!$H$21*(1+Cockpit!$D$22)*(R25-$R27)/12</f>
        <v>-114.36225</v>
      </c>
      <c r="AE25" s="48">
        <f>(X25+Z25+AC25+AD25)*Cockpit!$Q$33</f>
        <v>84.055099999999996</v>
      </c>
      <c r="AF25" s="286">
        <f t="shared" si="26"/>
        <v>-185.58176666666662</v>
      </c>
      <c r="AH25" s="333">
        <f t="shared" si="27"/>
        <v>139000</v>
      </c>
      <c r="AI25" s="47">
        <f t="shared" si="28"/>
        <v>0.8</v>
      </c>
      <c r="AJ25" s="48">
        <f t="shared" si="35"/>
        <v>111200</v>
      </c>
      <c r="AK25" s="49">
        <f t="shared" si="29"/>
        <v>3.7499999999999999E-2</v>
      </c>
      <c r="AL25" s="49">
        <f t="shared" si="30"/>
        <v>0.03</v>
      </c>
      <c r="AM25" s="132">
        <f>AM26+$AM$21</f>
        <v>742</v>
      </c>
      <c r="AN25" s="48">
        <f>AM25+Cockpit!$K$9</f>
        <v>802</v>
      </c>
      <c r="AO25" s="48">
        <f>-Cockpit!$K$12-Cockpit!$H$25*(Szenarien!AM25-Szenarien!$AL$13)</f>
        <v>-146.56</v>
      </c>
      <c r="AP25" s="48">
        <f>Cockpit!$Q$21-AK25*(AJ25-$T$13)/12-(AK25-$U$13)*$T$13/12</f>
        <v>-347.5</v>
      </c>
      <c r="AQ25" s="48">
        <f>Cockpit!$Q$22-AL25*(AJ25-$T$13)/12-(AL25-$V$13)*$T$13/12</f>
        <v>-278</v>
      </c>
      <c r="AR25" s="48">
        <f t="shared" si="36"/>
        <v>29.940000000000055</v>
      </c>
      <c r="AS25" s="48">
        <f>Cockpit!$Q$29</f>
        <v>-90.000000000000014</v>
      </c>
      <c r="AT25" s="48">
        <f>Cockpit!$Q$31-Cockpit!$H$20*Cockpit!$H$21*(1+Cockpit!$D$22)*(AH25-$AH27)/12</f>
        <v>-114.36225</v>
      </c>
      <c r="AU25" s="48">
        <f>(AN25+AP25+AS25+AT25)*Cockpit!$Q$33</f>
        <v>100.0551</v>
      </c>
      <c r="AV25" s="286">
        <f t="shared" si="31"/>
        <v>-70.115099999999941</v>
      </c>
    </row>
    <row r="26" spans="2:48" ht="13.5" thickBot="1">
      <c r="B26" s="334">
        <f t="shared" si="16"/>
        <v>139000</v>
      </c>
      <c r="C26" s="126">
        <f>C27+$C$21</f>
        <v>0.85000000000000009</v>
      </c>
      <c r="D26" s="51">
        <f t="shared" si="17"/>
        <v>118150.00000000001</v>
      </c>
      <c r="E26" s="52">
        <f t="shared" si="18"/>
        <v>3.7499999999999999E-2</v>
      </c>
      <c r="F26" s="52">
        <f t="shared" si="19"/>
        <v>0.03</v>
      </c>
      <c r="G26" s="51">
        <f t="shared" si="20"/>
        <v>702</v>
      </c>
      <c r="H26" s="51">
        <f>G26+Cockpit!$K$9</f>
        <v>762</v>
      </c>
      <c r="I26" s="51">
        <f>-Cockpit!$K$12-Cockpit!$H$25*(Szenarien!G26-Szenarien!$AL$13)</f>
        <v>-145.36000000000001</v>
      </c>
      <c r="J26" s="51">
        <f>Cockpit!$Q$21-E26*(D26-$D27)/12</f>
        <v>-369.21875000000006</v>
      </c>
      <c r="K26" s="51">
        <f>Cockpit!$Q$22-F26*(D26-$D27)/12</f>
        <v>-295.37500000000006</v>
      </c>
      <c r="L26" s="51">
        <f t="shared" si="32"/>
        <v>-47.953750000000127</v>
      </c>
      <c r="M26" s="51">
        <f>Cockpit!$Q$29</f>
        <v>-90.000000000000014</v>
      </c>
      <c r="N26" s="51">
        <f>Cockpit!$Q$31-Cockpit!$H$20*Cockpit!$H$21*(1+Cockpit!$D$22)*(B26-$B27)/12</f>
        <v>-114.36225</v>
      </c>
      <c r="O26" s="51">
        <f>(H26+J26+M26+N26)*Cockpit!$Q$33</f>
        <v>75.367599999999968</v>
      </c>
      <c r="P26" s="323">
        <f t="shared" si="21"/>
        <v>-123.32135000000009</v>
      </c>
      <c r="R26" s="334">
        <f t="shared" si="22"/>
        <v>139000</v>
      </c>
      <c r="S26" s="50">
        <f t="shared" si="23"/>
        <v>0.8</v>
      </c>
      <c r="T26" s="51">
        <f t="shared" si="33"/>
        <v>111200</v>
      </c>
      <c r="U26" s="52">
        <f t="shared" si="24"/>
        <v>3.7499999999999999E-2</v>
      </c>
      <c r="V26" s="130">
        <f>V27+$V$21</f>
        <v>3.4999999999999996E-2</v>
      </c>
      <c r="W26" s="51">
        <f t="shared" si="25"/>
        <v>702</v>
      </c>
      <c r="X26" s="51">
        <f>W26+Cockpit!$K$9</f>
        <v>762</v>
      </c>
      <c r="Y26" s="51">
        <f>-Cockpit!$K$12-Cockpit!$H$25*(Szenarien!W26-Szenarien!$AL$13)</f>
        <v>-145.36000000000001</v>
      </c>
      <c r="Z26" s="51">
        <f>Cockpit!$Q$21-U26*(T26-$T$13)/12-(U26-$U$13)*$T$13/12</f>
        <v>-347.5</v>
      </c>
      <c r="AA26" s="51">
        <f>Cockpit!$Q$22-V26*(T26-$T$13)/12-(V26-$V$13)*$T$13/12</f>
        <v>-324.33333333333331</v>
      </c>
      <c r="AB26" s="51">
        <f t="shared" si="34"/>
        <v>-55.193333333333328</v>
      </c>
      <c r="AC26" s="51">
        <f>Cockpit!$Q$29</f>
        <v>-90.000000000000014</v>
      </c>
      <c r="AD26" s="51">
        <f>Cockpit!$Q$31-Cockpit!$H$20*Cockpit!$H$21*(1+Cockpit!$D$22)*(R26-$R27)/12</f>
        <v>-114.36225</v>
      </c>
      <c r="AE26" s="51">
        <f>(X26+Z26+AC26+AD26)*Cockpit!$Q$33</f>
        <v>84.055099999999996</v>
      </c>
      <c r="AF26" s="323">
        <f t="shared" si="26"/>
        <v>-139.24843333333331</v>
      </c>
      <c r="AH26" s="334">
        <f t="shared" si="27"/>
        <v>139000</v>
      </c>
      <c r="AI26" s="50">
        <f t="shared" si="28"/>
        <v>0.8</v>
      </c>
      <c r="AJ26" s="51">
        <f t="shared" si="35"/>
        <v>111200</v>
      </c>
      <c r="AK26" s="52">
        <f t="shared" si="29"/>
        <v>3.7499999999999999E-2</v>
      </c>
      <c r="AL26" s="52">
        <f t="shared" si="30"/>
        <v>0.03</v>
      </c>
      <c r="AM26" s="133">
        <f>AM27+$AM$21</f>
        <v>722</v>
      </c>
      <c r="AN26" s="51">
        <f>AM26+Cockpit!$K$9</f>
        <v>782</v>
      </c>
      <c r="AO26" s="51">
        <f>-Cockpit!$K$12-Cockpit!$H$25*(Szenarien!AM26-Szenarien!$AL$13)</f>
        <v>-145.96</v>
      </c>
      <c r="AP26" s="51">
        <f>Cockpit!$Q$21-AK26*(AJ26-$T$13)/12-(AK26-$U$13)*$T$13/12</f>
        <v>-347.5</v>
      </c>
      <c r="AQ26" s="51">
        <f>Cockpit!$Q$22-AL26*(AJ26-$T$13)/12-(AL26-$V$13)*$T$13/12</f>
        <v>-278</v>
      </c>
      <c r="AR26" s="51">
        <f t="shared" si="36"/>
        <v>10.539999999999964</v>
      </c>
      <c r="AS26" s="51">
        <f>Cockpit!$Q$29</f>
        <v>-90.000000000000014</v>
      </c>
      <c r="AT26" s="51">
        <f>Cockpit!$Q$31-Cockpit!$H$20*Cockpit!$H$21*(1+Cockpit!$D$22)*(AH26-$AH27)/12</f>
        <v>-114.36225</v>
      </c>
      <c r="AU26" s="51">
        <f>(AN26+AP26+AS26+AT26)*Cockpit!$Q$33</f>
        <v>92.055099999999996</v>
      </c>
      <c r="AV26" s="323">
        <f t="shared" si="31"/>
        <v>-81.515100000000032</v>
      </c>
    </row>
    <row r="27" spans="2:48" ht="13.5" thickBot="1">
      <c r="B27" s="347">
        <f t="shared" si="16"/>
        <v>139000</v>
      </c>
      <c r="C27" s="350">
        <f>$AL$10</f>
        <v>0.8</v>
      </c>
      <c r="D27" s="344">
        <f t="shared" si="17"/>
        <v>111200</v>
      </c>
      <c r="E27" s="345">
        <f t="shared" si="18"/>
        <v>3.7499999999999999E-2</v>
      </c>
      <c r="F27" s="345">
        <f t="shared" si="19"/>
        <v>0.03</v>
      </c>
      <c r="G27" s="344">
        <f t="shared" si="20"/>
        <v>702</v>
      </c>
      <c r="H27" s="344">
        <f>G27+Cockpit!$K$9</f>
        <v>762</v>
      </c>
      <c r="I27" s="344">
        <f>-Cockpit!$K$12-Cockpit!$H$25*(Szenarien!G27-Szenarien!$AL$13)</f>
        <v>-145.36000000000001</v>
      </c>
      <c r="J27" s="344">
        <f>Cockpit!$Q$21-E27*(D27-$D27)/12</f>
        <v>-347.5</v>
      </c>
      <c r="K27" s="344">
        <f>Cockpit!$Q$22-F27*(D27-$D27)/12</f>
        <v>-278</v>
      </c>
      <c r="L27" s="344">
        <f t="shared" si="32"/>
        <v>-8.8600000000000136</v>
      </c>
      <c r="M27" s="344">
        <f>Cockpit!$Q$29</f>
        <v>-90.000000000000014</v>
      </c>
      <c r="N27" s="344">
        <f>Cockpit!$Q$31-Cockpit!$H$20*Cockpit!$H$21*(1+Cockpit!$D$22)*(B27-$B27)/12</f>
        <v>-114.36225</v>
      </c>
      <c r="O27" s="344">
        <f>(H27+J27+M27+N27)*Cockpit!$Q$33</f>
        <v>84.055099999999996</v>
      </c>
      <c r="P27" s="346">
        <f>L27-O27</f>
        <v>-92.91510000000001</v>
      </c>
      <c r="R27" s="347">
        <f t="shared" si="22"/>
        <v>139000</v>
      </c>
      <c r="S27" s="343">
        <f t="shared" si="23"/>
        <v>0.8</v>
      </c>
      <c r="T27" s="344">
        <f t="shared" si="33"/>
        <v>111200</v>
      </c>
      <c r="U27" s="345">
        <f t="shared" si="24"/>
        <v>3.7499999999999999E-2</v>
      </c>
      <c r="V27" s="348">
        <f>$AL$12</f>
        <v>0.03</v>
      </c>
      <c r="W27" s="344">
        <f t="shared" si="25"/>
        <v>702</v>
      </c>
      <c r="X27" s="344">
        <f>W27+Cockpit!$K$9</f>
        <v>762</v>
      </c>
      <c r="Y27" s="344">
        <f>-Cockpit!$K$12-Cockpit!$H$25*(Szenarien!W27-Szenarien!$AL$13)</f>
        <v>-145.36000000000001</v>
      </c>
      <c r="Z27" s="344">
        <f>Cockpit!$Q$21-U27*(T27-$T$13)/12-(U27-$U$13)*$T$13/12</f>
        <v>-347.5</v>
      </c>
      <c r="AA27" s="344">
        <f>Cockpit!$Q$22-V27*(T27-$T$13)/12-(V27-$V$13)*$T$13/12</f>
        <v>-278</v>
      </c>
      <c r="AB27" s="344">
        <f t="shared" si="34"/>
        <v>-8.8600000000000136</v>
      </c>
      <c r="AC27" s="344">
        <f>Cockpit!$Q$29</f>
        <v>-90.000000000000014</v>
      </c>
      <c r="AD27" s="344">
        <f>Cockpit!$Q$31-Cockpit!$H$20*Cockpit!$H$21*(1+Cockpit!$D$22)*(R27-$R27)/12</f>
        <v>-114.36225</v>
      </c>
      <c r="AE27" s="344">
        <f>(X27+Z27+AC27+AD27)*Cockpit!$Q$33</f>
        <v>84.055099999999996</v>
      </c>
      <c r="AF27" s="346">
        <f>AB27-AE27</f>
        <v>-92.91510000000001</v>
      </c>
      <c r="AH27" s="347">
        <f t="shared" si="27"/>
        <v>139000</v>
      </c>
      <c r="AI27" s="343">
        <f t="shared" si="28"/>
        <v>0.8</v>
      </c>
      <c r="AJ27" s="344">
        <f t="shared" si="35"/>
        <v>111200</v>
      </c>
      <c r="AK27" s="345">
        <f t="shared" si="29"/>
        <v>3.7499999999999999E-2</v>
      </c>
      <c r="AL27" s="345">
        <f t="shared" si="30"/>
        <v>0.03</v>
      </c>
      <c r="AM27" s="349">
        <f>$AL$13</f>
        <v>702</v>
      </c>
      <c r="AN27" s="344">
        <f>AM27+Cockpit!$K$9</f>
        <v>762</v>
      </c>
      <c r="AO27" s="344">
        <f>-Cockpit!$K$12-Cockpit!$H$25*(Szenarien!AM27-Szenarien!$AL$13)</f>
        <v>-145.36000000000001</v>
      </c>
      <c r="AP27" s="344">
        <f>Cockpit!$Q$21-AK27*(AJ27-$T$13)/12-(AK27-$U$13)*$T$13/12</f>
        <v>-347.5</v>
      </c>
      <c r="AQ27" s="344">
        <f>Cockpit!$Q$22-AL27*(AJ27-$T$13)/12-(AL27-$V$13)*$T$13/12</f>
        <v>-278</v>
      </c>
      <c r="AR27" s="344">
        <f t="shared" si="36"/>
        <v>-8.8600000000000136</v>
      </c>
      <c r="AS27" s="344">
        <f>Cockpit!$Q$29</f>
        <v>-90.000000000000014</v>
      </c>
      <c r="AT27" s="344">
        <f>Cockpit!$Q$31-Cockpit!$H$20*Cockpit!$H$21*(1+Cockpit!$D$22)*(AH27-$AH27)/12</f>
        <v>-114.36225</v>
      </c>
      <c r="AU27" s="344">
        <f>(AN27+AP27+AS27+AT27)*Cockpit!$Q$33</f>
        <v>84.055099999999996</v>
      </c>
      <c r="AV27" s="346">
        <f>AR27-AU27</f>
        <v>-92.91510000000001</v>
      </c>
    </row>
    <row r="28" spans="2:48">
      <c r="B28" s="335">
        <f t="shared" si="16"/>
        <v>139000</v>
      </c>
      <c r="C28" s="127">
        <f>C27-$C$21</f>
        <v>0.75</v>
      </c>
      <c r="D28" s="314">
        <f t="shared" si="17"/>
        <v>104250</v>
      </c>
      <c r="E28" s="56">
        <f t="shared" si="18"/>
        <v>3.7499999999999999E-2</v>
      </c>
      <c r="F28" s="56">
        <f t="shared" si="19"/>
        <v>0.03</v>
      </c>
      <c r="G28" s="55">
        <f t="shared" si="20"/>
        <v>702</v>
      </c>
      <c r="H28" s="55">
        <f>G28+Cockpit!$K$9</f>
        <v>762</v>
      </c>
      <c r="I28" s="55">
        <f>-Cockpit!$K$12-Cockpit!$H$25*(Szenarien!G28-Szenarien!$AL$13)</f>
        <v>-145.36000000000001</v>
      </c>
      <c r="J28" s="55">
        <f>Cockpit!$Q$21-E28*(D28-$D27)/12</f>
        <v>-325.78125</v>
      </c>
      <c r="K28" s="55">
        <f>Cockpit!$Q$22-F28*(D28-$D27)/12</f>
        <v>-260.625</v>
      </c>
      <c r="L28" s="55">
        <f t="shared" si="32"/>
        <v>30.233749999999986</v>
      </c>
      <c r="M28" s="55">
        <f>Cockpit!$Q$29</f>
        <v>-90.000000000000014</v>
      </c>
      <c r="N28" s="55">
        <f>Cockpit!$Q$31-Cockpit!$H$20*Cockpit!$H$21*(1+Cockpit!$D$22)*(B28-$B27)/12</f>
        <v>-114.36225</v>
      </c>
      <c r="O28" s="55">
        <f>(H28+J28+M28+N28)*Cockpit!$Q$33</f>
        <v>92.742599999999996</v>
      </c>
      <c r="P28" s="325">
        <f t="shared" ref="P28:P31" si="37">L28-O28</f>
        <v>-62.50885000000001</v>
      </c>
      <c r="R28" s="335">
        <f t="shared" si="22"/>
        <v>139000</v>
      </c>
      <c r="S28" s="54">
        <f t="shared" si="23"/>
        <v>0.8</v>
      </c>
      <c r="T28" s="55">
        <f t="shared" si="33"/>
        <v>111200</v>
      </c>
      <c r="U28" s="56">
        <f t="shared" si="24"/>
        <v>3.7499999999999999E-2</v>
      </c>
      <c r="V28" s="131">
        <f>V27-$V$21</f>
        <v>2.4999999999999998E-2</v>
      </c>
      <c r="W28" s="55">
        <f t="shared" si="25"/>
        <v>702</v>
      </c>
      <c r="X28" s="55">
        <f>W28+Cockpit!$K$9</f>
        <v>762</v>
      </c>
      <c r="Y28" s="55">
        <f>-Cockpit!$K$12-Cockpit!$H$25*(Szenarien!W28-Szenarien!$AL$13)</f>
        <v>-145.36000000000001</v>
      </c>
      <c r="Z28" s="55">
        <f>Cockpit!$Q$21-U28*(T28-$T$13)/12-(U28-$U$13)*$T$13/12</f>
        <v>-347.5</v>
      </c>
      <c r="AA28" s="55">
        <f>Cockpit!$Q$22-V28*(T28-$T$13)/12-(V28-$V$13)*$T$13/12</f>
        <v>-231.66666666666666</v>
      </c>
      <c r="AB28" s="55">
        <f t="shared" si="34"/>
        <v>37.473333333333329</v>
      </c>
      <c r="AC28" s="55">
        <f>Cockpit!$Q$29</f>
        <v>-90.000000000000014</v>
      </c>
      <c r="AD28" s="55">
        <f>Cockpit!$Q$31-Cockpit!$H$20*Cockpit!$H$21*(1+Cockpit!$D$22)*(R28-$R27)/12</f>
        <v>-114.36225</v>
      </c>
      <c r="AE28" s="55">
        <f>(X28+Z28+AC28+AD28)*Cockpit!$Q$33</f>
        <v>84.055099999999996</v>
      </c>
      <c r="AF28" s="325">
        <f t="shared" ref="AF28:AF31" si="38">AB28-AE28</f>
        <v>-46.581766666666667</v>
      </c>
      <c r="AH28" s="335">
        <f t="shared" si="27"/>
        <v>139000</v>
      </c>
      <c r="AI28" s="54">
        <f t="shared" si="28"/>
        <v>0.8</v>
      </c>
      <c r="AJ28" s="55">
        <f t="shared" si="35"/>
        <v>111200</v>
      </c>
      <c r="AK28" s="56">
        <f t="shared" si="29"/>
        <v>3.7499999999999999E-2</v>
      </c>
      <c r="AL28" s="56">
        <f t="shared" si="30"/>
        <v>0.03</v>
      </c>
      <c r="AM28" s="134">
        <f>AM27-$AM$21</f>
        <v>682</v>
      </c>
      <c r="AN28" s="55">
        <f>AM28+Cockpit!$K$9</f>
        <v>742</v>
      </c>
      <c r="AO28" s="55">
        <f>-Cockpit!$K$12-Cockpit!$H$25*(Szenarien!AM28-Szenarien!$AL$13)</f>
        <v>-144.76000000000002</v>
      </c>
      <c r="AP28" s="55">
        <f>Cockpit!$Q$21-AK28*(AJ28-$T$13)/12-(AK28-$U$13)*$T$13/12</f>
        <v>-347.5</v>
      </c>
      <c r="AQ28" s="55">
        <f>Cockpit!$Q$22-AL28*(AJ28-$T$13)/12-(AL28-$V$13)*$T$13/12</f>
        <v>-278</v>
      </c>
      <c r="AR28" s="55">
        <f t="shared" si="36"/>
        <v>-28.259999999999991</v>
      </c>
      <c r="AS28" s="55">
        <f>Cockpit!$Q$29</f>
        <v>-90.000000000000014</v>
      </c>
      <c r="AT28" s="55">
        <f>Cockpit!$Q$31-Cockpit!$H$20*Cockpit!$H$21*(1+Cockpit!$D$22)*(AH28-$AH27)/12</f>
        <v>-114.36225</v>
      </c>
      <c r="AU28" s="55">
        <f>(AN28+AP28+AS28+AT28)*Cockpit!$Q$33</f>
        <v>76.055099999999996</v>
      </c>
      <c r="AV28" s="325">
        <f t="shared" ref="AV28:AV31" si="39">AR28-AU28</f>
        <v>-104.31509999999999</v>
      </c>
    </row>
    <row r="29" spans="2:48">
      <c r="B29" s="333">
        <f t="shared" si="16"/>
        <v>139000</v>
      </c>
      <c r="C29" s="128">
        <f>C28-$C$21</f>
        <v>0.7</v>
      </c>
      <c r="D29" s="51">
        <f t="shared" si="17"/>
        <v>97300</v>
      </c>
      <c r="E29" s="49">
        <f t="shared" si="18"/>
        <v>3.7499999999999999E-2</v>
      </c>
      <c r="F29" s="49">
        <f t="shared" si="19"/>
        <v>0.03</v>
      </c>
      <c r="G29" s="48">
        <f t="shared" si="20"/>
        <v>702</v>
      </c>
      <c r="H29" s="48">
        <f>G29+Cockpit!$K$9</f>
        <v>762</v>
      </c>
      <c r="I29" s="48">
        <f>-Cockpit!$K$12-Cockpit!$H$25*(Szenarien!G29-Szenarien!$AL$13)</f>
        <v>-145.36000000000001</v>
      </c>
      <c r="J29" s="48">
        <f>Cockpit!$Q$21-E29*(D29-$D27)/12</f>
        <v>-304.0625</v>
      </c>
      <c r="K29" s="48">
        <f>Cockpit!$Q$22-F29*(D29-$D27)/12</f>
        <v>-243.25</v>
      </c>
      <c r="L29" s="48">
        <f t="shared" si="32"/>
        <v>69.327499999999986</v>
      </c>
      <c r="M29" s="48">
        <f>Cockpit!$Q$29</f>
        <v>-90.000000000000014</v>
      </c>
      <c r="N29" s="48">
        <f>Cockpit!$Q$31-Cockpit!$H$20*Cockpit!$H$21*(1+Cockpit!$D$22)*(B29-$B27)/12</f>
        <v>-114.36225</v>
      </c>
      <c r="O29" s="48">
        <f>(H29+J29+M29+N29)*Cockpit!$Q$33</f>
        <v>101.4301</v>
      </c>
      <c r="P29" s="286">
        <f t="shared" si="37"/>
        <v>-32.10260000000001</v>
      </c>
      <c r="R29" s="333">
        <f t="shared" si="22"/>
        <v>139000</v>
      </c>
      <c r="S29" s="47">
        <f t="shared" si="23"/>
        <v>0.8</v>
      </c>
      <c r="T29" s="48">
        <f t="shared" si="33"/>
        <v>111200</v>
      </c>
      <c r="U29" s="49">
        <f t="shared" si="24"/>
        <v>3.7499999999999999E-2</v>
      </c>
      <c r="V29" s="129">
        <f>V28-$V$21</f>
        <v>1.9999999999999997E-2</v>
      </c>
      <c r="W29" s="48">
        <f t="shared" si="25"/>
        <v>702</v>
      </c>
      <c r="X29" s="48">
        <f>W29+Cockpit!$K$9</f>
        <v>762</v>
      </c>
      <c r="Y29" s="48">
        <f>-Cockpit!$K$12-Cockpit!$H$25*(Szenarien!W29-Szenarien!$AL$13)</f>
        <v>-145.36000000000001</v>
      </c>
      <c r="Z29" s="48">
        <f>Cockpit!$Q$21-U29*(T29-$T$13)/12-(U29-$U$13)*$T$13/12</f>
        <v>-347.5</v>
      </c>
      <c r="AA29" s="48">
        <f>Cockpit!$Q$22-V29*(T29-$T$13)/12-(V29-$V$13)*$T$13/12</f>
        <v>-185.33333333333331</v>
      </c>
      <c r="AB29" s="48">
        <f t="shared" si="34"/>
        <v>83.806666666666672</v>
      </c>
      <c r="AC29" s="48">
        <f>Cockpit!$Q$29</f>
        <v>-90.000000000000014</v>
      </c>
      <c r="AD29" s="48">
        <f>Cockpit!$Q$31-Cockpit!$H$20*Cockpit!$H$21*(1+Cockpit!$D$22)*(R29-$R27)/12</f>
        <v>-114.36225</v>
      </c>
      <c r="AE29" s="48">
        <f>(X29+Z29+AC29+AD29)*Cockpit!$Q$33</f>
        <v>84.055099999999996</v>
      </c>
      <c r="AF29" s="286">
        <f t="shared" si="38"/>
        <v>-0.24843333333332396</v>
      </c>
      <c r="AH29" s="333">
        <f t="shared" si="27"/>
        <v>139000</v>
      </c>
      <c r="AI29" s="47">
        <f t="shared" si="28"/>
        <v>0.8</v>
      </c>
      <c r="AJ29" s="48">
        <f t="shared" si="35"/>
        <v>111200</v>
      </c>
      <c r="AK29" s="49">
        <f t="shared" si="29"/>
        <v>3.7499999999999999E-2</v>
      </c>
      <c r="AL29" s="49">
        <f t="shared" si="30"/>
        <v>0.03</v>
      </c>
      <c r="AM29" s="132">
        <f>AM28-$AM$21</f>
        <v>662</v>
      </c>
      <c r="AN29" s="48">
        <f>AM29+Cockpit!$K$9</f>
        <v>722</v>
      </c>
      <c r="AO29" s="48">
        <f>-Cockpit!$K$12-Cockpit!$H$25*(Szenarien!AM29-Szenarien!$AL$13)</f>
        <v>-144.16000000000003</v>
      </c>
      <c r="AP29" s="48">
        <f>Cockpit!$Q$21-AK29*(AJ29-$T$13)/12-(AK29-$U$13)*$T$13/12</f>
        <v>-347.5</v>
      </c>
      <c r="AQ29" s="48">
        <f>Cockpit!$Q$22-AL29*(AJ29-$T$13)/12-(AL29-$V$13)*$T$13/12</f>
        <v>-278</v>
      </c>
      <c r="AR29" s="48">
        <f t="shared" si="36"/>
        <v>-47.660000000000082</v>
      </c>
      <c r="AS29" s="48">
        <f>Cockpit!$Q$29</f>
        <v>-90.000000000000014</v>
      </c>
      <c r="AT29" s="48">
        <f>Cockpit!$Q$31-Cockpit!$H$20*Cockpit!$H$21*(1+Cockpit!$D$22)*(AH29-$AH27)/12</f>
        <v>-114.36225</v>
      </c>
      <c r="AU29" s="48">
        <f>(AN29+AP29+AS29+AT29)*Cockpit!$Q$33</f>
        <v>68.055099999999996</v>
      </c>
      <c r="AV29" s="286">
        <f t="shared" si="39"/>
        <v>-115.71510000000008</v>
      </c>
    </row>
    <row r="30" spans="2:48">
      <c r="B30" s="333">
        <f t="shared" si="16"/>
        <v>139000</v>
      </c>
      <c r="C30" s="128">
        <f>C29-$C$21</f>
        <v>0.64999999999999991</v>
      </c>
      <c r="D30" s="51">
        <f t="shared" si="17"/>
        <v>90349.999999999985</v>
      </c>
      <c r="E30" s="49">
        <f t="shared" si="18"/>
        <v>3.7499999999999999E-2</v>
      </c>
      <c r="F30" s="49">
        <f t="shared" si="19"/>
        <v>0.03</v>
      </c>
      <c r="G30" s="48">
        <f t="shared" si="20"/>
        <v>702</v>
      </c>
      <c r="H30" s="48">
        <f>G30+Cockpit!$K$9</f>
        <v>762</v>
      </c>
      <c r="I30" s="48">
        <f>-Cockpit!$K$12-Cockpit!$H$25*(Szenarien!G30-Szenarien!$AL$13)</f>
        <v>-145.36000000000001</v>
      </c>
      <c r="J30" s="48">
        <f>Cockpit!$Q$21-E30*(D30-$D27)/12</f>
        <v>-282.34374999999994</v>
      </c>
      <c r="K30" s="48">
        <f>Cockpit!$Q$22-F30*(D30-$D27)/12</f>
        <v>-225.87499999999997</v>
      </c>
      <c r="L30" s="48">
        <f t="shared" si="32"/>
        <v>108.42125000000007</v>
      </c>
      <c r="M30" s="48">
        <f>Cockpit!$Q$29</f>
        <v>-90.000000000000014</v>
      </c>
      <c r="N30" s="48">
        <f>Cockpit!$Q$31-Cockpit!$H$20*Cockpit!$H$21*(1+Cockpit!$D$22)*(B30-$B27)/12</f>
        <v>-114.36225</v>
      </c>
      <c r="O30" s="48">
        <f>(H30+J30+M30+N30)*Cockpit!$Q$33</f>
        <v>110.11760000000002</v>
      </c>
      <c r="P30" s="286">
        <f t="shared" si="37"/>
        <v>-1.6963499999999527</v>
      </c>
      <c r="R30" s="333">
        <f t="shared" si="22"/>
        <v>139000</v>
      </c>
      <c r="S30" s="47">
        <f t="shared" si="23"/>
        <v>0.8</v>
      </c>
      <c r="T30" s="48">
        <f t="shared" si="33"/>
        <v>111200</v>
      </c>
      <c r="U30" s="49">
        <f t="shared" si="24"/>
        <v>3.7499999999999999E-2</v>
      </c>
      <c r="V30" s="129">
        <f>V29-$V$21</f>
        <v>1.4999999999999996E-2</v>
      </c>
      <c r="W30" s="48">
        <f t="shared" si="25"/>
        <v>702</v>
      </c>
      <c r="X30" s="48">
        <f>W30+Cockpit!$K$9</f>
        <v>762</v>
      </c>
      <c r="Y30" s="48">
        <f>-Cockpit!$K$12-Cockpit!$H$25*(Szenarien!W30-Szenarien!$AL$13)</f>
        <v>-145.36000000000001</v>
      </c>
      <c r="Z30" s="48">
        <f>Cockpit!$Q$21-U30*(T30-$T$13)/12-(U30-$U$13)*$T$13/12</f>
        <v>-347.5</v>
      </c>
      <c r="AA30" s="48">
        <f>Cockpit!$Q$22-V30*(T30-$T$13)/12-(V30-$V$13)*$T$13/12</f>
        <v>-138.99999999999997</v>
      </c>
      <c r="AB30" s="48">
        <f t="shared" si="34"/>
        <v>130.14000000000001</v>
      </c>
      <c r="AC30" s="48">
        <f>Cockpit!$Q$29</f>
        <v>-90.000000000000014</v>
      </c>
      <c r="AD30" s="48">
        <f>Cockpit!$Q$31-Cockpit!$H$20*Cockpit!$H$21*(1+Cockpit!$D$22)*(R30-$R27)/12</f>
        <v>-114.36225</v>
      </c>
      <c r="AE30" s="48">
        <f>(X30+Z30+AC30+AD30)*Cockpit!$Q$33</f>
        <v>84.055099999999996</v>
      </c>
      <c r="AF30" s="286">
        <f t="shared" si="38"/>
        <v>46.084900000000019</v>
      </c>
      <c r="AH30" s="333">
        <f t="shared" si="27"/>
        <v>139000</v>
      </c>
      <c r="AI30" s="47">
        <f t="shared" si="28"/>
        <v>0.8</v>
      </c>
      <c r="AJ30" s="48">
        <f t="shared" si="35"/>
        <v>111200</v>
      </c>
      <c r="AK30" s="49">
        <f t="shared" si="29"/>
        <v>3.7499999999999999E-2</v>
      </c>
      <c r="AL30" s="49">
        <f t="shared" si="30"/>
        <v>0.03</v>
      </c>
      <c r="AM30" s="132">
        <f>AM29-$AM$21</f>
        <v>642</v>
      </c>
      <c r="AN30" s="48">
        <f>AM30+Cockpit!$K$9</f>
        <v>702</v>
      </c>
      <c r="AO30" s="48">
        <f>-Cockpit!$K$12-Cockpit!$H$25*(Szenarien!AM30-Szenarien!$AL$13)</f>
        <v>-143.56</v>
      </c>
      <c r="AP30" s="48">
        <f>Cockpit!$Q$21-AK30*(AJ30-$T$13)/12-(AK30-$U$13)*$T$13/12</f>
        <v>-347.5</v>
      </c>
      <c r="AQ30" s="48">
        <f>Cockpit!$Q$22-AL30*(AJ30-$T$13)/12-(AL30-$V$13)*$T$13/12</f>
        <v>-278</v>
      </c>
      <c r="AR30" s="48">
        <f t="shared" si="36"/>
        <v>-67.059999999999945</v>
      </c>
      <c r="AS30" s="48">
        <f>Cockpit!$Q$29</f>
        <v>-90.000000000000014</v>
      </c>
      <c r="AT30" s="48">
        <f>Cockpit!$Q$31-Cockpit!$H$20*Cockpit!$H$21*(1+Cockpit!$D$22)*(AH30-$AH27)/12</f>
        <v>-114.36225</v>
      </c>
      <c r="AU30" s="48">
        <f>(AN30+AP30+AS30+AT30)*Cockpit!$Q$33</f>
        <v>60.055099999999996</v>
      </c>
      <c r="AV30" s="286">
        <f t="shared" si="39"/>
        <v>-127.11509999999994</v>
      </c>
    </row>
    <row r="31" spans="2:48" ht="13.5" thickBot="1">
      <c r="B31" s="336">
        <f t="shared" si="16"/>
        <v>139000</v>
      </c>
      <c r="C31" s="337">
        <f>C30-$C$21</f>
        <v>0.59999999999999987</v>
      </c>
      <c r="D31" s="328">
        <f t="shared" si="17"/>
        <v>83399.999999999985</v>
      </c>
      <c r="E31" s="329">
        <f t="shared" si="18"/>
        <v>3.7499999999999999E-2</v>
      </c>
      <c r="F31" s="329">
        <f t="shared" si="19"/>
        <v>0.03</v>
      </c>
      <c r="G31" s="328">
        <f t="shared" si="20"/>
        <v>702</v>
      </c>
      <c r="H31" s="328">
        <f>G31+Cockpit!$K$9</f>
        <v>762</v>
      </c>
      <c r="I31" s="328">
        <f>-Cockpit!$K$12-Cockpit!$H$25*(Szenarien!G31-Szenarien!$AL$13)</f>
        <v>-145.36000000000001</v>
      </c>
      <c r="J31" s="328">
        <f>Cockpit!$Q$21-E31*(D31-$D27)/12</f>
        <v>-260.62499999999994</v>
      </c>
      <c r="K31" s="328">
        <f>Cockpit!$Q$22-F31*(D31-$D27)/12</f>
        <v>-208.49999999999994</v>
      </c>
      <c r="L31" s="328">
        <f t="shared" si="32"/>
        <v>147.5150000000001</v>
      </c>
      <c r="M31" s="328">
        <f>Cockpit!$Q$29</f>
        <v>-90.000000000000014</v>
      </c>
      <c r="N31" s="328">
        <f>Cockpit!$Q$31-Cockpit!$H$20*Cockpit!$H$21*(1+Cockpit!$D$22)*(B31-$B27)/12</f>
        <v>-114.36225</v>
      </c>
      <c r="O31" s="328">
        <f>(H31+J31+M31+N31)*Cockpit!$Q$33</f>
        <v>118.80510000000002</v>
      </c>
      <c r="P31" s="288">
        <f t="shared" si="37"/>
        <v>28.709900000000076</v>
      </c>
      <c r="R31" s="336">
        <f t="shared" si="22"/>
        <v>139000</v>
      </c>
      <c r="S31" s="327">
        <f t="shared" si="23"/>
        <v>0.8</v>
      </c>
      <c r="T31" s="328">
        <f t="shared" si="33"/>
        <v>111200</v>
      </c>
      <c r="U31" s="329">
        <f t="shared" si="24"/>
        <v>3.7499999999999999E-2</v>
      </c>
      <c r="V31" s="339">
        <f>V30-$V$21</f>
        <v>9.999999999999995E-3</v>
      </c>
      <c r="W31" s="328">
        <f t="shared" si="25"/>
        <v>702</v>
      </c>
      <c r="X31" s="328">
        <f>W31+Cockpit!$K$9</f>
        <v>762</v>
      </c>
      <c r="Y31" s="328">
        <f>-Cockpit!$K$12-Cockpit!$H$25*(Szenarien!W31-Szenarien!$AL$13)</f>
        <v>-145.36000000000001</v>
      </c>
      <c r="Z31" s="328">
        <f>Cockpit!$Q$21-U31*(T31-$T$13)/12-(U31-$U$13)*$T$13/12</f>
        <v>-347.5</v>
      </c>
      <c r="AA31" s="328">
        <f>Cockpit!$Q$22-V31*(T31-$T$13)/12-(V31-$V$13)*$T$13/12</f>
        <v>-92.666666666666629</v>
      </c>
      <c r="AB31" s="328">
        <f t="shared" si="34"/>
        <v>176.47333333333336</v>
      </c>
      <c r="AC31" s="328">
        <f>Cockpit!$Q$29</f>
        <v>-90.000000000000014</v>
      </c>
      <c r="AD31" s="328">
        <f>Cockpit!$Q$31-Cockpit!$H$20*Cockpit!$H$21*(1+Cockpit!$D$22)*(R31-$R27)/12</f>
        <v>-114.36225</v>
      </c>
      <c r="AE31" s="328">
        <f>(X31+Z31+AC31+AD31)*Cockpit!$Q$33</f>
        <v>84.055099999999996</v>
      </c>
      <c r="AF31" s="288">
        <f t="shared" si="38"/>
        <v>92.418233333333362</v>
      </c>
      <c r="AH31" s="336">
        <f t="shared" si="27"/>
        <v>139000</v>
      </c>
      <c r="AI31" s="327">
        <f t="shared" si="28"/>
        <v>0.8</v>
      </c>
      <c r="AJ31" s="328">
        <f t="shared" si="35"/>
        <v>111200</v>
      </c>
      <c r="AK31" s="329">
        <f t="shared" si="29"/>
        <v>3.7499999999999999E-2</v>
      </c>
      <c r="AL31" s="329">
        <f t="shared" si="30"/>
        <v>0.03</v>
      </c>
      <c r="AM31" s="341">
        <f>AM30-$AM$21</f>
        <v>622</v>
      </c>
      <c r="AN31" s="328">
        <f>AM31+Cockpit!$K$9</f>
        <v>682</v>
      </c>
      <c r="AO31" s="328">
        <f>-Cockpit!$K$12-Cockpit!$H$25*(Szenarien!AM31-Szenarien!$AL$13)</f>
        <v>-142.96</v>
      </c>
      <c r="AP31" s="328">
        <f>Cockpit!$Q$21-AK31*(AJ31-$T$13)/12-(AK31-$U$13)*$T$13/12</f>
        <v>-347.5</v>
      </c>
      <c r="AQ31" s="328">
        <f>Cockpit!$Q$22-AL31*(AJ31-$T$13)/12-(AL31-$V$13)*$T$13/12</f>
        <v>-278</v>
      </c>
      <c r="AR31" s="328">
        <f t="shared" si="36"/>
        <v>-86.460000000000036</v>
      </c>
      <c r="AS31" s="328">
        <f>Cockpit!$Q$29</f>
        <v>-90.000000000000014</v>
      </c>
      <c r="AT31" s="328">
        <f>Cockpit!$Q$31-Cockpit!$H$20*Cockpit!$H$21*(1+Cockpit!$D$22)*(AH31-$AH27)/12</f>
        <v>-114.36225</v>
      </c>
      <c r="AU31" s="328">
        <f>(AN31+AP31+AS31+AT31)*Cockpit!$Q$33</f>
        <v>52.055099999999996</v>
      </c>
      <c r="AV31" s="288">
        <f t="shared" si="39"/>
        <v>-138.51510000000002</v>
      </c>
    </row>
    <row r="33" spans="2:2">
      <c r="B33" s="135" t="s">
        <v>372</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351</v>
      </c>
      <c r="C1" s="532"/>
      <c r="D1" s="532"/>
      <c r="E1" s="491" t="s">
        <v>114</v>
      </c>
      <c r="F1" s="491"/>
      <c r="G1" s="491"/>
      <c r="N1" s="471"/>
      <c r="O1" s="471"/>
    </row>
    <row r="2" spans="2:18" s="150" customFormat="1" ht="15" customHeight="1">
      <c r="B2" s="532"/>
      <c r="C2" s="532"/>
      <c r="D2" s="532"/>
      <c r="E2" s="491"/>
      <c r="F2" s="491"/>
      <c r="G2" s="491"/>
      <c r="N2" s="471"/>
      <c r="O2" s="471"/>
    </row>
    <row r="3" spans="2:18" s="150" customFormat="1" ht="12.75" customHeight="1">
      <c r="B3" s="532"/>
      <c r="C3" s="532"/>
      <c r="D3" s="532"/>
      <c r="E3" s="491"/>
      <c r="F3" s="491"/>
      <c r="G3" s="491"/>
      <c r="N3" s="471"/>
      <c r="O3" s="471"/>
    </row>
    <row r="4" spans="2:18" ht="18.75" customHeight="1">
      <c r="N4" s="5"/>
      <c r="O4" s="5"/>
      <c r="P4" s="5"/>
      <c r="Q4" s="5"/>
    </row>
    <row r="5" spans="2:18" ht="9" customHeight="1">
      <c r="N5" s="5"/>
      <c r="O5" s="5"/>
      <c r="P5" s="5"/>
      <c r="Q5" s="5"/>
    </row>
    <row r="6" spans="2:18" ht="28.5" customHeight="1">
      <c r="B6" s="531" t="str">
        <f>Cockpit!C9</f>
        <v>Musterstr. 11, 1234 Musterstadt</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139000</v>
      </c>
      <c r="H10" s="6" t="s">
        <v>361</v>
      </c>
      <c r="I10" s="7">
        <f>IF((Cockpit!N17)=0,#N/A,Cockpit!N17)</f>
        <v>111200</v>
      </c>
      <c r="L10" s="6" t="s">
        <v>478</v>
      </c>
      <c r="M10" s="6">
        <f>Cockpit!Q19</f>
        <v>762</v>
      </c>
    </row>
    <row r="11" spans="2:18">
      <c r="C11" s="6" t="s">
        <v>367</v>
      </c>
      <c r="D11" s="7">
        <f>IF(Cockpit!E22=0,#N/A,Cockpit!E22)</f>
        <v>14817.4</v>
      </c>
      <c r="H11" s="6" t="s">
        <v>247</v>
      </c>
      <c r="I11" s="7" t="e">
        <f>IF((Cockpit!N9-Cockpit!N17)=0,#N/A,Cockpit!N9-Cockpit!N17)</f>
        <v>#N/A</v>
      </c>
      <c r="L11" s="6" t="s">
        <v>79</v>
      </c>
      <c r="N11" s="8">
        <f>-Cockpit!Q20</f>
        <v>145.36000000000001</v>
      </c>
    </row>
    <row r="12" spans="2:18">
      <c r="C12" s="6" t="s">
        <v>368</v>
      </c>
      <c r="D12" s="7" t="e">
        <f>IF(Cockpit!C30=0,#N/A,Cockpit!C30)</f>
        <v>#N/A</v>
      </c>
      <c r="H12" s="6" t="s">
        <v>26</v>
      </c>
      <c r="I12" s="7">
        <f>Cockpit!N10</f>
        <v>42617.399999999994</v>
      </c>
      <c r="L12" s="6" t="s">
        <v>43</v>
      </c>
      <c r="N12" s="8">
        <f>-Cockpit!Q21</f>
        <v>347.5</v>
      </c>
    </row>
    <row r="13" spans="2:18">
      <c r="L13" s="6" t="s">
        <v>44</v>
      </c>
      <c r="N13" s="8">
        <f>-Cockpit!Q22</f>
        <v>278</v>
      </c>
    </row>
    <row r="14" spans="2:18">
      <c r="L14" s="6" t="s">
        <v>101</v>
      </c>
      <c r="N14" s="8">
        <f>-Cockpit!Q24</f>
        <v>84.055099999999996</v>
      </c>
    </row>
    <row r="15" spans="2:18">
      <c r="N15" s="8"/>
    </row>
    <row r="18" spans="14:14">
      <c r="N18" s="8"/>
    </row>
    <row r="52" ht="5.25" customHeight="1"/>
    <row r="53" ht="5.25" customHeight="1"/>
    <row r="54" ht="5.25" customHeight="1"/>
    <row r="107" spans="2:2">
      <c r="B107" s="135" t="s">
        <v>372</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1" t="s">
        <v>351</v>
      </c>
      <c r="C1" s="471"/>
      <c r="D1" s="471"/>
      <c r="F1" s="491" t="s">
        <v>352</v>
      </c>
      <c r="G1" s="491"/>
      <c r="H1" s="491"/>
      <c r="I1" s="491"/>
      <c r="J1" s="491"/>
      <c r="K1" s="491"/>
      <c r="L1" s="491"/>
      <c r="N1" s="471"/>
      <c r="O1" s="471"/>
      <c r="Q1" s="471"/>
      <c r="R1" s="471"/>
      <c r="S1" s="471"/>
      <c r="U1" s="471"/>
      <c r="V1" s="471"/>
    </row>
    <row r="2" spans="1:54" s="150" customFormat="1" ht="1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5" customHeight="1">
      <c r="J4" s="6"/>
      <c r="K4" s="6"/>
      <c r="L4" s="6"/>
      <c r="M4" s="6"/>
      <c r="N4" s="5"/>
      <c r="O4" s="5"/>
      <c r="P4" s="5"/>
      <c r="Q4" s="5"/>
    </row>
    <row r="5" spans="1:54" s="5" customFormat="1" ht="9" customHeight="1" thickBot="1"/>
    <row r="6" spans="1:54" s="5" customFormat="1" ht="13.5" thickBot="1">
      <c r="A6" s="19"/>
      <c r="B6" s="359" t="s">
        <v>328</v>
      </c>
      <c r="C6" s="370" t="s">
        <v>345</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326</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261</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492" t="s">
        <v>301</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3" t="s">
        <v>302</v>
      </c>
      <c r="C15" s="534"/>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261</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492" t="s">
        <v>301</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3" t="s">
        <v>303</v>
      </c>
      <c r="C22" s="534"/>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261</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492" t="s">
        <v>301</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3" t="s">
        <v>304</v>
      </c>
      <c r="C29" s="534"/>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261</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492" t="s">
        <v>301</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3" t="s">
        <v>305</v>
      </c>
      <c r="C36" s="534"/>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261</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492" t="s">
        <v>301</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3" t="s">
        <v>295</v>
      </c>
      <c r="C43" s="534"/>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261</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492" t="s">
        <v>301</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3" t="s">
        <v>296</v>
      </c>
      <c r="C50" s="534"/>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261</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492" t="s">
        <v>301</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3" t="s">
        <v>297</v>
      </c>
      <c r="C57" s="534"/>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261</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492" t="s">
        <v>301</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3" t="s">
        <v>298</v>
      </c>
      <c r="C64" s="534"/>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261</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492" t="s">
        <v>301</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3" t="s">
        <v>306</v>
      </c>
      <c r="C71" s="534"/>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261</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492" t="s">
        <v>301</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3" t="s">
        <v>299</v>
      </c>
      <c r="C78" s="534"/>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261</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492" t="s">
        <v>301</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3" t="s">
        <v>300</v>
      </c>
      <c r="C85" s="534"/>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261</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492" t="s">
        <v>301</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3" t="s">
        <v>307</v>
      </c>
      <c r="C92" s="534"/>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261</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492" t="s">
        <v>301</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3" t="s">
        <v>308</v>
      </c>
      <c r="C99" s="534"/>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261</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492" t="s">
        <v>301</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3" t="s">
        <v>309</v>
      </c>
      <c r="C106" s="534"/>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261</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492" t="s">
        <v>301</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3" t="s">
        <v>310</v>
      </c>
      <c r="C113" s="534"/>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261</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492" t="s">
        <v>301</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3" t="s">
        <v>311</v>
      </c>
      <c r="C120" s="534"/>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261</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492" t="s">
        <v>301</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3" t="s">
        <v>312</v>
      </c>
      <c r="C127" s="534"/>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261</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492" t="s">
        <v>301</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3" t="s">
        <v>313</v>
      </c>
      <c r="C134" s="534"/>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261</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492" t="s">
        <v>301</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3" t="s">
        <v>314</v>
      </c>
      <c r="C141" s="534"/>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261</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492" t="s">
        <v>301</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3" t="s">
        <v>315</v>
      </c>
      <c r="C148" s="534"/>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261</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492" t="s">
        <v>301</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3" t="s">
        <v>316</v>
      </c>
      <c r="C155" s="534"/>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261</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492" t="s">
        <v>301</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3" t="s">
        <v>317</v>
      </c>
      <c r="C162" s="534"/>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261</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492" t="s">
        <v>301</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3" t="s">
        <v>318</v>
      </c>
      <c r="C169" s="534"/>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261</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492" t="s">
        <v>301</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3" t="s">
        <v>319</v>
      </c>
      <c r="C176" s="534"/>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261</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492" t="s">
        <v>301</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3" t="s">
        <v>320</v>
      </c>
      <c r="C183" s="534"/>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261</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492" t="s">
        <v>301</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3" t="s">
        <v>321</v>
      </c>
      <c r="C190" s="534"/>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261</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492" t="s">
        <v>301</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3" t="s">
        <v>322</v>
      </c>
      <c r="C197" s="534"/>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261</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492" t="s">
        <v>301</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3" t="s">
        <v>323</v>
      </c>
      <c r="C204" s="534"/>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261</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492" t="s">
        <v>301</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3" t="s">
        <v>324</v>
      </c>
      <c r="C211" s="534"/>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261</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492" t="s">
        <v>301</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3" t="s">
        <v>325</v>
      </c>
      <c r="C218" s="534"/>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261</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492" t="s">
        <v>301</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372</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1" t="s">
        <v>351</v>
      </c>
      <c r="C1" s="472" t="s">
        <v>349</v>
      </c>
      <c r="D1" s="472"/>
      <c r="E1" s="472"/>
      <c r="F1" s="472"/>
      <c r="H1" s="238"/>
      <c r="K1" s="471"/>
      <c r="L1" s="471"/>
      <c r="M1" s="237"/>
      <c r="N1" s="471"/>
      <c r="O1" s="471"/>
      <c r="P1" s="237"/>
      <c r="Q1" s="471"/>
      <c r="R1" s="471"/>
      <c r="T1" s="471"/>
      <c r="U1" s="428"/>
    </row>
    <row r="2" spans="1:21" s="150" customFormat="1" ht="1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5" customHeight="1">
      <c r="M4" s="5"/>
      <c r="N4" s="5"/>
      <c r="O4" s="5"/>
      <c r="P4" s="5"/>
    </row>
    <row r="5" spans="1:21" ht="15.75" customHeight="1" thickBot="1">
      <c r="A5" s="372" t="s">
        <v>238</v>
      </c>
      <c r="B5" s="371" t="s">
        <v>237</v>
      </c>
      <c r="C5" s="13"/>
      <c r="E5" s="6"/>
      <c r="F5" s="5"/>
      <c r="G5" s="5"/>
    </row>
    <row r="6" spans="1:21" ht="26.25" customHeight="1" thickBot="1">
      <c r="A6" s="373"/>
      <c r="B6" s="374" t="s">
        <v>213</v>
      </c>
      <c r="C6" s="375" t="s">
        <v>214</v>
      </c>
      <c r="D6" s="375" t="s">
        <v>215</v>
      </c>
      <c r="E6" s="375" t="s">
        <v>240</v>
      </c>
      <c r="F6" s="376" t="s">
        <v>239</v>
      </c>
      <c r="G6" s="376" t="s">
        <v>241</v>
      </c>
      <c r="H6" s="376" t="s">
        <v>216</v>
      </c>
      <c r="I6" s="376" t="s">
        <v>217</v>
      </c>
      <c r="J6" s="548" t="s">
        <v>148</v>
      </c>
      <c r="K6" s="549"/>
    </row>
    <row r="7" spans="1:21" s="6" customFormat="1" ht="10.5" customHeight="1">
      <c r="A7" s="15" t="s">
        <v>236</v>
      </c>
    </row>
    <row r="8" spans="1:21" s="6" customFormat="1" ht="15" customHeight="1">
      <c r="A8" s="15"/>
      <c r="B8" s="559" t="s">
        <v>382</v>
      </c>
      <c r="C8" s="559"/>
      <c r="D8" s="559"/>
      <c r="E8" s="559"/>
      <c r="F8" s="559"/>
      <c r="G8" s="559"/>
      <c r="H8" s="559"/>
      <c r="I8" s="559"/>
      <c r="J8" s="559"/>
      <c r="K8" s="559"/>
    </row>
    <row r="9" spans="1:21" s="6" customFormat="1" ht="10.5" customHeight="1">
      <c r="A9" s="15"/>
      <c r="B9" s="559"/>
      <c r="C9" s="559"/>
      <c r="D9" s="559"/>
      <c r="E9" s="559"/>
      <c r="F9" s="559"/>
      <c r="G9" s="559"/>
      <c r="H9" s="559"/>
      <c r="I9" s="559"/>
      <c r="J9" s="559"/>
      <c r="K9" s="559"/>
    </row>
    <row r="10" spans="1:21" s="6" customFormat="1" ht="10.5" customHeight="1">
      <c r="A10" s="15"/>
      <c r="B10" s="559"/>
      <c r="C10" s="559"/>
      <c r="D10" s="559"/>
      <c r="E10" s="559"/>
      <c r="F10" s="559"/>
      <c r="G10" s="559"/>
      <c r="H10" s="559"/>
      <c r="I10" s="559"/>
      <c r="J10" s="559"/>
      <c r="K10" s="559"/>
    </row>
    <row r="11" spans="1:21" s="6" customFormat="1" ht="10.5" customHeight="1">
      <c r="A11" s="15"/>
      <c r="B11" s="559"/>
      <c r="C11" s="559"/>
      <c r="D11" s="559"/>
      <c r="E11" s="559"/>
      <c r="F11" s="559"/>
      <c r="G11" s="559"/>
      <c r="H11" s="559"/>
      <c r="I11" s="559"/>
      <c r="J11" s="559"/>
      <c r="K11" s="559"/>
    </row>
    <row r="12" spans="1:21" s="6" customFormat="1" ht="10.5" customHeight="1">
      <c r="A12" s="15"/>
      <c r="B12" s="559"/>
      <c r="C12" s="559"/>
      <c r="D12" s="559"/>
      <c r="E12" s="559"/>
      <c r="F12" s="559"/>
      <c r="G12" s="559"/>
      <c r="H12" s="559"/>
      <c r="I12" s="559"/>
      <c r="J12" s="559"/>
      <c r="K12" s="559"/>
    </row>
    <row r="13" spans="1:21" s="6" customFormat="1" ht="10.5" customHeight="1">
      <c r="A13" s="15"/>
      <c r="B13" s="559"/>
      <c r="C13" s="559"/>
      <c r="D13" s="559"/>
      <c r="E13" s="559"/>
      <c r="F13" s="559"/>
      <c r="G13" s="559"/>
      <c r="H13" s="559"/>
      <c r="I13" s="559"/>
      <c r="J13" s="559"/>
      <c r="K13" s="559"/>
    </row>
    <row r="14" spans="1:21" s="6" customFormat="1" ht="10.5" customHeight="1">
      <c r="A14" s="15"/>
      <c r="B14" s="559"/>
      <c r="C14" s="559"/>
      <c r="D14" s="559"/>
      <c r="E14" s="559"/>
      <c r="F14" s="559"/>
      <c r="G14" s="559"/>
      <c r="H14" s="559"/>
      <c r="I14" s="559"/>
      <c r="J14" s="559"/>
      <c r="K14" s="559"/>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235</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218</v>
      </c>
      <c r="C17" s="382" t="s">
        <v>219</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220</v>
      </c>
      <c r="C18" s="386" t="s">
        <v>219</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3.5" thickBot="1">
      <c r="A31" s="14" t="str">
        <f t="shared" si="0"/>
        <v/>
      </c>
      <c r="B31" s="390"/>
      <c r="C31" s="391"/>
      <c r="D31" s="392"/>
      <c r="E31" s="393"/>
      <c r="F31" s="394"/>
      <c r="G31" s="378">
        <f t="shared" si="7"/>
        <v>0</v>
      </c>
      <c r="H31" s="378">
        <f t="shared" si="8"/>
        <v>0</v>
      </c>
      <c r="I31" s="378">
        <f t="shared" si="9"/>
        <v>0</v>
      </c>
      <c r="J31" s="556"/>
      <c r="K31" s="557"/>
    </row>
    <row r="32" spans="1:11" ht="13.5" thickBot="1">
      <c r="A32" s="14" t="str">
        <f>IF(COUNTIF(A34:A48,"Nur Tätigkeiten mit geplantem Aufwand")&gt;0,"Nur Tätigkeiten mit geplantem Aufwand","")</f>
        <v/>
      </c>
      <c r="B32" s="405"/>
      <c r="C32" s="405"/>
      <c r="D32" s="405"/>
      <c r="E32" s="405"/>
      <c r="F32" s="405"/>
      <c r="G32" s="405"/>
      <c r="H32" s="405"/>
      <c r="I32" s="405"/>
      <c r="J32" s="558"/>
      <c r="K32" s="558"/>
    </row>
    <row r="33" spans="1:11" ht="13.5" thickBot="1">
      <c r="A33" s="14" t="str">
        <f>IF(COUNTIF(A34:A48,"Nur Tätigkeiten mit geplantem Aufwand")&gt;0,"Nur Tätigkeiten mit geplantem Aufwand","")</f>
        <v/>
      </c>
      <c r="B33" s="379" t="s">
        <v>229</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3.5" thickBot="1">
      <c r="A48" s="14" t="str">
        <f t="shared" si="10"/>
        <v/>
      </c>
      <c r="B48" s="390"/>
      <c r="C48" s="391"/>
      <c r="D48" s="392"/>
      <c r="E48" s="393"/>
      <c r="F48" s="394"/>
      <c r="G48" s="378">
        <f t="shared" si="11"/>
        <v>0</v>
      </c>
      <c r="H48" s="378">
        <f t="shared" si="12"/>
        <v>0</v>
      </c>
      <c r="I48" s="378">
        <f t="shared" si="13"/>
        <v>0</v>
      </c>
      <c r="J48" s="556"/>
      <c r="K48" s="557"/>
    </row>
    <row r="49" spans="1:11" ht="13.5" thickBot="1">
      <c r="A49" s="14" t="str">
        <f>IF(COUNTIF(A51:A65,"Nur Tätigkeiten mit geplantem Aufwand")&gt;0,"Nur Tätigkeiten mit geplantem Aufwand","")</f>
        <v/>
      </c>
      <c r="B49" s="405"/>
      <c r="C49" s="405"/>
      <c r="D49" s="405"/>
      <c r="E49" s="405"/>
      <c r="F49" s="405"/>
      <c r="G49" s="405"/>
      <c r="H49" s="405"/>
      <c r="I49" s="405"/>
      <c r="J49" s="558"/>
      <c r="K49" s="558"/>
    </row>
    <row r="50" spans="1:11" ht="13.5" thickBot="1">
      <c r="A50" s="14" t="str">
        <f>IF(COUNTIF(A51:A65,"Nur Tätigkeiten mit geplantem Aufwand")&gt;0,"Nur Tätigkeiten mit geplantem Aufwand","")</f>
        <v/>
      </c>
      <c r="B50" s="379" t="s">
        <v>221</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3.5" thickBot="1">
      <c r="A65" s="14" t="str">
        <f t="shared" si="14"/>
        <v/>
      </c>
      <c r="B65" s="390"/>
      <c r="C65" s="391"/>
      <c r="D65" s="392"/>
      <c r="E65" s="393"/>
      <c r="F65" s="394"/>
      <c r="G65" s="378">
        <f t="shared" si="15"/>
        <v>0</v>
      </c>
      <c r="H65" s="378">
        <f t="shared" si="16"/>
        <v>0</v>
      </c>
      <c r="I65" s="378">
        <f t="shared" si="17"/>
        <v>0</v>
      </c>
      <c r="J65" s="556"/>
      <c r="K65" s="557"/>
    </row>
    <row r="66" spans="1:11" ht="13.5" thickBot="1">
      <c r="A66" s="14" t="str">
        <f>IF(COUNTIF(A68:A82,"Nur Tätigkeiten mit geplantem Aufwand")&gt;0,"Nur Tätigkeiten mit geplantem Aufwand","")</f>
        <v/>
      </c>
      <c r="B66" s="405"/>
      <c r="C66" s="405"/>
      <c r="D66" s="405"/>
      <c r="E66" s="405"/>
      <c r="F66" s="405"/>
      <c r="G66" s="405"/>
      <c r="H66" s="405"/>
      <c r="I66" s="405"/>
      <c r="J66" s="558"/>
      <c r="K66" s="558"/>
    </row>
    <row r="67" spans="1:11" ht="13.5" thickBot="1">
      <c r="A67" s="14" t="str">
        <f>IF(COUNTIF(A68:A82,"Nur Tätigkeiten mit geplantem Aufwand")&gt;0,"Nur Tätigkeiten mit geplantem Aufwand","")</f>
        <v/>
      </c>
      <c r="B67" s="379" t="s">
        <v>230</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3.5" thickBot="1">
      <c r="A82" s="14" t="str">
        <f t="shared" si="18"/>
        <v/>
      </c>
      <c r="B82" s="390"/>
      <c r="C82" s="391"/>
      <c r="D82" s="392"/>
      <c r="E82" s="393"/>
      <c r="F82" s="394"/>
      <c r="G82" s="378">
        <f t="shared" si="19"/>
        <v>0</v>
      </c>
      <c r="H82" s="378">
        <f t="shared" si="20"/>
        <v>0</v>
      </c>
      <c r="I82" s="378">
        <f t="shared" si="21"/>
        <v>0</v>
      </c>
      <c r="J82" s="556"/>
      <c r="K82" s="557"/>
    </row>
    <row r="83" spans="1:11" ht="13.5" thickBot="1">
      <c r="A83" s="14" t="str">
        <f>IF(COUNTIF(A85:A98,"Nur Tätigkeiten mit geplantem Aufwand")&gt;0,"Nur Tätigkeiten mit geplantem Aufwand","")</f>
        <v/>
      </c>
      <c r="B83" s="405"/>
      <c r="C83" s="405"/>
      <c r="D83" s="405"/>
      <c r="E83" s="405"/>
      <c r="F83" s="405"/>
      <c r="G83" s="405"/>
      <c r="H83" s="405"/>
      <c r="I83" s="405"/>
      <c r="J83" s="558"/>
      <c r="K83" s="558"/>
    </row>
    <row r="84" spans="1:11" ht="13.5" thickBot="1">
      <c r="A84" s="14" t="str">
        <f>IF(COUNTIF(A85:A98,"Nur Tätigkeiten mit geplantem Aufwand")&gt;0,"Nur Tätigkeiten mit geplantem Aufwand","")</f>
        <v/>
      </c>
      <c r="B84" s="379" t="s">
        <v>222</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3.5" thickBot="1">
      <c r="A99" s="14" t="str">
        <f t="shared" si="22"/>
        <v/>
      </c>
      <c r="B99" s="390"/>
      <c r="C99" s="391"/>
      <c r="D99" s="392"/>
      <c r="E99" s="393"/>
      <c r="F99" s="394"/>
      <c r="G99" s="378">
        <f t="shared" si="23"/>
        <v>0</v>
      </c>
      <c r="H99" s="378">
        <f t="shared" si="24"/>
        <v>0</v>
      </c>
      <c r="I99" s="378">
        <f t="shared" si="25"/>
        <v>0</v>
      </c>
      <c r="J99" s="556"/>
      <c r="K99" s="557"/>
    </row>
    <row r="100" spans="1:11" ht="13.5"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3.5" thickBot="1">
      <c r="A101" s="14" t="str">
        <f>IF(COUNTIF(A102:A115,"Nur Tätigkeiten mit geplantem Aufwand")&gt;0,"Nur Tätigkeiten mit geplantem Aufwand","")</f>
        <v/>
      </c>
      <c r="B101" s="379" t="s">
        <v>223</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3.5" thickBot="1">
      <c r="A116" s="14" t="str">
        <f t="shared" si="26"/>
        <v/>
      </c>
      <c r="B116" s="390"/>
      <c r="C116" s="391"/>
      <c r="D116" s="392"/>
      <c r="E116" s="393"/>
      <c r="F116" s="394"/>
      <c r="G116" s="378">
        <f t="shared" si="27"/>
        <v>0</v>
      </c>
      <c r="H116" s="378">
        <f t="shared" si="28"/>
        <v>0</v>
      </c>
      <c r="I116" s="378">
        <f t="shared" si="29"/>
        <v>0</v>
      </c>
      <c r="J116" s="556"/>
      <c r="K116" s="557"/>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3.5" thickBot="1">
      <c r="A118" s="14" t="str">
        <f>IF(COUNTIF(A119:A133,"Nur Tätigkeiten mit geplantem Aufwand")&gt;0,"Nur Tätigkeiten mit geplantem Aufwand","")</f>
        <v>Nur Tätigkeiten mit geplantem Aufwand</v>
      </c>
      <c r="B118" s="379" t="s">
        <v>234</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225</v>
      </c>
      <c r="C119" s="382" t="s">
        <v>224</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226</v>
      </c>
      <c r="C120" s="386" t="s">
        <v>224</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3.5"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3.5" thickBot="1">
      <c r="A135" s="14" t="str">
        <f>IF(COUNTIF(A136:A150,"Nur Tätigkeiten mit geplantem Aufwand")&gt;0,"Nur Tätigkeiten mit geplantem Aufwand","")</f>
        <v/>
      </c>
      <c r="B135" s="379" t="s">
        <v>231</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3.5"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3.5" thickBot="1">
      <c r="A152" s="14" t="str">
        <f>IF(COUNTIF(A153:A166,"Nur Tätigkeiten mit geplantem Aufwand")&gt;0,"Nur Tätigkeiten mit geplantem Aufwand","")</f>
        <v/>
      </c>
      <c r="B152" s="379" t="s">
        <v>232</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3.5" thickBot="1">
      <c r="A167" s="14" t="str">
        <f t="shared" si="41"/>
        <v/>
      </c>
      <c r="B167" s="390"/>
      <c r="C167" s="391"/>
      <c r="D167" s="392"/>
      <c r="E167" s="393"/>
      <c r="F167" s="394"/>
      <c r="G167" s="378">
        <f t="shared" si="42"/>
        <v>0</v>
      </c>
      <c r="H167" s="378">
        <f t="shared" si="43"/>
        <v>0</v>
      </c>
      <c r="I167" s="378">
        <f t="shared" si="44"/>
        <v>0</v>
      </c>
      <c r="J167" s="556"/>
      <c r="K167" s="557"/>
    </row>
    <row r="168" spans="1:11" ht="13.5"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3.5" thickBot="1">
      <c r="A169" s="14" t="str">
        <f>IF(COUNTIF(A170:A184,"Nur Tätigkeiten mit geplantem Aufwand")&gt;0,"Nur Tätigkeiten mit geplantem Aufwand","")</f>
        <v/>
      </c>
      <c r="B169" s="379" t="s">
        <v>233</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3.5" thickBot="1">
      <c r="A184" s="14" t="str">
        <f t="shared" si="45"/>
        <v/>
      </c>
      <c r="B184" s="390"/>
      <c r="C184" s="391"/>
      <c r="D184" s="392"/>
      <c r="E184" s="393"/>
      <c r="F184" s="394"/>
      <c r="G184" s="378">
        <f t="shared" si="46"/>
        <v>0</v>
      </c>
      <c r="H184" s="378">
        <f t="shared" si="47"/>
        <v>0</v>
      </c>
      <c r="I184" s="378">
        <f t="shared" si="48"/>
        <v>0</v>
      </c>
      <c r="J184" s="556"/>
      <c r="K184" s="557"/>
    </row>
    <row r="185" spans="1:11" ht="13.5"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3.5" thickBot="1">
      <c r="A186" s="14" t="str">
        <f>IF(COUNTIF(A187:A201,"Nur Tätigkeiten mit geplantem Aufwand")&gt;0,"Nur Tätigkeiten mit geplantem Aufwand","")</f>
        <v/>
      </c>
      <c r="B186" s="379" t="s">
        <v>227</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3.5" thickBot="1">
      <c r="A201" s="14" t="str">
        <f t="shared" si="49"/>
        <v/>
      </c>
      <c r="B201" s="390"/>
      <c r="C201" s="391"/>
      <c r="D201" s="392"/>
      <c r="E201" s="393"/>
      <c r="F201" s="394"/>
      <c r="G201" s="378">
        <f t="shared" si="50"/>
        <v>0</v>
      </c>
      <c r="H201" s="378">
        <f t="shared" si="51"/>
        <v>0</v>
      </c>
      <c r="I201" s="378">
        <f t="shared" si="52"/>
        <v>0</v>
      </c>
      <c r="J201" s="556"/>
      <c r="K201" s="557"/>
    </row>
    <row r="202" spans="1:11" ht="13.5"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3.5" thickBot="1">
      <c r="A203" s="14" t="str">
        <f>IF(COUNTIF(A204:A218,"Nur Tätigkeiten mit geplantem Aufwand")&gt;0,"Nur Tätigkeiten mit geplantem Aufwand","")</f>
        <v/>
      </c>
      <c r="B203" s="379" t="s">
        <v>228</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3.5" thickBot="1">
      <c r="A218" s="14" t="str">
        <f t="shared" si="53"/>
        <v/>
      </c>
      <c r="B218" s="390"/>
      <c r="C218" s="391"/>
      <c r="D218" s="392"/>
      <c r="E218" s="393"/>
      <c r="F218" s="394"/>
      <c r="G218" s="378">
        <f t="shared" si="54"/>
        <v>0</v>
      </c>
      <c r="H218" s="378">
        <f t="shared" si="55"/>
        <v>0</v>
      </c>
      <c r="I218" s="378">
        <f t="shared" si="56"/>
        <v>0</v>
      </c>
      <c r="J218" s="556"/>
      <c r="K218" s="557"/>
    </row>
    <row r="219" spans="1:11" ht="13.5"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3.5" thickBot="1">
      <c r="A235" s="14" t="str">
        <f t="shared" si="60"/>
        <v/>
      </c>
      <c r="B235" s="390"/>
      <c r="C235" s="391"/>
      <c r="D235" s="392"/>
      <c r="E235" s="393"/>
      <c r="F235" s="394"/>
      <c r="G235" s="378">
        <f t="shared" si="57"/>
        <v>0</v>
      </c>
      <c r="H235" s="378">
        <f t="shared" si="58"/>
        <v>0</v>
      </c>
      <c r="I235" s="378">
        <f t="shared" si="59"/>
        <v>0</v>
      </c>
      <c r="J235" s="556"/>
      <c r="K235" s="557"/>
    </row>
    <row r="236" spans="1:11" ht="13.5" thickBot="1">
      <c r="A236" s="14" t="s">
        <v>236</v>
      </c>
      <c r="B236" s="407"/>
      <c r="C236" s="408"/>
      <c r="D236" s="408"/>
      <c r="E236" s="405"/>
      <c r="F236" s="405"/>
      <c r="G236" s="405"/>
      <c r="H236" s="405"/>
      <c r="I236" s="405"/>
      <c r="J236" s="408"/>
      <c r="K236" s="408"/>
    </row>
    <row r="237" spans="1:11">
      <c r="A237" s="14" t="s">
        <v>236</v>
      </c>
      <c r="B237" s="5"/>
      <c r="C237" s="5"/>
      <c r="E237" s="540" t="s">
        <v>242</v>
      </c>
      <c r="F237" s="541"/>
      <c r="G237" s="17">
        <f>G118+G135+G152+G101+G84+G169+G67+G16+G33+G203+G50+G220+G186</f>
        <v>7070</v>
      </c>
      <c r="H237" s="17">
        <f>H118+H135+H152+H101+H84+H169+H67+H16+H33+H203+H50+H220+H186</f>
        <v>5895</v>
      </c>
      <c r="I237" s="406">
        <f>I118+I135+I152+I101+I84+I169+I67+I16+I33+I203+I50+I220+I186</f>
        <v>8245</v>
      </c>
      <c r="J237" s="16"/>
    </row>
    <row r="238" spans="1:11" ht="15">
      <c r="A238" s="14" t="s">
        <v>236</v>
      </c>
      <c r="B238" s="5"/>
      <c r="E238" s="542" t="s">
        <v>243</v>
      </c>
      <c r="F238" s="543"/>
      <c r="G238" s="396">
        <v>0.1</v>
      </c>
      <c r="H238" s="396">
        <v>0.05</v>
      </c>
      <c r="I238" s="397">
        <v>0.15</v>
      </c>
      <c r="J238" s="16"/>
    </row>
    <row r="239" spans="1:11" ht="15.75" thickBot="1">
      <c r="A239" s="14" t="s">
        <v>236</v>
      </c>
      <c r="B239" s="5"/>
      <c r="E239" s="544" t="s">
        <v>244</v>
      </c>
      <c r="F239" s="545"/>
      <c r="G239" s="395">
        <f>G237*(1+G238)</f>
        <v>7777.0000000000009</v>
      </c>
      <c r="H239" s="395">
        <f>H237*(1+H238)</f>
        <v>6189.75</v>
      </c>
      <c r="I239" s="175">
        <f>I237*(1+I238)</f>
        <v>9481.75</v>
      </c>
      <c r="J239" s="16"/>
    </row>
    <row r="240" spans="1:11">
      <c r="B240" s="5"/>
      <c r="F240" s="5"/>
      <c r="G240" s="5"/>
    </row>
    <row r="241" spans="2:2">
      <c r="B241" s="135" t="s">
        <v>372</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351</v>
      </c>
      <c r="C1" s="427"/>
      <c r="D1" s="427"/>
      <c r="E1" s="464" t="s">
        <v>129</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5" spans="2:17" ht="13.5" thickBot="1"/>
    <row r="6" spans="2:17" ht="13.5"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372</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351</v>
      </c>
      <c r="C1" s="427"/>
      <c r="D1" s="427"/>
      <c r="E1" s="464" t="s">
        <v>401</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6" spans="2:17" ht="18.75">
      <c r="B6" s="415" t="s">
        <v>481</v>
      </c>
    </row>
    <row r="7" spans="2:17" ht="15.75">
      <c r="B7" s="411" t="s">
        <v>484</v>
      </c>
    </row>
    <row r="8" spans="2:17" s="6" customFormat="1" ht="15"/>
    <row r="9" spans="2:17" s="6" customFormat="1" ht="18.75">
      <c r="B9" s="415" t="s">
        <v>409</v>
      </c>
    </row>
    <row r="10" spans="2:17" s="6" customFormat="1" ht="7.5" customHeight="1"/>
    <row r="11" spans="2:17" s="6" customFormat="1" ht="15">
      <c r="B11" s="6" t="s">
        <v>402</v>
      </c>
      <c r="D11" s="414">
        <v>0</v>
      </c>
    </row>
    <row r="12" spans="2:17" s="6" customFormat="1" ht="15">
      <c r="B12" s="6" t="s">
        <v>403</v>
      </c>
      <c r="D12" s="414">
        <v>0.25</v>
      </c>
    </row>
    <row r="13" spans="2:17" s="6" customFormat="1" ht="15">
      <c r="B13" s="6" t="s">
        <v>404</v>
      </c>
      <c r="D13" s="414">
        <v>0.35</v>
      </c>
    </row>
    <row r="14" spans="2:17" s="6" customFormat="1" ht="15">
      <c r="B14" s="6" t="s">
        <v>405</v>
      </c>
      <c r="D14" s="414">
        <v>0.42</v>
      </c>
    </row>
    <row r="15" spans="2:17" s="6" customFormat="1" ht="15">
      <c r="B15" s="6" t="s">
        <v>406</v>
      </c>
      <c r="D15" s="414">
        <v>0.48</v>
      </c>
    </row>
    <row r="16" spans="2:17" s="6" customFormat="1" ht="15">
      <c r="B16" s="6" t="s">
        <v>407</v>
      </c>
      <c r="D16" s="414">
        <v>0.5</v>
      </c>
    </row>
    <row r="17" spans="2:14" s="6" customFormat="1" ht="15">
      <c r="B17" s="6" t="s">
        <v>408</v>
      </c>
      <c r="D17" s="414">
        <v>0.55000000000000004</v>
      </c>
    </row>
    <row r="18" spans="2:14" s="6" customFormat="1" ht="15"/>
    <row r="19" spans="2:14" s="6" customFormat="1" ht="15">
      <c r="B19" s="562" t="s">
        <v>418</v>
      </c>
      <c r="C19" s="562"/>
      <c r="D19" s="562"/>
      <c r="E19" s="562"/>
      <c r="F19" s="562"/>
      <c r="G19" s="562"/>
      <c r="H19" s="562"/>
      <c r="I19" s="562"/>
      <c r="J19" s="562"/>
      <c r="K19" s="562"/>
      <c r="L19" s="562"/>
      <c r="M19" s="562"/>
      <c r="N19" s="562"/>
    </row>
    <row r="20" spans="2:14" s="6" customFormat="1" ht="15">
      <c r="B20" s="562"/>
      <c r="C20" s="562"/>
      <c r="D20" s="562"/>
      <c r="E20" s="562"/>
      <c r="F20" s="562"/>
      <c r="G20" s="562"/>
      <c r="H20" s="562"/>
      <c r="I20" s="562"/>
      <c r="J20" s="562"/>
      <c r="K20" s="562"/>
      <c r="L20" s="562"/>
      <c r="M20" s="562"/>
      <c r="N20" s="562"/>
    </row>
    <row r="21" spans="2:14" s="6" customFormat="1" ht="15"/>
    <row r="22" spans="2:14" s="6" customFormat="1" ht="15"/>
    <row r="23" spans="2:14" s="6" customFormat="1" ht="15"/>
    <row r="24" spans="2:14" s="6" customFormat="1" ht="15"/>
    <row r="25" spans="2:14" s="6" customFormat="1" ht="15"/>
    <row r="26" spans="2:14" s="6" customFormat="1" ht="18.75">
      <c r="B26" s="415" t="s">
        <v>410</v>
      </c>
    </row>
    <row r="27" spans="2:14" s="6" customFormat="1" ht="6.75" customHeight="1"/>
    <row r="28" spans="2:14" s="6" customFormat="1" ht="15">
      <c r="B28" s="560" t="s">
        <v>419</v>
      </c>
      <c r="C28" s="560"/>
      <c r="D28" s="560"/>
      <c r="E28" s="560"/>
      <c r="F28" s="560"/>
      <c r="G28" s="560"/>
      <c r="H28" s="560"/>
      <c r="I28" s="560"/>
      <c r="J28" s="560"/>
      <c r="K28" s="560"/>
      <c r="L28" s="560"/>
      <c r="M28" s="560"/>
      <c r="N28" s="560"/>
    </row>
    <row r="29" spans="2:14" s="6" customFormat="1" ht="15">
      <c r="B29" s="560"/>
      <c r="C29" s="560"/>
      <c r="D29" s="560"/>
      <c r="E29" s="560"/>
      <c r="F29" s="560"/>
      <c r="G29" s="560"/>
      <c r="H29" s="560"/>
      <c r="I29" s="560"/>
      <c r="J29" s="560"/>
      <c r="K29" s="560"/>
      <c r="L29" s="560"/>
      <c r="M29" s="560"/>
      <c r="N29" s="560"/>
    </row>
    <row r="30" spans="2:14" s="6" customFormat="1" ht="15"/>
    <row r="31" spans="2:14" s="6" customFormat="1" ht="15">
      <c r="B31" s="413" t="s">
        <v>411</v>
      </c>
    </row>
    <row r="32" spans="2:14" s="6" customFormat="1" ht="15">
      <c r="B32" s="413"/>
    </row>
    <row r="33" spans="2:14" s="6" customFormat="1" ht="15">
      <c r="B33" s="412" t="s">
        <v>412</v>
      </c>
    </row>
    <row r="34" spans="2:14" s="6" customFormat="1" ht="15">
      <c r="B34" s="6" t="s">
        <v>413</v>
      </c>
    </row>
    <row r="35" spans="2:14" s="6" customFormat="1" ht="15">
      <c r="B35" s="6" t="s">
        <v>414</v>
      </c>
    </row>
    <row r="36" spans="2:14" s="6" customFormat="1" ht="15"/>
    <row r="37" spans="2:14" s="6" customFormat="1" ht="15">
      <c r="B37" s="412" t="s">
        <v>415</v>
      </c>
    </row>
    <row r="38" spans="2:14" s="6" customFormat="1" ht="15">
      <c r="B38" s="6" t="s">
        <v>416</v>
      </c>
    </row>
    <row r="39" spans="2:14" s="6" customFormat="1" ht="15">
      <c r="B39" s="6" t="s">
        <v>459</v>
      </c>
    </row>
    <row r="40" spans="2:14" s="6" customFormat="1" ht="15"/>
    <row r="41" spans="2:14" s="6" customFormat="1" ht="15">
      <c r="B41" s="412" t="s">
        <v>417</v>
      </c>
    </row>
    <row r="42" spans="2:14" s="6" customFormat="1" ht="15">
      <c r="B42" s="6" t="s">
        <v>416</v>
      </c>
    </row>
    <row r="43" spans="2:14" s="6" customFormat="1" ht="15">
      <c r="B43" s="6" t="s">
        <v>460</v>
      </c>
    </row>
    <row r="44" spans="2:14" s="6" customFormat="1" ht="15"/>
    <row r="45" spans="2:14" s="6" customFormat="1" ht="15">
      <c r="B45" s="6" t="s">
        <v>421</v>
      </c>
    </row>
    <row r="46" spans="2:14" s="6" customFormat="1" ht="15"/>
    <row r="47" spans="2:14" s="6" customFormat="1" ht="15">
      <c r="B47" s="560" t="s">
        <v>420</v>
      </c>
      <c r="C47" s="560"/>
      <c r="D47" s="560"/>
      <c r="E47" s="560"/>
      <c r="F47" s="560"/>
      <c r="G47" s="560"/>
      <c r="H47" s="560"/>
      <c r="I47" s="560"/>
      <c r="J47" s="560"/>
      <c r="K47" s="560"/>
      <c r="L47" s="560"/>
      <c r="M47" s="560"/>
      <c r="N47" s="560"/>
    </row>
    <row r="48" spans="2:14" s="6" customFormat="1" ht="15">
      <c r="B48" s="560"/>
      <c r="C48" s="560"/>
      <c r="D48" s="560"/>
      <c r="E48" s="560"/>
      <c r="F48" s="560"/>
      <c r="G48" s="560"/>
      <c r="H48" s="560"/>
      <c r="I48" s="560"/>
      <c r="J48" s="560"/>
      <c r="K48" s="560"/>
      <c r="L48" s="560"/>
      <c r="M48" s="560"/>
      <c r="N48" s="560"/>
    </row>
    <row r="49" spans="2:14" s="6" customFormat="1" ht="15"/>
    <row r="50" spans="2:14" s="6" customFormat="1" ht="15"/>
    <row r="51" spans="2:14" s="6" customFormat="1" ht="15"/>
    <row r="52" spans="2:14" s="6" customFormat="1" ht="15"/>
    <row r="53" spans="2:14" s="6" customFormat="1" ht="15"/>
    <row r="54" spans="2:14" s="6" customFormat="1" ht="18.75">
      <c r="B54" s="415" t="s">
        <v>422</v>
      </c>
    </row>
    <row r="55" spans="2:14" s="6" customFormat="1" ht="15"/>
    <row r="56" spans="2:14" s="6" customFormat="1" ht="15">
      <c r="B56" s="6" t="s">
        <v>461</v>
      </c>
    </row>
    <row r="57" spans="2:14" s="6" customFormat="1" ht="15"/>
    <row r="58" spans="2:14" s="6" customFormat="1" ht="15"/>
    <row r="59" spans="2:14" s="6" customFormat="1" ht="15">
      <c r="B59" s="412" t="s">
        <v>423</v>
      </c>
    </row>
    <row r="60" spans="2:14" s="6" customFormat="1" ht="15">
      <c r="B60" s="560" t="s">
        <v>462</v>
      </c>
      <c r="C60" s="560"/>
      <c r="D60" s="560"/>
      <c r="E60" s="560"/>
      <c r="F60" s="560"/>
      <c r="G60" s="560"/>
      <c r="H60" s="560"/>
      <c r="I60" s="560"/>
      <c r="J60" s="560"/>
      <c r="K60" s="560"/>
      <c r="L60" s="560"/>
      <c r="M60" s="560"/>
      <c r="N60" s="560"/>
    </row>
    <row r="61" spans="2:14" s="6" customFormat="1" ht="15">
      <c r="B61" s="560"/>
      <c r="C61" s="560"/>
      <c r="D61" s="560"/>
      <c r="E61" s="560"/>
      <c r="F61" s="560"/>
      <c r="G61" s="560"/>
      <c r="H61" s="560"/>
      <c r="I61" s="560"/>
      <c r="J61" s="560"/>
      <c r="K61" s="560"/>
      <c r="L61" s="560"/>
      <c r="M61" s="560"/>
      <c r="N61" s="560"/>
    </row>
    <row r="62" spans="2:14" s="6" customFormat="1" ht="15"/>
    <row r="63" spans="2:14" s="6" customFormat="1" ht="15">
      <c r="B63" s="413" t="s">
        <v>424</v>
      </c>
      <c r="C63" s="6" t="s">
        <v>425</v>
      </c>
    </row>
    <row r="64" spans="2:14" s="6" customFormat="1" ht="15">
      <c r="C64" s="6" t="s">
        <v>426</v>
      </c>
    </row>
    <row r="65" spans="2:14" s="6" customFormat="1" ht="15">
      <c r="C65" s="6" t="s">
        <v>427</v>
      </c>
    </row>
    <row r="66" spans="2:14" s="6" customFormat="1" ht="15">
      <c r="C66" s="6" t="s">
        <v>428</v>
      </c>
    </row>
    <row r="67" spans="2:14" s="6" customFormat="1" ht="15">
      <c r="C67" s="6" t="s">
        <v>429</v>
      </c>
    </row>
    <row r="68" spans="2:14" s="6" customFormat="1" ht="15">
      <c r="C68" s="6" t="s">
        <v>430</v>
      </c>
    </row>
    <row r="69" spans="2:14" s="6" customFormat="1" ht="15"/>
    <row r="70" spans="2:14" s="6" customFormat="1" ht="15"/>
    <row r="71" spans="2:14" s="6" customFormat="1" ht="15">
      <c r="B71" s="412" t="s">
        <v>431</v>
      </c>
    </row>
    <row r="72" spans="2:14" s="6" customFormat="1" ht="15">
      <c r="B72" s="560" t="s">
        <v>463</v>
      </c>
      <c r="C72" s="560"/>
      <c r="D72" s="560"/>
      <c r="E72" s="560"/>
      <c r="F72" s="560"/>
      <c r="G72" s="560"/>
      <c r="H72" s="560"/>
      <c r="I72" s="560"/>
      <c r="J72" s="560"/>
      <c r="K72" s="560"/>
      <c r="L72" s="560"/>
      <c r="M72" s="560"/>
      <c r="N72" s="560"/>
    </row>
    <row r="73" spans="2:14" s="6" customFormat="1" ht="15">
      <c r="B73" s="560"/>
      <c r="C73" s="560"/>
      <c r="D73" s="560"/>
      <c r="E73" s="560"/>
      <c r="F73" s="560"/>
      <c r="G73" s="560"/>
      <c r="H73" s="560"/>
      <c r="I73" s="560"/>
      <c r="J73" s="560"/>
      <c r="K73" s="560"/>
      <c r="L73" s="560"/>
      <c r="M73" s="560"/>
      <c r="N73" s="560"/>
    </row>
    <row r="74" spans="2:14" s="6" customFormat="1" ht="15"/>
    <row r="75" spans="2:14" s="6" customFormat="1" ht="15">
      <c r="B75" s="413" t="s">
        <v>424</v>
      </c>
      <c r="C75" s="6" t="s">
        <v>432</v>
      </c>
    </row>
    <row r="76" spans="2:14" s="6" customFormat="1" ht="15">
      <c r="C76" s="6" t="s">
        <v>433</v>
      </c>
    </row>
    <row r="77" spans="2:14" s="6" customFormat="1" ht="15">
      <c r="C77" s="6" t="s">
        <v>434</v>
      </c>
    </row>
    <row r="78" spans="2:14" s="6" customFormat="1" ht="15">
      <c r="C78" s="6" t="s">
        <v>435</v>
      </c>
    </row>
    <row r="79" spans="2:14" s="6" customFormat="1" ht="15">
      <c r="C79" s="6" t="s">
        <v>436</v>
      </c>
    </row>
    <row r="80" spans="2:14" s="6" customFormat="1" ht="15">
      <c r="C80" s="6" t="s">
        <v>437</v>
      </c>
    </row>
    <row r="81" spans="2:14" s="6" customFormat="1" ht="15">
      <c r="C81" s="6" t="s">
        <v>438</v>
      </c>
    </row>
    <row r="82" spans="2:14" s="6" customFormat="1" ht="15">
      <c r="C82" s="6" t="s">
        <v>439</v>
      </c>
    </row>
    <row r="83" spans="2:14" s="6" customFormat="1" ht="15">
      <c r="C83" s="6" t="s">
        <v>440</v>
      </c>
    </row>
    <row r="84" spans="2:14" s="6" customFormat="1" ht="15">
      <c r="C84" s="6" t="s">
        <v>441</v>
      </c>
    </row>
    <row r="85" spans="2:14" s="6" customFormat="1" ht="15">
      <c r="C85" s="6" t="s">
        <v>442</v>
      </c>
      <c r="E85" s="45"/>
    </row>
    <row r="86" spans="2:14" s="6" customFormat="1" ht="15">
      <c r="C86" s="6" t="s">
        <v>443</v>
      </c>
    </row>
    <row r="87" spans="2:14" s="6" customFormat="1" ht="15">
      <c r="C87" s="6" t="s">
        <v>444</v>
      </c>
    </row>
    <row r="88" spans="2:14" s="6" customFormat="1" ht="15">
      <c r="C88" s="6" t="s">
        <v>445</v>
      </c>
    </row>
    <row r="89" spans="2:14" s="6" customFormat="1" ht="15">
      <c r="C89" s="6" t="s">
        <v>446</v>
      </c>
    </row>
    <row r="90" spans="2:14" s="6" customFormat="1" ht="15"/>
    <row r="91" spans="2:14" s="6" customFormat="1" ht="15"/>
    <row r="92" spans="2:14" s="6" customFormat="1" ht="15">
      <c r="B92" s="412" t="s">
        <v>447</v>
      </c>
    </row>
    <row r="93" spans="2:14" s="6" customFormat="1" ht="15">
      <c r="B93" s="560" t="s">
        <v>464</v>
      </c>
      <c r="C93" s="560"/>
      <c r="D93" s="560"/>
      <c r="E93" s="560"/>
      <c r="F93" s="560"/>
      <c r="G93" s="560"/>
      <c r="H93" s="560"/>
      <c r="I93" s="560"/>
      <c r="J93" s="560"/>
      <c r="K93" s="560"/>
      <c r="L93" s="560"/>
      <c r="M93" s="560"/>
      <c r="N93" s="560"/>
    </row>
    <row r="94" spans="2:14" s="6" customFormat="1" ht="15">
      <c r="B94" s="560"/>
      <c r="C94" s="560"/>
      <c r="D94" s="560"/>
      <c r="E94" s="560"/>
      <c r="F94" s="560"/>
      <c r="G94" s="560"/>
      <c r="H94" s="560"/>
      <c r="I94" s="560"/>
      <c r="J94" s="560"/>
      <c r="K94" s="560"/>
      <c r="L94" s="560"/>
      <c r="M94" s="560"/>
      <c r="N94" s="560"/>
    </row>
    <row r="95" spans="2:14" s="6" customFormat="1" ht="15">
      <c r="B95" s="417"/>
      <c r="C95" s="417"/>
      <c r="D95" s="417"/>
      <c r="E95" s="417"/>
      <c r="F95" s="417"/>
      <c r="G95" s="417"/>
      <c r="H95" s="417"/>
      <c r="I95" s="417"/>
      <c r="J95" s="417"/>
      <c r="K95" s="417"/>
      <c r="L95" s="417"/>
      <c r="M95" s="417"/>
      <c r="N95" s="417"/>
    </row>
    <row r="96" spans="2:14" s="6" customFormat="1" ht="15">
      <c r="B96" s="413" t="s">
        <v>424</v>
      </c>
      <c r="C96" s="6" t="s">
        <v>448</v>
      </c>
    </row>
    <row r="97" spans="2:3" s="6" customFormat="1" ht="15">
      <c r="C97" s="6" t="s">
        <v>449</v>
      </c>
    </row>
    <row r="98" spans="2:3" s="6" customFormat="1" ht="15">
      <c r="C98" s="6" t="s">
        <v>450</v>
      </c>
    </row>
    <row r="99" spans="2:3" s="6" customFormat="1" ht="15">
      <c r="C99" s="6" t="s">
        <v>451</v>
      </c>
    </row>
    <row r="100" spans="2:3" s="6" customFormat="1" ht="15">
      <c r="C100" s="6" t="s">
        <v>452</v>
      </c>
    </row>
    <row r="101" spans="2:3" s="6" customFormat="1" ht="15">
      <c r="C101" s="6" t="s">
        <v>453</v>
      </c>
    </row>
    <row r="102" spans="2:3" s="6" customFormat="1" ht="15">
      <c r="C102" s="6" t="s">
        <v>454</v>
      </c>
    </row>
    <row r="103" spans="2:3" s="6" customFormat="1" ht="15">
      <c r="C103" s="6" t="s">
        <v>455</v>
      </c>
    </row>
    <row r="104" spans="2:3" s="6" customFormat="1" ht="15"/>
    <row r="105" spans="2:3" s="6" customFormat="1" ht="15">
      <c r="B105" s="6" t="s">
        <v>456</v>
      </c>
    </row>
    <row r="106" spans="2:3" s="6" customFormat="1" ht="15"/>
    <row r="107" spans="2:3" s="6" customFormat="1" ht="15">
      <c r="B107" s="6" t="s">
        <v>457</v>
      </c>
    </row>
    <row r="108" spans="2:3" s="6" customFormat="1" ht="15">
      <c r="B108" s="6" t="s">
        <v>465</v>
      </c>
    </row>
    <row r="109" spans="2:3" s="6" customFormat="1" ht="15">
      <c r="B109" s="6" t="s">
        <v>458</v>
      </c>
    </row>
    <row r="110" spans="2:3" s="6" customFormat="1" ht="15"/>
    <row r="111" spans="2:3" s="6" customFormat="1" ht="15"/>
    <row r="112" spans="2:3" s="6" customFormat="1" ht="15"/>
    <row r="113" spans="1:14" s="6" customFormat="1" ht="15">
      <c r="B113" s="412" t="s">
        <v>480</v>
      </c>
    </row>
    <row r="114" spans="1:14" s="6" customFormat="1" ht="15">
      <c r="B114" s="416"/>
    </row>
    <row r="115" spans="1:14" s="6" customFormat="1" ht="15">
      <c r="B115" s="416"/>
    </row>
    <row r="116" spans="1:14" s="6" customFormat="1" ht="15">
      <c r="A116" s="5"/>
      <c r="B116" s="561" t="s">
        <v>372</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K38" sqref="K38"/>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363</v>
      </c>
      <c r="C1" s="532"/>
      <c r="D1" s="532"/>
      <c r="E1" s="532"/>
      <c r="F1" s="532"/>
      <c r="G1" s="472" t="s">
        <v>364</v>
      </c>
      <c r="H1" s="472"/>
      <c r="I1" s="472"/>
      <c r="J1" s="472"/>
      <c r="K1" s="472"/>
      <c r="L1" s="472"/>
      <c r="O1" s="237"/>
      <c r="S1" s="238"/>
      <c r="T1" s="271"/>
    </row>
    <row r="2" spans="2:20" s="150" customFormat="1" ht="1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f>12*I18</f>
        <v>26400</v>
      </c>
      <c r="I18" s="85">
        <v>2200</v>
      </c>
      <c r="J18" s="84"/>
      <c r="K18" s="84"/>
      <c r="L18" s="84"/>
      <c r="M18" s="84"/>
      <c r="N18" s="84"/>
      <c r="O18" s="86"/>
      <c r="P18" s="62"/>
    </row>
    <row r="19" spans="2:16">
      <c r="B19" s="61"/>
      <c r="C19" s="83" t="s">
        <v>150</v>
      </c>
      <c r="D19" s="84"/>
      <c r="E19" s="84"/>
      <c r="F19" s="84"/>
      <c r="G19" s="84"/>
      <c r="H19" s="85">
        <f>12*I19</f>
        <v>2400</v>
      </c>
      <c r="I19" s="85">
        <v>200</v>
      </c>
      <c r="J19" s="84"/>
      <c r="K19" s="84"/>
      <c r="L19" s="84"/>
      <c r="M19" s="84"/>
      <c r="N19" s="84"/>
      <c r="O19" s="86"/>
      <c r="P19" s="62"/>
    </row>
    <row r="20" spans="2:16">
      <c r="B20" s="61"/>
      <c r="C20" s="87" t="s">
        <v>151</v>
      </c>
      <c r="D20" s="88"/>
      <c r="E20" s="88"/>
      <c r="F20" s="88"/>
      <c r="G20" s="88"/>
      <c r="H20" s="85">
        <f>12*I20</f>
        <v>0</v>
      </c>
      <c r="I20" s="89">
        <v>0</v>
      </c>
      <c r="J20" s="88"/>
      <c r="K20" s="88"/>
      <c r="L20" s="88"/>
      <c r="M20" s="88"/>
      <c r="N20" s="88"/>
      <c r="O20" s="90"/>
      <c r="P20" s="62"/>
    </row>
    <row r="21" spans="2:16">
      <c r="B21" s="61"/>
      <c r="C21" s="87" t="s">
        <v>152</v>
      </c>
      <c r="D21" s="88"/>
      <c r="E21" s="88"/>
      <c r="F21" s="88"/>
      <c r="G21" s="88"/>
      <c r="H21" s="89">
        <f t="shared" ref="H21:H25" si="0">12*I21</f>
        <v>0</v>
      </c>
      <c r="I21" s="89">
        <v>0</v>
      </c>
      <c r="J21" s="88"/>
      <c r="K21" s="88"/>
      <c r="L21" s="88"/>
      <c r="M21" s="88"/>
      <c r="N21" s="88"/>
      <c r="O21" s="90"/>
      <c r="P21" s="62"/>
    </row>
    <row r="22" spans="2:16">
      <c r="B22" s="61"/>
      <c r="C22" s="87" t="s">
        <v>43</v>
      </c>
      <c r="D22" s="88"/>
      <c r="E22" s="88"/>
      <c r="F22" s="88"/>
      <c r="G22" s="88"/>
      <c r="H22" s="89">
        <f t="shared" si="0"/>
        <v>600</v>
      </c>
      <c r="I22" s="89">
        <v>50</v>
      </c>
      <c r="J22" s="88"/>
      <c r="K22" s="88"/>
      <c r="L22" s="88"/>
      <c r="M22" s="88"/>
      <c r="N22" s="88"/>
      <c r="O22" s="90"/>
      <c r="P22" s="62"/>
    </row>
    <row r="23" spans="2:16">
      <c r="B23" s="61"/>
      <c r="C23" s="87" t="s">
        <v>153</v>
      </c>
      <c r="D23" s="88"/>
      <c r="E23" s="88"/>
      <c r="F23" s="88"/>
      <c r="G23" s="88"/>
      <c r="H23" s="89">
        <f t="shared" si="0"/>
        <v>3600</v>
      </c>
      <c r="I23" s="89">
        <v>300</v>
      </c>
      <c r="J23" s="88"/>
      <c r="K23" s="88"/>
      <c r="L23" s="88"/>
      <c r="M23" s="88"/>
      <c r="N23" s="88"/>
      <c r="O23" s="90"/>
      <c r="P23" s="62"/>
    </row>
    <row r="24" spans="2:16">
      <c r="B24" s="61"/>
      <c r="C24" s="87" t="s">
        <v>154</v>
      </c>
      <c r="D24" s="88"/>
      <c r="E24" s="88"/>
      <c r="F24" s="88"/>
      <c r="G24" s="88"/>
      <c r="H24" s="89">
        <f t="shared" si="0"/>
        <v>0</v>
      </c>
      <c r="I24" s="89">
        <v>0</v>
      </c>
      <c r="J24" s="88"/>
      <c r="K24" s="88"/>
      <c r="L24" s="88"/>
      <c r="M24" s="88"/>
      <c r="N24" s="88"/>
      <c r="O24" s="90"/>
      <c r="P24" s="62"/>
    </row>
    <row r="25" spans="2:16" ht="15.75" thickBot="1">
      <c r="B25" s="61"/>
      <c r="C25" s="87" t="s">
        <v>155</v>
      </c>
      <c r="D25" s="88"/>
      <c r="E25" s="88"/>
      <c r="F25" s="88"/>
      <c r="G25" s="88"/>
      <c r="H25" s="89">
        <f t="shared" si="0"/>
        <v>0</v>
      </c>
      <c r="I25" s="89">
        <v>0</v>
      </c>
      <c r="J25" s="88"/>
      <c r="K25" s="88"/>
      <c r="L25" s="88"/>
      <c r="M25" s="88"/>
      <c r="N25" s="88"/>
      <c r="O25" s="90"/>
      <c r="P25" s="62"/>
    </row>
    <row r="26" spans="2:16" ht="15.75" thickTop="1">
      <c r="B26" s="61"/>
      <c r="C26" s="91" t="s">
        <v>7</v>
      </c>
      <c r="D26" s="92"/>
      <c r="E26" s="92"/>
      <c r="F26" s="92"/>
      <c r="G26" s="92"/>
      <c r="H26" s="93">
        <f>12*I26</f>
        <v>33000</v>
      </c>
      <c r="I26" s="93">
        <f>SUM(I18:I25)</f>
        <v>2750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f>I29*12</f>
        <v>7800</v>
      </c>
      <c r="I29" s="99">
        <v>650</v>
      </c>
      <c r="J29" s="84"/>
      <c r="K29" s="88" t="s">
        <v>157</v>
      </c>
      <c r="L29" s="84"/>
      <c r="M29" s="84"/>
      <c r="N29" s="84"/>
      <c r="O29" s="86"/>
      <c r="P29" s="62"/>
    </row>
    <row r="30" spans="2:16">
      <c r="B30" s="61"/>
      <c r="C30" s="87" t="s">
        <v>158</v>
      </c>
      <c r="D30" s="88"/>
      <c r="E30" s="88"/>
      <c r="F30" s="88"/>
      <c r="G30" s="88"/>
      <c r="H30" s="100">
        <f>I30*12</f>
        <v>2400</v>
      </c>
      <c r="I30" s="100">
        <v>200</v>
      </c>
      <c r="J30" s="88"/>
      <c r="K30" s="88"/>
      <c r="L30" s="88"/>
      <c r="M30" s="88"/>
      <c r="N30" s="88"/>
      <c r="O30" s="90"/>
      <c r="P30" s="62"/>
    </row>
    <row r="31" spans="2:16">
      <c r="B31" s="61"/>
      <c r="C31" s="87" t="s">
        <v>159</v>
      </c>
      <c r="D31" s="88"/>
      <c r="E31" s="88"/>
      <c r="F31" s="88"/>
      <c r="G31" s="88"/>
      <c r="H31" s="100">
        <f>I31*12</f>
        <v>1200</v>
      </c>
      <c r="I31" s="100">
        <v>100</v>
      </c>
      <c r="J31" s="88"/>
      <c r="K31" s="88" t="s">
        <v>160</v>
      </c>
      <c r="L31" s="88"/>
      <c r="M31" s="88"/>
      <c r="N31" s="88"/>
      <c r="O31" s="90"/>
      <c r="P31" s="62"/>
    </row>
    <row r="32" spans="2:16">
      <c r="B32" s="61"/>
      <c r="C32" s="87" t="s">
        <v>161</v>
      </c>
      <c r="D32" s="88"/>
      <c r="E32" s="88"/>
      <c r="F32" s="88"/>
      <c r="G32" s="88"/>
      <c r="H32" s="100">
        <f t="shared" ref="H32:H45" si="1">I32*12</f>
        <v>1200</v>
      </c>
      <c r="I32" s="100">
        <v>100</v>
      </c>
      <c r="J32" s="88"/>
      <c r="K32" s="88" t="s">
        <v>162</v>
      </c>
      <c r="L32" s="88"/>
      <c r="M32" s="88"/>
      <c r="N32" s="88"/>
      <c r="O32" s="90"/>
      <c r="P32" s="62"/>
    </row>
    <row r="33" spans="2:16">
      <c r="B33" s="61"/>
      <c r="C33" s="87" t="s">
        <v>163</v>
      </c>
      <c r="D33" s="88"/>
      <c r="E33" s="88"/>
      <c r="F33" s="88"/>
      <c r="G33" s="88"/>
      <c r="H33" s="100">
        <f>I33*12</f>
        <v>900</v>
      </c>
      <c r="I33" s="100">
        <v>75</v>
      </c>
      <c r="J33" s="88"/>
      <c r="K33" s="88"/>
      <c r="L33" s="88"/>
      <c r="M33" s="88"/>
      <c r="N33" s="88"/>
      <c r="O33" s="90"/>
      <c r="P33" s="62"/>
    </row>
    <row r="34" spans="2:16">
      <c r="B34" s="61"/>
      <c r="C34" s="87" t="s">
        <v>164</v>
      </c>
      <c r="D34" s="88"/>
      <c r="E34" s="88"/>
      <c r="F34" s="88"/>
      <c r="G34" s="88"/>
      <c r="H34" s="100">
        <f t="shared" si="1"/>
        <v>1800</v>
      </c>
      <c r="I34" s="100">
        <v>150</v>
      </c>
      <c r="J34" s="88"/>
      <c r="K34" s="88" t="s">
        <v>165</v>
      </c>
      <c r="L34" s="88"/>
      <c r="M34" s="88"/>
      <c r="N34" s="88"/>
      <c r="O34" s="90"/>
      <c r="P34" s="62"/>
    </row>
    <row r="35" spans="2:16">
      <c r="B35" s="61"/>
      <c r="C35" s="87" t="s">
        <v>166</v>
      </c>
      <c r="D35" s="88"/>
      <c r="E35" s="88"/>
      <c r="F35" s="88"/>
      <c r="G35" s="88"/>
      <c r="H35" s="100">
        <f t="shared" si="1"/>
        <v>300</v>
      </c>
      <c r="I35" s="100">
        <v>25</v>
      </c>
      <c r="J35" s="88"/>
      <c r="K35" s="88"/>
      <c r="L35" s="88"/>
      <c r="M35" s="88"/>
      <c r="N35" s="88"/>
      <c r="O35" s="90"/>
      <c r="P35" s="62"/>
    </row>
    <row r="36" spans="2:16">
      <c r="B36" s="61"/>
      <c r="C36" s="87" t="s">
        <v>167</v>
      </c>
      <c r="D36" s="88"/>
      <c r="E36" s="88"/>
      <c r="F36" s="88"/>
      <c r="G36" s="88"/>
      <c r="H36" s="100">
        <f>I36*12</f>
        <v>600</v>
      </c>
      <c r="I36" s="100">
        <v>50</v>
      </c>
      <c r="J36" s="88"/>
      <c r="K36" s="88"/>
      <c r="L36" s="88"/>
      <c r="M36" s="88"/>
      <c r="N36" s="88"/>
      <c r="O36" s="90"/>
      <c r="P36" s="62"/>
    </row>
    <row r="37" spans="2:16">
      <c r="B37" s="61"/>
      <c r="C37" s="87" t="s">
        <v>168</v>
      </c>
      <c r="D37" s="88"/>
      <c r="E37" s="88"/>
      <c r="F37" s="88"/>
      <c r="G37" s="88"/>
      <c r="H37" s="100">
        <f t="shared" si="1"/>
        <v>600</v>
      </c>
      <c r="I37" s="100">
        <v>50</v>
      </c>
      <c r="J37" s="88"/>
      <c r="K37" s="88" t="s">
        <v>169</v>
      </c>
      <c r="L37" s="88"/>
      <c r="M37" s="88"/>
      <c r="N37" s="88"/>
      <c r="O37" s="90"/>
      <c r="P37" s="62"/>
    </row>
    <row r="38" spans="2:16">
      <c r="B38" s="61"/>
      <c r="C38" s="87" t="s">
        <v>170</v>
      </c>
      <c r="D38" s="88"/>
      <c r="E38" s="88"/>
      <c r="F38" s="88"/>
      <c r="G38" s="88"/>
      <c r="H38" s="100">
        <f t="shared" si="1"/>
        <v>1944</v>
      </c>
      <c r="I38" s="100">
        <v>162</v>
      </c>
      <c r="J38" s="88"/>
      <c r="K38" s="88"/>
      <c r="L38" s="88"/>
      <c r="M38" s="88"/>
      <c r="N38" s="88"/>
      <c r="O38" s="90"/>
      <c r="P38" s="62"/>
    </row>
    <row r="39" spans="2:16">
      <c r="B39" s="61"/>
      <c r="C39" s="87" t="s">
        <v>171</v>
      </c>
      <c r="D39" s="88"/>
      <c r="E39" s="88"/>
      <c r="F39" s="88"/>
      <c r="G39" s="88"/>
      <c r="H39" s="100">
        <f t="shared" si="1"/>
        <v>960</v>
      </c>
      <c r="I39" s="100">
        <v>80</v>
      </c>
      <c r="J39" s="88"/>
      <c r="K39" s="88" t="s">
        <v>172</v>
      </c>
      <c r="L39" s="88"/>
      <c r="M39" s="88"/>
      <c r="N39" s="88"/>
      <c r="O39" s="90"/>
      <c r="P39" s="62"/>
    </row>
    <row r="40" spans="2:16">
      <c r="B40" s="61"/>
      <c r="C40" s="87" t="s">
        <v>173</v>
      </c>
      <c r="D40" s="88"/>
      <c r="E40" s="88"/>
      <c r="F40" s="88"/>
      <c r="G40" s="88"/>
      <c r="H40" s="100">
        <f t="shared" si="1"/>
        <v>1044</v>
      </c>
      <c r="I40" s="100">
        <v>87</v>
      </c>
      <c r="J40" s="88"/>
      <c r="K40" s="88" t="s">
        <v>174</v>
      </c>
      <c r="L40" s="88"/>
      <c r="M40" s="88"/>
      <c r="N40" s="88"/>
      <c r="O40" s="90"/>
      <c r="P40" s="62"/>
    </row>
    <row r="41" spans="2:16">
      <c r="B41" s="61"/>
      <c r="C41" s="87" t="s">
        <v>175</v>
      </c>
      <c r="D41" s="88"/>
      <c r="E41" s="88"/>
      <c r="F41" s="88"/>
      <c r="G41" s="88"/>
      <c r="H41" s="100">
        <f t="shared" si="1"/>
        <v>2244</v>
      </c>
      <c r="I41" s="100">
        <v>187</v>
      </c>
      <c r="J41" s="88"/>
      <c r="K41" s="88"/>
      <c r="L41" s="88"/>
      <c r="M41" s="88"/>
      <c r="N41" s="88"/>
      <c r="O41" s="90"/>
      <c r="P41" s="62"/>
    </row>
    <row r="42" spans="2:16">
      <c r="B42" s="61"/>
      <c r="C42" s="87" t="s">
        <v>176</v>
      </c>
      <c r="D42" s="88"/>
      <c r="E42" s="88"/>
      <c r="F42" s="88"/>
      <c r="G42" s="88"/>
      <c r="H42" s="100">
        <f>I42*12</f>
        <v>0</v>
      </c>
      <c r="I42" s="100">
        <v>0</v>
      </c>
      <c r="J42" s="88"/>
      <c r="K42" s="88"/>
      <c r="L42" s="88"/>
      <c r="M42" s="88"/>
      <c r="N42" s="88"/>
      <c r="O42" s="90"/>
      <c r="P42" s="62"/>
    </row>
    <row r="43" spans="2:16">
      <c r="B43" s="61"/>
      <c r="C43" s="87" t="s">
        <v>177</v>
      </c>
      <c r="D43" s="88"/>
      <c r="E43" s="88"/>
      <c r="F43" s="88"/>
      <c r="G43" s="88"/>
      <c r="H43" s="100">
        <f>I43*12</f>
        <v>0</v>
      </c>
      <c r="I43" s="100">
        <v>0</v>
      </c>
      <c r="J43" s="88"/>
      <c r="K43" s="88"/>
      <c r="L43" s="88"/>
      <c r="M43" s="88"/>
      <c r="N43" s="88"/>
      <c r="O43" s="90"/>
      <c r="P43" s="62"/>
    </row>
    <row r="44" spans="2:16" ht="15.75" thickBot="1">
      <c r="B44" s="61"/>
      <c r="C44" s="70" t="s">
        <v>10</v>
      </c>
      <c r="D44" s="71"/>
      <c r="E44" s="71"/>
      <c r="F44" s="71"/>
      <c r="G44" s="71"/>
      <c r="H44" s="101">
        <f t="shared" si="1"/>
        <v>1200</v>
      </c>
      <c r="I44" s="101">
        <v>100</v>
      </c>
      <c r="J44" s="71"/>
      <c r="K44" s="71"/>
      <c r="L44" s="71"/>
      <c r="M44" s="71"/>
      <c r="N44" s="71"/>
      <c r="O44" s="72"/>
      <c r="P44" s="62"/>
    </row>
    <row r="45" spans="2:16" ht="15.75" thickTop="1">
      <c r="B45" s="61"/>
      <c r="C45" s="91" t="s">
        <v>7</v>
      </c>
      <c r="D45" s="92"/>
      <c r="E45" s="92"/>
      <c r="F45" s="92"/>
      <c r="G45" s="92"/>
      <c r="H45" s="102">
        <f t="shared" si="1"/>
        <v>24192</v>
      </c>
      <c r="I45" s="102">
        <f>SUM(I29:I44)</f>
        <v>2016</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178</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33000</v>
      </c>
      <c r="I48" s="99">
        <f>I26</f>
        <v>2750</v>
      </c>
      <c r="J48" s="84"/>
      <c r="K48" s="84"/>
      <c r="L48" s="84"/>
      <c r="M48" s="84"/>
      <c r="N48" s="84"/>
      <c r="O48" s="86"/>
      <c r="P48" s="62"/>
    </row>
    <row r="49" spans="2:16" ht="15.75" thickBot="1">
      <c r="B49" s="61"/>
      <c r="C49" s="103" t="s">
        <v>63</v>
      </c>
      <c r="D49" s="104"/>
      <c r="E49" s="104"/>
      <c r="F49" s="104"/>
      <c r="G49" s="104"/>
      <c r="H49" s="105">
        <f>12*I49</f>
        <v>24192</v>
      </c>
      <c r="I49" s="105">
        <f>I45</f>
        <v>2016</v>
      </c>
      <c r="J49" s="104"/>
      <c r="K49" s="104"/>
      <c r="L49" s="104"/>
      <c r="M49" s="104"/>
      <c r="N49" s="104"/>
      <c r="O49" s="106"/>
      <c r="P49" s="62"/>
    </row>
    <row r="50" spans="2:16" ht="15.75" thickTop="1">
      <c r="B50" s="61"/>
      <c r="C50" s="91" t="s">
        <v>179</v>
      </c>
      <c r="D50" s="92"/>
      <c r="E50" s="92"/>
      <c r="F50" s="92"/>
      <c r="G50" s="92"/>
      <c r="H50" s="102">
        <f>12*I50</f>
        <v>8808</v>
      </c>
      <c r="I50" s="102">
        <f>I48-I49</f>
        <v>734</v>
      </c>
      <c r="J50" s="92"/>
      <c r="K50" s="92" t="s">
        <v>180</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372</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363</v>
      </c>
      <c r="C1" s="564"/>
      <c r="D1" s="564"/>
      <c r="E1" s="564"/>
      <c r="F1" s="564"/>
      <c r="G1" s="464" t="s">
        <v>365</v>
      </c>
      <c r="H1" s="464"/>
      <c r="I1" s="464"/>
      <c r="J1" s="464"/>
      <c r="K1" s="464"/>
      <c r="L1" s="464"/>
      <c r="O1" s="237"/>
      <c r="S1" s="427"/>
      <c r="T1" s="428"/>
    </row>
    <row r="2" spans="2:20" s="150" customFormat="1" ht="1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181</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182</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183</v>
      </c>
      <c r="D17" s="80"/>
      <c r="E17" s="80"/>
      <c r="F17" s="80"/>
      <c r="G17" s="80"/>
      <c r="H17" s="81" t="s">
        <v>184</v>
      </c>
      <c r="I17" s="119" t="s">
        <v>185</v>
      </c>
      <c r="J17" s="119"/>
      <c r="K17" s="80" t="s">
        <v>148</v>
      </c>
      <c r="L17" s="80"/>
      <c r="M17" s="80"/>
      <c r="N17" s="80"/>
      <c r="O17" s="82"/>
      <c r="P17" s="116"/>
    </row>
    <row r="18" spans="2:16" ht="16.5">
      <c r="B18" s="115"/>
      <c r="C18" s="87" t="s">
        <v>186</v>
      </c>
      <c r="D18" s="88"/>
      <c r="E18" s="88"/>
      <c r="F18" s="84"/>
      <c r="G18" s="88"/>
      <c r="H18" s="100">
        <v>5100</v>
      </c>
      <c r="I18" s="120" t="s">
        <v>187</v>
      </c>
      <c r="J18" s="120"/>
      <c r="K18" s="88"/>
      <c r="L18" s="88"/>
      <c r="M18" s="88"/>
      <c r="N18" s="88"/>
      <c r="O18" s="90"/>
      <c r="P18" s="116"/>
    </row>
    <row r="19" spans="2:16" ht="16.5">
      <c r="B19" s="115"/>
      <c r="C19" s="87" t="s">
        <v>188</v>
      </c>
      <c r="D19" s="88"/>
      <c r="E19" s="88"/>
      <c r="F19" s="84"/>
      <c r="G19" s="88"/>
      <c r="H19" s="100">
        <v>4200</v>
      </c>
      <c r="I19" s="120" t="s">
        <v>187</v>
      </c>
      <c r="J19" s="120"/>
      <c r="K19" s="88" t="s">
        <v>189</v>
      </c>
      <c r="L19" s="88"/>
      <c r="M19" s="88"/>
      <c r="N19" s="88"/>
      <c r="O19" s="90"/>
      <c r="P19" s="116"/>
    </row>
    <row r="20" spans="2:16" ht="16.5">
      <c r="B20" s="115"/>
      <c r="C20" s="87" t="s">
        <v>190</v>
      </c>
      <c r="D20" s="88"/>
      <c r="E20" s="88"/>
      <c r="F20" s="84"/>
      <c r="G20" s="88"/>
      <c r="H20" s="100">
        <v>22000</v>
      </c>
      <c r="I20" s="120" t="s">
        <v>187</v>
      </c>
      <c r="J20" s="120"/>
      <c r="K20" s="88" t="s">
        <v>191</v>
      </c>
      <c r="L20" s="88"/>
      <c r="M20" s="88"/>
      <c r="N20" s="88"/>
      <c r="O20" s="90"/>
      <c r="P20" s="116"/>
    </row>
    <row r="21" spans="2:16" ht="16.5">
      <c r="B21" s="115"/>
      <c r="C21" s="87" t="s">
        <v>192</v>
      </c>
      <c r="D21" s="88"/>
      <c r="E21" s="88"/>
      <c r="F21" s="84"/>
      <c r="G21" s="88"/>
      <c r="H21" s="100">
        <v>4500</v>
      </c>
      <c r="I21" s="120" t="s">
        <v>187</v>
      </c>
      <c r="J21" s="120"/>
      <c r="K21" s="88"/>
      <c r="L21" s="88"/>
      <c r="M21" s="88"/>
      <c r="N21" s="88"/>
      <c r="O21" s="90"/>
      <c r="P21" s="116"/>
    </row>
    <row r="22" spans="2:16" ht="16.5">
      <c r="B22" s="115"/>
      <c r="C22" s="87" t="s">
        <v>193</v>
      </c>
      <c r="D22" s="88"/>
      <c r="E22" s="88"/>
      <c r="F22" s="84"/>
      <c r="G22" s="88"/>
      <c r="H22" s="100">
        <v>179000</v>
      </c>
      <c r="I22" s="120" t="s">
        <v>187</v>
      </c>
      <c r="J22" s="120"/>
      <c r="K22" s="88" t="s">
        <v>194</v>
      </c>
      <c r="L22" s="88"/>
      <c r="M22" s="88"/>
      <c r="N22" s="88"/>
      <c r="O22" s="90"/>
      <c r="P22" s="116"/>
    </row>
    <row r="23" spans="2:16" ht="16.5">
      <c r="B23" s="115"/>
      <c r="C23" s="87" t="s">
        <v>195</v>
      </c>
      <c r="D23" s="88"/>
      <c r="E23" s="88"/>
      <c r="F23" s="84"/>
      <c r="G23" s="88"/>
      <c r="H23" s="100">
        <v>24000</v>
      </c>
      <c r="I23" s="120" t="s">
        <v>187</v>
      </c>
      <c r="J23" s="120"/>
      <c r="K23" s="88" t="s">
        <v>196</v>
      </c>
      <c r="L23" s="88"/>
      <c r="M23" s="88"/>
      <c r="N23" s="88"/>
      <c r="O23" s="90"/>
      <c r="P23" s="116"/>
    </row>
    <row r="24" spans="2:16" ht="17.25" thickBot="1">
      <c r="B24" s="115"/>
      <c r="C24" s="87" t="s">
        <v>197</v>
      </c>
      <c r="D24" s="88"/>
      <c r="E24" s="88"/>
      <c r="F24" s="84"/>
      <c r="G24" s="88"/>
      <c r="H24" s="100">
        <v>22000</v>
      </c>
      <c r="I24" s="120" t="s">
        <v>187</v>
      </c>
      <c r="J24" s="120"/>
      <c r="K24" s="84" t="s">
        <v>198</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199</v>
      </c>
      <c r="D27" s="96"/>
      <c r="E27" s="96"/>
      <c r="F27" s="96"/>
      <c r="G27" s="96"/>
      <c r="H27" s="97" t="s">
        <v>200</v>
      </c>
      <c r="I27" s="97"/>
      <c r="J27" s="96"/>
      <c r="K27" s="96" t="s">
        <v>148</v>
      </c>
      <c r="L27" s="96"/>
      <c r="M27" s="96"/>
      <c r="N27" s="96"/>
      <c r="O27" s="98"/>
      <c r="P27" s="116"/>
    </row>
    <row r="28" spans="2:16" ht="16.5">
      <c r="B28" s="115"/>
      <c r="C28" s="87" t="s">
        <v>201</v>
      </c>
      <c r="D28" s="88"/>
      <c r="E28" s="88"/>
      <c r="F28" s="88"/>
      <c r="G28" s="88"/>
      <c r="H28" s="100">
        <v>0</v>
      </c>
      <c r="I28" s="100"/>
      <c r="J28" s="88"/>
      <c r="K28" s="88" t="s">
        <v>202</v>
      </c>
      <c r="L28" s="88"/>
      <c r="M28" s="88"/>
      <c r="N28" s="88"/>
      <c r="O28" s="90"/>
      <c r="P28" s="116"/>
    </row>
    <row r="29" spans="2:16" ht="16.5">
      <c r="B29" s="115"/>
      <c r="C29" s="87" t="s">
        <v>203</v>
      </c>
      <c r="D29" s="88"/>
      <c r="E29" s="88"/>
      <c r="F29" s="88"/>
      <c r="G29" s="88"/>
      <c r="H29" s="100">
        <v>16000</v>
      </c>
      <c r="I29" s="100"/>
      <c r="J29" s="88"/>
      <c r="K29" s="88" t="s">
        <v>204</v>
      </c>
      <c r="L29" s="88"/>
      <c r="M29" s="88"/>
      <c r="N29" s="88"/>
      <c r="O29" s="90"/>
      <c r="P29" s="116"/>
    </row>
    <row r="30" spans="2:16" ht="16.5">
      <c r="B30" s="115"/>
      <c r="C30" s="87" t="s">
        <v>205</v>
      </c>
      <c r="D30" s="88"/>
      <c r="E30" s="88"/>
      <c r="F30" s="88"/>
      <c r="G30" s="88"/>
      <c r="H30" s="100">
        <v>122000</v>
      </c>
      <c r="I30" s="100"/>
      <c r="J30" s="88"/>
      <c r="K30" s="88" t="s">
        <v>194</v>
      </c>
      <c r="L30" s="88"/>
      <c r="M30" s="88"/>
      <c r="N30" s="88"/>
      <c r="O30" s="90"/>
      <c r="P30" s="116"/>
    </row>
    <row r="31" spans="2:16" ht="16.5">
      <c r="B31" s="115"/>
      <c r="C31" s="87" t="s">
        <v>206</v>
      </c>
      <c r="D31" s="88"/>
      <c r="E31" s="88"/>
      <c r="F31" s="88"/>
      <c r="G31" s="88"/>
      <c r="H31" s="100">
        <v>0</v>
      </c>
      <c r="I31" s="100"/>
      <c r="J31" s="88"/>
      <c r="K31" s="88" t="s">
        <v>202</v>
      </c>
      <c r="L31" s="88"/>
      <c r="M31" s="88"/>
      <c r="N31" s="88"/>
      <c r="O31" s="90"/>
      <c r="P31" s="116"/>
    </row>
    <row r="32" spans="2:16" ht="17.25" thickBot="1">
      <c r="B32" s="115"/>
      <c r="C32" s="87" t="s">
        <v>207</v>
      </c>
      <c r="D32" s="88"/>
      <c r="E32" s="88"/>
      <c r="F32" s="88"/>
      <c r="G32" s="88"/>
      <c r="H32" s="100">
        <v>0</v>
      </c>
      <c r="I32" s="100"/>
      <c r="J32" s="88"/>
      <c r="K32" s="88" t="s">
        <v>202</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181</v>
      </c>
      <c r="D35" s="80"/>
      <c r="E35" s="80"/>
      <c r="F35" s="80"/>
      <c r="G35" s="80"/>
      <c r="H35" s="81" t="s">
        <v>184</v>
      </c>
      <c r="I35" s="81"/>
      <c r="J35" s="80"/>
      <c r="K35" s="80" t="s">
        <v>148</v>
      </c>
      <c r="L35" s="80"/>
      <c r="M35" s="80"/>
      <c r="N35" s="80"/>
      <c r="O35" s="82"/>
      <c r="P35" s="116"/>
    </row>
    <row r="36" spans="2:16" ht="16.5">
      <c r="B36" s="115"/>
      <c r="C36" s="87" t="s">
        <v>183</v>
      </c>
      <c r="D36" s="88"/>
      <c r="E36" s="88"/>
      <c r="F36" s="88"/>
      <c r="G36" s="88"/>
      <c r="H36" s="100">
        <f>H25</f>
        <v>260800</v>
      </c>
      <c r="I36" s="100"/>
      <c r="J36" s="88"/>
      <c r="K36" s="88"/>
      <c r="L36" s="88"/>
      <c r="M36" s="88"/>
      <c r="N36" s="88"/>
      <c r="O36" s="90"/>
      <c r="P36" s="116"/>
    </row>
    <row r="37" spans="2:16" ht="17.25" thickBot="1">
      <c r="B37" s="115"/>
      <c r="C37" s="87" t="s">
        <v>199</v>
      </c>
      <c r="D37" s="88"/>
      <c r="E37" s="88"/>
      <c r="F37" s="88"/>
      <c r="G37" s="88"/>
      <c r="H37" s="100">
        <f>-H33</f>
        <v>-138000</v>
      </c>
      <c r="I37" s="100"/>
      <c r="J37" s="88"/>
      <c r="K37" s="88"/>
      <c r="L37" s="88"/>
      <c r="M37" s="88"/>
      <c r="N37" s="88"/>
      <c r="O37" s="90"/>
      <c r="P37" s="116"/>
    </row>
    <row r="38" spans="2:16" ht="17.25" thickTop="1">
      <c r="B38" s="115"/>
      <c r="C38" s="91" t="s">
        <v>179</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372</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2024-04-23T19:37:28Z</dcterms:modified>
</cp:coreProperties>
</file>