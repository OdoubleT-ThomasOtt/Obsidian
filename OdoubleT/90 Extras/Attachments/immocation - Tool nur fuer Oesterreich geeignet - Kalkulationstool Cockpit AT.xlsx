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filterPrivacy="1" codeName="ThisWorkbook"/>
  <xr:revisionPtr revIDLastSave="0" documentId="13_ncr:1_{6680E3EA-A9FC-4786-A76D-C177D46B539C}" xr6:coauthVersionLast="47" xr6:coauthVersionMax="47" xr10:uidLastSave="{00000000-0000-0000-0000-000000000000}"/>
  <workbookProtection workbookAlgorithmName="SHA-512" workbookHashValue="ocudfA3fCpLfZ3THlrsp0PMoW7AXNgZBFrMZZKsq0ZHcV3yeydwREraBMqlnsvY9Be2UQGLFtXxWyfvs+h9R7g==" workbookSaltValue="9aaYOuZOlOKDHOYGW/uErA==" workbookSpinCount="100000" lockStructure="1"/>
  <bookViews>
    <workbookView xWindow="-120" yWindow="-120" windowWidth="51840" windowHeight="21240" tabRatio="813" activeTab="1" xr2:uid="{00000000-000D-0000-FFFF-FFFF00000000}"/>
  </bookViews>
  <sheets>
    <sheet name="Deckblatt" sheetId="16" r:id="rId1"/>
    <sheet name="Cockpit" sheetId="9" r:id="rId2"/>
    <sheet name="Bankgespräch" sheetId="15" r:id="rId3"/>
    <sheet name="Miete, Cashflow, Steuern" sheetId="21" r:id="rId4"/>
    <sheet name="Wert, AfA, Darlehen" sheetId="10" r:id="rId5"/>
    <sheet name="Szenarien" sheetId="20" r:id="rId6"/>
    <sheet name="Diagramme" sheetId="11" r:id="rId7"/>
    <sheet name="MFH-Kalkulator" sheetId="22" r:id="rId8"/>
    <sheet name="Sanierungsplaner" sheetId="19" r:id="rId9"/>
    <sheet name="Konfiguration" sheetId="14" r:id="rId10"/>
    <sheet name="Hinweise_AT" sheetId="23" r:id="rId11"/>
    <sheet name="Haushaltsrechnung" sheetId="17" r:id="rId12"/>
    <sheet name="Vermögensaufstellung" sheetId="18" r:id="rId13"/>
  </sheets>
  <definedNames>
    <definedName name="_FilterDatabase" localSheetId="7" hidden="1">'MFH-Kalkulator'!$A$5:$BB$223</definedName>
    <definedName name="_FilterDatabase" localSheetId="8" hidden="1">Sanierungsplaner!$A$6:$A$241</definedName>
    <definedName name="Print_Area" localSheetId="2">Bankgespräch!$A$5:$L$55</definedName>
    <definedName name="Print_Area" localSheetId="1">Cockpit!$A$5:$X$47</definedName>
    <definedName name="Print_Area" localSheetId="0">Deckblatt!$B$6:$M$38</definedName>
    <definedName name="Print_Area" localSheetId="6">Diagramme!$A$5:$S$106</definedName>
    <definedName name="Print_Area" localSheetId="11">Haushaltsrechnung!$B$6:$P$51</definedName>
    <definedName name="Print_Area" localSheetId="10">Hinweise_AT!$A$5:$O$116</definedName>
    <definedName name="Print_Area" localSheetId="9">Konfiguration!$A$5:$F$13</definedName>
    <definedName name="Print_Area" localSheetId="7">'MFH-Kalkulator'!$A$5:$BC$224</definedName>
    <definedName name="Print_Area" localSheetId="3">'Miete, Cashflow, Steuern'!$A$5:$BB$44</definedName>
    <definedName name="Print_Area" localSheetId="8">Sanierungsplaner!$A$6:$L$240</definedName>
    <definedName name="Print_Area" localSheetId="5">Szenarien!$A$5:$AW$32</definedName>
    <definedName name="Print_Area" localSheetId="12">Vermögensaufstellung!$B$6:$P$39</definedName>
    <definedName name="Print_Area" localSheetId="4">'Wert, AfA, Darlehen'!$A$5:$BB$120</definedName>
    <definedName name="Print_Titles" localSheetId="7">'MFH-Kalkulator'!$A:$D</definedName>
    <definedName name="Print_Titles" localSheetId="3">'Miete, Cashflow, Steuern'!$A:$C</definedName>
    <definedName name="Print_Titles" localSheetId="4">'Wert, AfA, Darlehen'!$A:$C</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 i="10" l="1"/>
  <c r="D28" i="10" l="1"/>
  <c r="B28" i="10"/>
  <c r="B32" i="10"/>
  <c r="B31" i="10"/>
  <c r="B30" i="10"/>
  <c r="B29"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2" i="10" s="1"/>
  <c r="AD32" i="10" s="1"/>
  <c r="AE32" i="10" s="1"/>
  <c r="AF32" i="10" s="1"/>
  <c r="AG32" i="10" s="1"/>
  <c r="AH32" i="10" s="1"/>
  <c r="AI32" i="10" s="1"/>
  <c r="AJ32" i="10" s="1"/>
  <c r="AK32" i="10" s="1"/>
  <c r="AL32" i="10" s="1"/>
  <c r="AM32" i="10" s="1"/>
  <c r="AN32" i="10" s="1"/>
  <c r="AO32" i="10" s="1"/>
  <c r="AP32" i="10" s="1"/>
  <c r="AQ32" i="10" s="1"/>
  <c r="AR32" i="10" s="1"/>
  <c r="AS32" i="10" s="1"/>
  <c r="AT32" i="10" s="1"/>
  <c r="AU32" i="10" s="1"/>
  <c r="AV32" i="10" s="1"/>
  <c r="AW32" i="10" s="1"/>
  <c r="AX32" i="10" s="1"/>
  <c r="AY32" i="10" s="1"/>
  <c r="AZ32" i="10" s="1"/>
  <c r="BA32" i="10" s="1"/>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1" i="10" s="1"/>
  <c r="AD31" i="10" s="1"/>
  <c r="AE31" i="10" s="1"/>
  <c r="AF31" i="10" s="1"/>
  <c r="AG31" i="10" s="1"/>
  <c r="AH31" i="10" s="1"/>
  <c r="AI31" i="10" s="1"/>
  <c r="AJ31" i="10" s="1"/>
  <c r="AK31" i="10" s="1"/>
  <c r="AL31" i="10" s="1"/>
  <c r="AM31" i="10" s="1"/>
  <c r="AN31" i="10" s="1"/>
  <c r="AO31" i="10" s="1"/>
  <c r="AP31" i="10" s="1"/>
  <c r="AQ31" i="10" s="1"/>
  <c r="AR31" i="10" s="1"/>
  <c r="AS31" i="10" s="1"/>
  <c r="AT31" i="10" s="1"/>
  <c r="AU31" i="10" s="1"/>
  <c r="AV31" i="10" s="1"/>
  <c r="AW31" i="10" s="1"/>
  <c r="AX31" i="10" s="1"/>
  <c r="AY31" i="10" s="1"/>
  <c r="AZ31" i="10" s="1"/>
  <c r="BA31" i="10" s="1"/>
  <c r="D30" i="10"/>
  <c r="E30" i="10" s="1"/>
  <c r="F30" i="10" s="1"/>
  <c r="G30" i="10" s="1"/>
  <c r="H30" i="10" s="1"/>
  <c r="I30" i="10" s="1"/>
  <c r="J30" i="10" s="1"/>
  <c r="K30" i="10" s="1"/>
  <c r="L30" i="10" s="1"/>
  <c r="M30" i="10" s="1"/>
  <c r="N30" i="10" s="1"/>
  <c r="O30" i="10" s="1"/>
  <c r="P30" i="10" s="1"/>
  <c r="Q30" i="10" s="1"/>
  <c r="R30" i="10" s="1"/>
  <c r="D29" i="10"/>
  <c r="E29" i="10" s="1"/>
  <c r="F29" i="10" s="1"/>
  <c r="G29" i="10" s="1"/>
  <c r="H29" i="10" s="1"/>
  <c r="I29" i="10" s="1"/>
  <c r="J29" i="10" s="1"/>
  <c r="K29" i="10" s="1"/>
  <c r="L29" i="10" s="1"/>
  <c r="M29" i="10" s="1"/>
  <c r="R33" i="10" l="1"/>
  <c r="R34" i="10" s="1"/>
  <c r="M33" i="10"/>
  <c r="M34" i="10" s="1"/>
  <c r="D33" i="10"/>
  <c r="D34" i="10" s="1"/>
  <c r="BA33" i="10"/>
  <c r="BA34" i="10" s="1"/>
  <c r="AF33" i="10"/>
  <c r="AF34" i="10" s="1"/>
  <c r="AH33" i="10"/>
  <c r="AH34" i="10" s="1"/>
  <c r="T33" i="10"/>
  <c r="T34" i="10" s="1"/>
  <c r="AG33" i="10"/>
  <c r="AG34" i="10" s="1"/>
  <c r="AW33" i="10"/>
  <c r="AW34" i="10" s="1"/>
  <c r="L33" i="10"/>
  <c r="L34" i="10" s="1"/>
  <c r="AJ33" i="10"/>
  <c r="AJ34" i="10" s="1"/>
  <c r="AK33" i="10"/>
  <c r="AK34" i="10" s="1"/>
  <c r="AL33" i="10"/>
  <c r="AL34" i="10" s="1"/>
  <c r="AA33" i="10"/>
  <c r="AA34" i="10" s="1"/>
  <c r="P33" i="10"/>
  <c r="P34" i="10" s="1"/>
  <c r="AB33" i="10"/>
  <c r="AB34" i="10" s="1"/>
  <c r="AN33" i="10"/>
  <c r="AN34" i="10" s="1"/>
  <c r="AZ33" i="10"/>
  <c r="AZ34" i="10" s="1"/>
  <c r="Z33" i="10"/>
  <c r="Z34" i="10" s="1"/>
  <c r="O33" i="10"/>
  <c r="O34" i="10" s="1"/>
  <c r="AY33" i="10"/>
  <c r="AY34" i="10" s="1"/>
  <c r="E33" i="10"/>
  <c r="E34" i="10" s="1"/>
  <c r="Q33" i="10"/>
  <c r="Q34" i="10" s="1"/>
  <c r="AC33" i="10"/>
  <c r="AC34" i="10" s="1"/>
  <c r="AO33" i="10"/>
  <c r="AO34" i="10" s="1"/>
  <c r="H33" i="10"/>
  <c r="H34" i="10" s="1"/>
  <c r="AR33" i="10"/>
  <c r="AR34" i="10" s="1"/>
  <c r="I33" i="10"/>
  <c r="I34" i="10" s="1"/>
  <c r="U33" i="10"/>
  <c r="U34" i="10" s="1"/>
  <c r="AS33" i="10"/>
  <c r="AS34" i="10" s="1"/>
  <c r="J33" i="10"/>
  <c r="J34" i="10" s="1"/>
  <c r="V33" i="10"/>
  <c r="V34" i="10" s="1"/>
  <c r="AT33" i="10"/>
  <c r="AT34" i="10" s="1"/>
  <c r="K33" i="10"/>
  <c r="K34" i="10" s="1"/>
  <c r="W33" i="10"/>
  <c r="W34" i="10" s="1"/>
  <c r="AI33" i="10"/>
  <c r="AI34" i="10" s="1"/>
  <c r="AU33" i="10"/>
  <c r="AU34" i="10" s="1"/>
  <c r="X33" i="10"/>
  <c r="X34" i="10" s="1"/>
  <c r="AV33" i="10"/>
  <c r="AV34" i="10" s="1"/>
  <c r="Y33" i="10"/>
  <c r="Y34" i="10" s="1"/>
  <c r="N33" i="10"/>
  <c r="N34" i="10" s="1"/>
  <c r="AX33" i="10"/>
  <c r="AX34" i="10" s="1"/>
  <c r="F33" i="10"/>
  <c r="F34" i="10" s="1"/>
  <c r="AD33" i="10"/>
  <c r="AD34" i="10" s="1"/>
  <c r="AP33" i="10"/>
  <c r="AP34" i="10" s="1"/>
  <c r="AM33" i="10"/>
  <c r="AM34" i="10" s="1"/>
  <c r="G33" i="10"/>
  <c r="G34" i="10" s="1"/>
  <c r="S33" i="10"/>
  <c r="S34" i="10" s="1"/>
  <c r="AE33" i="10"/>
  <c r="AE34" i="10" s="1"/>
  <c r="AQ33" i="10"/>
  <c r="AQ34" i="10" s="1"/>
  <c r="D22" i="9"/>
  <c r="K26" i="9" l="1"/>
  <c r="K18" i="9"/>
  <c r="K21" i="9" s="1"/>
  <c r="N42" i="9" l="1"/>
  <c r="N35" i="9"/>
  <c r="E16" i="9" l="1"/>
  <c r="D10" i="10" l="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10" i="10" s="1"/>
  <c r="AD10" i="10" s="1"/>
  <c r="AE10" i="10" s="1"/>
  <c r="AF10" i="10" s="1"/>
  <c r="AG10" i="10" s="1"/>
  <c r="AH10" i="10" s="1"/>
  <c r="AI10" i="10" s="1"/>
  <c r="AJ10" i="10" s="1"/>
  <c r="AK10" i="10" s="1"/>
  <c r="AL10" i="10" s="1"/>
  <c r="AM10" i="10" s="1"/>
  <c r="AN10" i="10" s="1"/>
  <c r="AO10" i="10" s="1"/>
  <c r="AP10" i="10" s="1"/>
  <c r="AQ10" i="10" s="1"/>
  <c r="AR10" i="10" s="1"/>
  <c r="AS10" i="10" s="1"/>
  <c r="AT10" i="10" s="1"/>
  <c r="AU10" i="10" s="1"/>
  <c r="AV10" i="10" s="1"/>
  <c r="AW10" i="10" s="1"/>
  <c r="AX10" i="10" s="1"/>
  <c r="AY10" i="10" s="1"/>
  <c r="AZ10" i="10" s="1"/>
  <c r="BA10" i="10" s="1"/>
  <c r="N17" i="9" l="1"/>
  <c r="G9" i="21" l="1"/>
  <c r="E9" i="21"/>
  <c r="J9" i="21"/>
  <c r="I9" i="21"/>
  <c r="D10" i="11" l="1"/>
  <c r="B6" i="11"/>
  <c r="C8" i="15"/>
  <c r="D92" i="10" l="1"/>
  <c r="D75" i="10"/>
  <c r="D79" i="10" s="1"/>
  <c r="D58" i="10"/>
  <c r="D62" i="10" s="1"/>
  <c r="D63" i="10" s="1"/>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90" i="10" s="1"/>
  <c r="AD90" i="10" s="1"/>
  <c r="AE90" i="10" s="1"/>
  <c r="AF90" i="10" s="1"/>
  <c r="AG90" i="10" s="1"/>
  <c r="AH90" i="10" s="1"/>
  <c r="AI90" i="10" s="1"/>
  <c r="AJ90" i="10" s="1"/>
  <c r="AK90" i="10" s="1"/>
  <c r="AL90" i="10" s="1"/>
  <c r="AM90" i="10" s="1"/>
  <c r="AN90" i="10" s="1"/>
  <c r="AO90" i="10" s="1"/>
  <c r="AP90" i="10" s="1"/>
  <c r="AQ90" i="10" s="1"/>
  <c r="AR90" i="10" s="1"/>
  <c r="AS90" i="10" s="1"/>
  <c r="AT90" i="10" s="1"/>
  <c r="AU90" i="10" s="1"/>
  <c r="AV90" i="10" s="1"/>
  <c r="AW90" i="10" s="1"/>
  <c r="AX90" i="10" s="1"/>
  <c r="AY90" i="10" s="1"/>
  <c r="AZ90" i="10" s="1"/>
  <c r="BA90" i="10" s="1"/>
  <c r="D73" i="10"/>
  <c r="D56" i="10"/>
  <c r="D76" i="10" l="1"/>
  <c r="D82" i="10" s="1"/>
  <c r="D85" i="10" s="1"/>
  <c r="D59" i="10"/>
  <c r="D65" i="10" s="1"/>
  <c r="D68" i="10" s="1"/>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6" i="10" s="1"/>
  <c r="AD56" i="10" s="1"/>
  <c r="AE56" i="10" s="1"/>
  <c r="AF56" i="10" s="1"/>
  <c r="AG56" i="10" s="1"/>
  <c r="AH56" i="10" s="1"/>
  <c r="AI56" i="10" s="1"/>
  <c r="AJ56" i="10" s="1"/>
  <c r="AK56" i="10" s="1"/>
  <c r="AL56" i="10" s="1"/>
  <c r="AM56" i="10" s="1"/>
  <c r="AN56" i="10" s="1"/>
  <c r="AO56" i="10" s="1"/>
  <c r="AP56" i="10" s="1"/>
  <c r="AQ56" i="10" s="1"/>
  <c r="AR56" i="10" s="1"/>
  <c r="AS56" i="10" s="1"/>
  <c r="AT56" i="10" s="1"/>
  <c r="AU56" i="10" s="1"/>
  <c r="AV56" i="10" s="1"/>
  <c r="AW56" i="10" s="1"/>
  <c r="AX56" i="10" s="1"/>
  <c r="AY56" i="10" s="1"/>
  <c r="AZ56" i="10" s="1"/>
  <c r="BA56" i="10" s="1"/>
  <c r="D93" i="10"/>
  <c r="D80" i="10"/>
  <c r="D84"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AP73" i="10" s="1"/>
  <c r="AQ73" i="10" s="1"/>
  <c r="AR73" i="10" s="1"/>
  <c r="AS73" i="10" s="1"/>
  <c r="AT73" i="10" s="1"/>
  <c r="AU73" i="10" s="1"/>
  <c r="AV73" i="10" s="1"/>
  <c r="AW73" i="10" s="1"/>
  <c r="AX73" i="10" s="1"/>
  <c r="AY73" i="10" s="1"/>
  <c r="AZ73" i="10" s="1"/>
  <c r="BA73" i="10" s="1"/>
  <c r="D96" i="10"/>
  <c r="D97" i="10" s="1"/>
  <c r="D67" i="10"/>
  <c r="H10" i="9"/>
  <c r="D99" i="10" l="1"/>
  <c r="D102" i="10" s="1"/>
  <c r="D101" i="10"/>
  <c r="K46" i="9"/>
  <c r="K29" i="9" s="1"/>
  <c r="K38" i="9"/>
  <c r="K22" i="9" s="1"/>
  <c r="K23" i="9" s="1"/>
  <c r="K9" i="9" s="1"/>
  <c r="E6" i="22" l="1"/>
  <c r="E18" i="22"/>
  <c r="E19" i="22" s="1"/>
  <c r="E20" i="22" s="1"/>
  <c r="E10" i="22"/>
  <c r="C9" i="22"/>
  <c r="E8" i="22" s="1"/>
  <c r="BB221" i="22"/>
  <c r="BA221" i="22"/>
  <c r="AZ221" i="22"/>
  <c r="AY221" i="22"/>
  <c r="AX221" i="22"/>
  <c r="AW221" i="22"/>
  <c r="AV221" i="22"/>
  <c r="AU221" i="22"/>
  <c r="AT221" i="22"/>
  <c r="AS221" i="22"/>
  <c r="AR221" i="22"/>
  <c r="AQ221" i="22"/>
  <c r="AP221" i="22"/>
  <c r="AO221" i="22"/>
  <c r="AN221" i="22"/>
  <c r="AM221" i="22"/>
  <c r="AL221" i="22"/>
  <c r="AK221" i="22"/>
  <c r="AJ221" i="22"/>
  <c r="AI221" i="22"/>
  <c r="AH221" i="22"/>
  <c r="AG221" i="22"/>
  <c r="AF221" i="22"/>
  <c r="AE221" i="22"/>
  <c r="AD221" i="22"/>
  <c r="AC221" i="22"/>
  <c r="AB221" i="22"/>
  <c r="AA221" i="22"/>
  <c r="Z221" i="22"/>
  <c r="Y221" i="22"/>
  <c r="X221" i="22"/>
  <c r="W221" i="22"/>
  <c r="V221" i="22"/>
  <c r="U221" i="22"/>
  <c r="T221" i="22"/>
  <c r="S221" i="22"/>
  <c r="R221" i="22"/>
  <c r="Q221" i="22"/>
  <c r="P221" i="22"/>
  <c r="O221" i="22"/>
  <c r="N221" i="22"/>
  <c r="M221" i="22"/>
  <c r="L221" i="22"/>
  <c r="K221" i="22"/>
  <c r="J221" i="22"/>
  <c r="I221" i="22"/>
  <c r="H221" i="22"/>
  <c r="G221" i="22"/>
  <c r="F221" i="22"/>
  <c r="E221" i="22"/>
  <c r="E222" i="22" s="1"/>
  <c r="E223" i="22" s="1"/>
  <c r="BB214" i="22"/>
  <c r="BA214" i="22"/>
  <c r="AZ214" i="22"/>
  <c r="AY214" i="22"/>
  <c r="AX214" i="22"/>
  <c r="AW214" i="22"/>
  <c r="AV214" i="22"/>
  <c r="AU214" i="22"/>
  <c r="AT214" i="22"/>
  <c r="AS214" i="22"/>
  <c r="AR214" i="22"/>
  <c r="AQ214" i="22"/>
  <c r="AP214" i="22"/>
  <c r="AO214" i="22"/>
  <c r="AN214" i="22"/>
  <c r="AM214" i="22"/>
  <c r="AL214" i="22"/>
  <c r="AK214" i="22"/>
  <c r="AJ214" i="22"/>
  <c r="AI214" i="22"/>
  <c r="AH214" i="22"/>
  <c r="AG214" i="22"/>
  <c r="AF214" i="22"/>
  <c r="AE214" i="22"/>
  <c r="AD214" i="22"/>
  <c r="AC214" i="22"/>
  <c r="AB214" i="22"/>
  <c r="AA214" i="22"/>
  <c r="Z214" i="22"/>
  <c r="Y214" i="22"/>
  <c r="X214" i="22"/>
  <c r="W214" i="22"/>
  <c r="V214" i="22"/>
  <c r="U214" i="22"/>
  <c r="T214" i="22"/>
  <c r="S214" i="22"/>
  <c r="R214" i="22"/>
  <c r="Q214" i="22"/>
  <c r="P214" i="22"/>
  <c r="O214" i="22"/>
  <c r="N214" i="22"/>
  <c r="M214" i="22"/>
  <c r="L214" i="22"/>
  <c r="K214" i="22"/>
  <c r="J214" i="22"/>
  <c r="I214" i="22"/>
  <c r="H214" i="22"/>
  <c r="G214" i="22"/>
  <c r="F214" i="22"/>
  <c r="E214" i="22"/>
  <c r="E215" i="22" s="1"/>
  <c r="E216" i="22" s="1"/>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K207" i="22"/>
  <c r="J207" i="22"/>
  <c r="I207" i="22"/>
  <c r="H207" i="22"/>
  <c r="G207" i="22"/>
  <c r="F207" i="22"/>
  <c r="E207" i="22"/>
  <c r="E208" i="22" s="1"/>
  <c r="E209" i="22" s="1"/>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200" i="22"/>
  <c r="J200" i="22"/>
  <c r="I200" i="22"/>
  <c r="H200" i="22"/>
  <c r="G200" i="22"/>
  <c r="F200" i="22"/>
  <c r="E200" i="22"/>
  <c r="E201" i="22" s="1"/>
  <c r="E202" i="22" s="1"/>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E194" i="22" s="1"/>
  <c r="E195"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E187" i="22" s="1"/>
  <c r="E188"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E180" i="22" s="1"/>
  <c r="E181"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E173" i="22" s="1"/>
  <c r="E174"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E166" i="22" s="1"/>
  <c r="F164"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E159" i="22" s="1"/>
  <c r="E160"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E152" i="22" s="1"/>
  <c r="E153"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E145" i="22" s="1"/>
  <c r="E146"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E138" i="22" s="1"/>
  <c r="E139"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E131" i="22" s="1"/>
  <c r="E132"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E124" i="22" s="1"/>
  <c r="E125"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E117" i="22" s="1"/>
  <c r="E118"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E110" i="22" s="1"/>
  <c r="E111"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E103" i="22" s="1"/>
  <c r="E104"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E96" i="22" s="1"/>
  <c r="E97"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E89" i="22" s="1"/>
  <c r="E90"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E82"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E75" i="22" s="1"/>
  <c r="E76"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E68" i="22" s="1"/>
  <c r="E69"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E61" i="22" s="1"/>
  <c r="E62"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E54" i="22" s="1"/>
  <c r="E55"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E47" i="22" s="1"/>
  <c r="E48"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E40" i="22" s="1"/>
  <c r="E41"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E33" i="22" s="1"/>
  <c r="F31"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E26" i="22" s="1"/>
  <c r="E27"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BA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H9" i="21"/>
  <c r="E12" i="22" l="1"/>
  <c r="H14" i="9" s="1"/>
  <c r="F33" i="22"/>
  <c r="F34" i="22" s="1"/>
  <c r="E167" i="22"/>
  <c r="F80" i="22"/>
  <c r="F82" i="22" s="1"/>
  <c r="F83" i="22" s="1"/>
  <c r="E83" i="22"/>
  <c r="E34" i="22"/>
  <c r="F115" i="22"/>
  <c r="F117" i="22" s="1"/>
  <c r="F118" i="22" s="1"/>
  <c r="F129" i="22"/>
  <c r="F131" i="22" s="1"/>
  <c r="F132" i="22" s="1"/>
  <c r="F136" i="22"/>
  <c r="F138" i="22" s="1"/>
  <c r="F139" i="22" s="1"/>
  <c r="F166" i="22"/>
  <c r="F167" i="22" s="1"/>
  <c r="F220" i="22"/>
  <c r="F222" i="22" s="1"/>
  <c r="F223" i="22" s="1"/>
  <c r="F213" i="22"/>
  <c r="F215" i="22" s="1"/>
  <c r="F216" i="22" s="1"/>
  <c r="F192" i="22"/>
  <c r="F194" i="22" s="1"/>
  <c r="F195" i="22" s="1"/>
  <c r="F185" i="22"/>
  <c r="F187" i="22" s="1"/>
  <c r="F188" i="22" s="1"/>
  <c r="F199" i="22"/>
  <c r="F201" i="22" s="1"/>
  <c r="F202" i="22" s="1"/>
  <c r="F206" i="22"/>
  <c r="F208" i="22" s="1"/>
  <c r="F209" i="22" s="1"/>
  <c r="F157" i="22"/>
  <c r="F159" i="22" s="1"/>
  <c r="F160" i="22" s="1"/>
  <c r="F171" i="22"/>
  <c r="F173" i="22" s="1"/>
  <c r="F174" i="22" s="1"/>
  <c r="F178" i="22"/>
  <c r="F180" i="22" s="1"/>
  <c r="F181" i="22" s="1"/>
  <c r="F143" i="22"/>
  <c r="F145" i="22" s="1"/>
  <c r="F146" i="22" s="1"/>
  <c r="F150" i="22"/>
  <c r="F152" i="22" s="1"/>
  <c r="F153" i="22" s="1"/>
  <c r="F101" i="22"/>
  <c r="F103" i="22" s="1"/>
  <c r="F104" i="22" s="1"/>
  <c r="F108" i="22"/>
  <c r="F110" i="22" s="1"/>
  <c r="F111" i="22" s="1"/>
  <c r="F122" i="22"/>
  <c r="F124" i="22" s="1"/>
  <c r="F125" i="22" s="1"/>
  <c r="F73" i="22"/>
  <c r="F75" i="22" s="1"/>
  <c r="F76" i="22" s="1"/>
  <c r="F87" i="22"/>
  <c r="F89" i="22" s="1"/>
  <c r="F90" i="22" s="1"/>
  <c r="F94" i="22"/>
  <c r="F96" i="22" s="1"/>
  <c r="F97" i="22" s="1"/>
  <c r="F66" i="22"/>
  <c r="F68" i="22" s="1"/>
  <c r="F69" i="22" s="1"/>
  <c r="F59" i="22"/>
  <c r="F61" i="22" s="1"/>
  <c r="F62" i="22" s="1"/>
  <c r="F52" i="22"/>
  <c r="F54" i="22" s="1"/>
  <c r="F55" i="22" s="1"/>
  <c r="F45" i="22"/>
  <c r="F47" i="22" s="1"/>
  <c r="F48" i="22" s="1"/>
  <c r="F38" i="22"/>
  <c r="F40" i="22" s="1"/>
  <c r="F41" i="22" s="1"/>
  <c r="F24" i="22"/>
  <c r="F26" i="22" s="1"/>
  <c r="F27" i="22" s="1"/>
  <c r="F17" i="22"/>
  <c r="I10" i="11"/>
  <c r="AL12" i="20"/>
  <c r="F17" i="20" s="1"/>
  <c r="AL11" i="20"/>
  <c r="E17" i="20" s="1"/>
  <c r="AL9" i="20"/>
  <c r="B13" i="20" s="1"/>
  <c r="G31" i="22" l="1"/>
  <c r="G33" i="22" s="1"/>
  <c r="G34" i="22" s="1"/>
  <c r="E11" i="22"/>
  <c r="D11" i="21"/>
  <c r="G80" i="22"/>
  <c r="G82" i="22" s="1"/>
  <c r="G83" i="22" s="1"/>
  <c r="F19" i="22"/>
  <c r="G17" i="22" s="1"/>
  <c r="F10" i="22"/>
  <c r="E13" i="22"/>
  <c r="G115" i="22"/>
  <c r="G117" i="22" s="1"/>
  <c r="G118" i="22" s="1"/>
  <c r="G129" i="22"/>
  <c r="G131" i="22" s="1"/>
  <c r="G132" i="22" s="1"/>
  <c r="G164" i="22"/>
  <c r="G166" i="22" s="1"/>
  <c r="G167" i="22" s="1"/>
  <c r="G136" i="22"/>
  <c r="G138" i="22" s="1"/>
  <c r="G139" i="22" s="1"/>
  <c r="G213" i="22"/>
  <c r="G215" i="22" s="1"/>
  <c r="G216" i="22" s="1"/>
  <c r="G220" i="22"/>
  <c r="G222" i="22" s="1"/>
  <c r="G223" i="22" s="1"/>
  <c r="G206" i="22"/>
  <c r="G208" i="22" s="1"/>
  <c r="G209" i="22" s="1"/>
  <c r="G185" i="22"/>
  <c r="G187" i="22" s="1"/>
  <c r="G188" i="22" s="1"/>
  <c r="G192" i="22"/>
  <c r="G194" i="22" s="1"/>
  <c r="G195" i="22" s="1"/>
  <c r="G199" i="22"/>
  <c r="G201" i="22" s="1"/>
  <c r="G202" i="22" s="1"/>
  <c r="G178" i="22"/>
  <c r="G180" i="22" s="1"/>
  <c r="G181" i="22" s="1"/>
  <c r="G157" i="22"/>
  <c r="G159" i="22" s="1"/>
  <c r="G160" i="22" s="1"/>
  <c r="G171" i="22"/>
  <c r="G173" i="22" s="1"/>
  <c r="G174" i="22" s="1"/>
  <c r="G150" i="22"/>
  <c r="G152" i="22" s="1"/>
  <c r="G153" i="22" s="1"/>
  <c r="G143" i="22"/>
  <c r="G145" i="22" s="1"/>
  <c r="G146" i="22" s="1"/>
  <c r="G108" i="22"/>
  <c r="G110" i="22" s="1"/>
  <c r="G111" i="22" s="1"/>
  <c r="G122" i="22"/>
  <c r="G124" i="22" s="1"/>
  <c r="G125" i="22" s="1"/>
  <c r="G101" i="22"/>
  <c r="G103" i="22" s="1"/>
  <c r="G104" i="22" s="1"/>
  <c r="G94" i="22"/>
  <c r="G96" i="22" s="1"/>
  <c r="G97" i="22" s="1"/>
  <c r="G73" i="22"/>
  <c r="G75" i="22" s="1"/>
  <c r="G76" i="22" s="1"/>
  <c r="G87" i="22"/>
  <c r="G89" i="22" s="1"/>
  <c r="G90" i="22" s="1"/>
  <c r="G66" i="22"/>
  <c r="G68" i="22" s="1"/>
  <c r="G69" i="22" s="1"/>
  <c r="G59" i="22"/>
  <c r="G61" i="22" s="1"/>
  <c r="G62" i="22" s="1"/>
  <c r="G52" i="22"/>
  <c r="G54" i="22" s="1"/>
  <c r="G55" i="22" s="1"/>
  <c r="G45" i="22"/>
  <c r="G47" i="22" s="1"/>
  <c r="G48" i="22" s="1"/>
  <c r="G38" i="22"/>
  <c r="G40" i="22" s="1"/>
  <c r="G41" i="22" s="1"/>
  <c r="G24" i="22"/>
  <c r="G26" i="22" s="1"/>
  <c r="G27" i="22" s="1"/>
  <c r="R28" i="20"/>
  <c r="AH23" i="20"/>
  <c r="R9" i="20"/>
  <c r="AH28" i="20"/>
  <c r="B23" i="20"/>
  <c r="R13" i="20"/>
  <c r="R17" i="20"/>
  <c r="U23" i="20"/>
  <c r="AK24" i="20"/>
  <c r="AH27" i="20"/>
  <c r="AK29" i="20"/>
  <c r="AL23" i="20"/>
  <c r="R30" i="20"/>
  <c r="U28" i="20"/>
  <c r="AL28" i="20"/>
  <c r="B28" i="20"/>
  <c r="R10" i="20"/>
  <c r="R14" i="20"/>
  <c r="R23" i="20"/>
  <c r="R25" i="20"/>
  <c r="R27" i="20"/>
  <c r="U24" i="20"/>
  <c r="U29" i="20"/>
  <c r="AK23" i="20"/>
  <c r="AH26" i="20"/>
  <c r="AK27" i="20"/>
  <c r="AK28" i="20"/>
  <c r="AH31" i="20"/>
  <c r="AL24" i="20"/>
  <c r="AL29" i="20"/>
  <c r="R11" i="20"/>
  <c r="R15" i="20"/>
  <c r="U27" i="20"/>
  <c r="R29" i="20"/>
  <c r="R31" i="20"/>
  <c r="U25" i="20"/>
  <c r="U30" i="20"/>
  <c r="AH25" i="20"/>
  <c r="AK26" i="20"/>
  <c r="AL27" i="20"/>
  <c r="AH30" i="20"/>
  <c r="AK31" i="20"/>
  <c r="AL25" i="20"/>
  <c r="AL30" i="20"/>
  <c r="R12" i="20"/>
  <c r="R16" i="20"/>
  <c r="R24" i="20"/>
  <c r="R26" i="20"/>
  <c r="U26" i="20"/>
  <c r="U31" i="20"/>
  <c r="AH24" i="20"/>
  <c r="AK25" i="20"/>
  <c r="AH29" i="20"/>
  <c r="AK30" i="20"/>
  <c r="AL26" i="20"/>
  <c r="AL31" i="20"/>
  <c r="V27" i="20"/>
  <c r="V17" i="20"/>
  <c r="V9" i="20"/>
  <c r="F31" i="20"/>
  <c r="V13" i="20"/>
  <c r="F30" i="20"/>
  <c r="V10" i="20"/>
  <c r="V11" i="20"/>
  <c r="V12" i="20"/>
  <c r="V14" i="20"/>
  <c r="V15" i="20"/>
  <c r="V16" i="20"/>
  <c r="U13" i="20"/>
  <c r="E23" i="20"/>
  <c r="F23" i="20"/>
  <c r="E26" i="20"/>
  <c r="B27" i="20"/>
  <c r="E28" i="20"/>
  <c r="E29" i="20"/>
  <c r="B24" i="20"/>
  <c r="B29" i="20"/>
  <c r="E24" i="20"/>
  <c r="E25" i="20"/>
  <c r="F26" i="20"/>
  <c r="E27" i="20"/>
  <c r="F28" i="20"/>
  <c r="F29" i="20"/>
  <c r="B25" i="20"/>
  <c r="B30" i="20"/>
  <c r="F24" i="20"/>
  <c r="F25" i="20"/>
  <c r="F27" i="20"/>
  <c r="E30" i="20"/>
  <c r="E31" i="20"/>
  <c r="B26" i="20"/>
  <c r="B31" i="20"/>
  <c r="AL10" i="20"/>
  <c r="B12" i="20"/>
  <c r="B14" i="20"/>
  <c r="E13" i="20"/>
  <c r="E9" i="20"/>
  <c r="E10" i="20"/>
  <c r="E11" i="20"/>
  <c r="E12" i="20"/>
  <c r="E14" i="20"/>
  <c r="E15" i="20"/>
  <c r="E16" i="20"/>
  <c r="F13" i="20"/>
  <c r="F9" i="20"/>
  <c r="F10" i="20"/>
  <c r="F11" i="20"/>
  <c r="F12" i="20"/>
  <c r="F14" i="20"/>
  <c r="F15" i="20"/>
  <c r="F16" i="20"/>
  <c r="H31" i="22" l="1"/>
  <c r="H33" i="22" s="1"/>
  <c r="H34" i="22" s="1"/>
  <c r="H115" i="22"/>
  <c r="H117" i="22" s="1"/>
  <c r="H118" i="22" s="1"/>
  <c r="H80" i="22"/>
  <c r="H82" i="22" s="1"/>
  <c r="H83" i="22" s="1"/>
  <c r="H129" i="22"/>
  <c r="H131" i="22" s="1"/>
  <c r="H132" i="22" s="1"/>
  <c r="G19" i="22"/>
  <c r="H17" i="22" s="1"/>
  <c r="G10" i="22"/>
  <c r="F20" i="22"/>
  <c r="F12" i="22"/>
  <c r="E11" i="21" s="1"/>
  <c r="H136" i="22"/>
  <c r="H138" i="22" s="1"/>
  <c r="H139" i="22" s="1"/>
  <c r="H164" i="22"/>
  <c r="H166" i="22" s="1"/>
  <c r="H167" i="22" s="1"/>
  <c r="H213" i="22"/>
  <c r="H215" i="22" s="1"/>
  <c r="H216" i="22" s="1"/>
  <c r="H220" i="22"/>
  <c r="H222" i="22" s="1"/>
  <c r="H223" i="22" s="1"/>
  <c r="H185" i="22"/>
  <c r="H187" i="22" s="1"/>
  <c r="H188" i="22" s="1"/>
  <c r="H206" i="22"/>
  <c r="H208" i="22" s="1"/>
  <c r="H209" i="22" s="1"/>
  <c r="H199" i="22"/>
  <c r="H201" i="22" s="1"/>
  <c r="H202" i="22" s="1"/>
  <c r="H192" i="22"/>
  <c r="H194" i="22" s="1"/>
  <c r="H195" i="22" s="1"/>
  <c r="H171" i="22"/>
  <c r="H173" i="22" s="1"/>
  <c r="H174" i="22" s="1"/>
  <c r="H157" i="22"/>
  <c r="H159" i="22" s="1"/>
  <c r="H160" i="22" s="1"/>
  <c r="H178" i="22"/>
  <c r="H180" i="22" s="1"/>
  <c r="H181" i="22" s="1"/>
  <c r="H150" i="22"/>
  <c r="H152" i="22" s="1"/>
  <c r="H153" i="22" s="1"/>
  <c r="H143" i="22"/>
  <c r="H145" i="22" s="1"/>
  <c r="H146" i="22" s="1"/>
  <c r="H101" i="22"/>
  <c r="H103" i="22" s="1"/>
  <c r="H104" i="22" s="1"/>
  <c r="H122" i="22"/>
  <c r="H124" i="22" s="1"/>
  <c r="H125" i="22" s="1"/>
  <c r="H108" i="22"/>
  <c r="H110" i="22" s="1"/>
  <c r="H111" i="22" s="1"/>
  <c r="H87" i="22"/>
  <c r="H89" i="22" s="1"/>
  <c r="H90" i="22" s="1"/>
  <c r="H94" i="22"/>
  <c r="H96" i="22" s="1"/>
  <c r="H97" i="22" s="1"/>
  <c r="H73" i="22"/>
  <c r="H75" i="22" s="1"/>
  <c r="H76" i="22" s="1"/>
  <c r="H66" i="22"/>
  <c r="H68" i="22" s="1"/>
  <c r="H69" i="22" s="1"/>
  <c r="H59" i="22"/>
  <c r="H61" i="22" s="1"/>
  <c r="H62" i="22" s="1"/>
  <c r="H52" i="22"/>
  <c r="H54" i="22" s="1"/>
  <c r="H55" i="22" s="1"/>
  <c r="H45" i="22"/>
  <c r="H47" i="22" s="1"/>
  <c r="H48" i="22" s="1"/>
  <c r="H38" i="22"/>
  <c r="H40" i="22" s="1"/>
  <c r="H41" i="22" s="1"/>
  <c r="H24" i="22"/>
  <c r="H26" i="22" s="1"/>
  <c r="H27" i="22" s="1"/>
  <c r="AI27" i="20"/>
  <c r="AJ27" i="20" s="1"/>
  <c r="S30" i="20"/>
  <c r="T30" i="20" s="1"/>
  <c r="S27" i="20"/>
  <c r="T27" i="20" s="1"/>
  <c r="S16" i="20"/>
  <c r="T16" i="20" s="1"/>
  <c r="S14" i="20"/>
  <c r="T14" i="20" s="1"/>
  <c r="S12" i="20"/>
  <c r="T12" i="20" s="1"/>
  <c r="S10" i="20"/>
  <c r="T10" i="20" s="1"/>
  <c r="AI26" i="20"/>
  <c r="AJ26" i="20" s="1"/>
  <c r="AI25" i="20"/>
  <c r="AJ25" i="20" s="1"/>
  <c r="AI24" i="20"/>
  <c r="AJ24" i="20" s="1"/>
  <c r="AI23" i="20"/>
  <c r="AJ23" i="20" s="1"/>
  <c r="S31" i="20"/>
  <c r="T31" i="20" s="1"/>
  <c r="AI30" i="20"/>
  <c r="AJ30" i="20" s="1"/>
  <c r="AI29" i="20"/>
  <c r="AJ29" i="20" s="1"/>
  <c r="S29" i="20"/>
  <c r="T29" i="20" s="1"/>
  <c r="AI31" i="20"/>
  <c r="AJ31" i="20" s="1"/>
  <c r="S25" i="20"/>
  <c r="T25" i="20" s="1"/>
  <c r="S24" i="20"/>
  <c r="T24" i="20" s="1"/>
  <c r="S23" i="20"/>
  <c r="T23" i="20" s="1"/>
  <c r="S17" i="20"/>
  <c r="T17" i="20" s="1"/>
  <c r="S15" i="20"/>
  <c r="T15" i="20" s="1"/>
  <c r="S13" i="20"/>
  <c r="T13" i="20" s="1"/>
  <c r="S11" i="20"/>
  <c r="T11" i="20" s="1"/>
  <c r="S9" i="20"/>
  <c r="T9" i="20" s="1"/>
  <c r="AI28" i="20"/>
  <c r="AJ28" i="20" s="1"/>
  <c r="S28" i="20"/>
  <c r="T28" i="20" s="1"/>
  <c r="S26" i="20"/>
  <c r="T26" i="20" s="1"/>
  <c r="V28" i="20"/>
  <c r="V29" i="20" s="1"/>
  <c r="V30" i="20" s="1"/>
  <c r="V31" i="20" s="1"/>
  <c r="V26" i="20"/>
  <c r="V25" i="20" s="1"/>
  <c r="V24" i="20" s="1"/>
  <c r="V23" i="20" s="1"/>
  <c r="U12" i="20"/>
  <c r="U11" i="20" s="1"/>
  <c r="U10" i="20" s="1"/>
  <c r="U9" i="20" s="1"/>
  <c r="U14" i="20"/>
  <c r="U15" i="20" s="1"/>
  <c r="U16" i="20" s="1"/>
  <c r="U17" i="20" s="1"/>
  <c r="C17" i="20"/>
  <c r="C16" i="20"/>
  <c r="C11" i="20"/>
  <c r="C10" i="20"/>
  <c r="C15" i="20"/>
  <c r="C14" i="20"/>
  <c r="D14" i="20" s="1"/>
  <c r="C9" i="20"/>
  <c r="C12" i="20"/>
  <c r="D12" i="20" s="1"/>
  <c r="C13" i="20"/>
  <c r="D13" i="20" s="1"/>
  <c r="C27" i="20"/>
  <c r="B11" i="20"/>
  <c r="B15" i="20"/>
  <c r="I31" i="22" l="1"/>
  <c r="I33" i="22" s="1"/>
  <c r="I34" i="22" s="1"/>
  <c r="I115" i="22"/>
  <c r="I117" i="22" s="1"/>
  <c r="I118" i="22" s="1"/>
  <c r="I129" i="22"/>
  <c r="I131" i="22" s="1"/>
  <c r="I132" i="22" s="1"/>
  <c r="I80" i="22"/>
  <c r="I82" i="22" s="1"/>
  <c r="I83" i="22" s="1"/>
  <c r="F13" i="22"/>
  <c r="F11" i="22"/>
  <c r="H19" i="22"/>
  <c r="I17" i="22" s="1"/>
  <c r="H10" i="22"/>
  <c r="G20" i="22"/>
  <c r="G12" i="22"/>
  <c r="F11" i="21" s="1"/>
  <c r="I164" i="22"/>
  <c r="I166" i="22" s="1"/>
  <c r="I167" i="22" s="1"/>
  <c r="I136" i="22"/>
  <c r="I138" i="22" s="1"/>
  <c r="I139" i="22" s="1"/>
  <c r="I220" i="22"/>
  <c r="I222" i="22" s="1"/>
  <c r="I223" i="22" s="1"/>
  <c r="I213" i="22"/>
  <c r="I215" i="22" s="1"/>
  <c r="I216" i="22" s="1"/>
  <c r="I199" i="22"/>
  <c r="I201" i="22" s="1"/>
  <c r="I202" i="22" s="1"/>
  <c r="I185" i="22"/>
  <c r="I187" i="22" s="1"/>
  <c r="I188" i="22" s="1"/>
  <c r="I192" i="22"/>
  <c r="I194" i="22" s="1"/>
  <c r="I195" i="22" s="1"/>
  <c r="I206" i="22"/>
  <c r="I208" i="22" s="1"/>
  <c r="I209" i="22" s="1"/>
  <c r="I157" i="22"/>
  <c r="I159" i="22" s="1"/>
  <c r="I160" i="22" s="1"/>
  <c r="I178" i="22"/>
  <c r="I180" i="22" s="1"/>
  <c r="I181" i="22" s="1"/>
  <c r="I171" i="22"/>
  <c r="I173" i="22" s="1"/>
  <c r="I174" i="22" s="1"/>
  <c r="I143" i="22"/>
  <c r="I145" i="22" s="1"/>
  <c r="I146" i="22" s="1"/>
  <c r="I150" i="22"/>
  <c r="I152" i="22" s="1"/>
  <c r="I153" i="22" s="1"/>
  <c r="I108" i="22"/>
  <c r="I110" i="22" s="1"/>
  <c r="I111" i="22" s="1"/>
  <c r="I101" i="22"/>
  <c r="I103" i="22" s="1"/>
  <c r="I104" i="22" s="1"/>
  <c r="J115" i="22"/>
  <c r="J117" i="22" s="1"/>
  <c r="J118" i="22" s="1"/>
  <c r="I122" i="22"/>
  <c r="I124" i="22" s="1"/>
  <c r="I125" i="22" s="1"/>
  <c r="I73" i="22"/>
  <c r="I75" i="22" s="1"/>
  <c r="I76" i="22" s="1"/>
  <c r="I87" i="22"/>
  <c r="I89" i="22" s="1"/>
  <c r="I90" i="22" s="1"/>
  <c r="I94" i="22"/>
  <c r="I96" i="22" s="1"/>
  <c r="I97" i="22" s="1"/>
  <c r="I66" i="22"/>
  <c r="I68" i="22" s="1"/>
  <c r="I69" i="22" s="1"/>
  <c r="I59" i="22"/>
  <c r="I61" i="22" s="1"/>
  <c r="I62" i="22" s="1"/>
  <c r="I52" i="22"/>
  <c r="I54" i="22" s="1"/>
  <c r="I55" i="22" s="1"/>
  <c r="I45" i="22"/>
  <c r="I47" i="22" s="1"/>
  <c r="I48" i="22" s="1"/>
  <c r="I38" i="22"/>
  <c r="I40" i="22" s="1"/>
  <c r="I41" i="22" s="1"/>
  <c r="I24" i="22"/>
  <c r="I26" i="22" s="1"/>
  <c r="I27" i="22" s="1"/>
  <c r="D15" i="20"/>
  <c r="D11" i="20"/>
  <c r="D27" i="20"/>
  <c r="C28" i="20"/>
  <c r="C26" i="20"/>
  <c r="B10" i="20"/>
  <c r="D10" i="20" s="1"/>
  <c r="B16" i="20"/>
  <c r="D16" i="20" s="1"/>
  <c r="F9" i="21"/>
  <c r="H13" i="9"/>
  <c r="H15" i="9" s="1"/>
  <c r="D42" i="21"/>
  <c r="J31" i="22" l="1"/>
  <c r="J33" i="22" s="1"/>
  <c r="J34" i="22" s="1"/>
  <c r="J129" i="22"/>
  <c r="J131" i="22" s="1"/>
  <c r="J132" i="22" s="1"/>
  <c r="J80" i="22"/>
  <c r="J82" i="22" s="1"/>
  <c r="J83" i="22" s="1"/>
  <c r="G13" i="22"/>
  <c r="G11" i="22"/>
  <c r="I19" i="22"/>
  <c r="J17" i="22" s="1"/>
  <c r="I10" i="22"/>
  <c r="H20" i="22"/>
  <c r="H12" i="22"/>
  <c r="G11" i="21" s="1"/>
  <c r="J136" i="22"/>
  <c r="J138" i="22" s="1"/>
  <c r="J139" i="22" s="1"/>
  <c r="J164" i="22"/>
  <c r="J166" i="22" s="1"/>
  <c r="J167" i="22" s="1"/>
  <c r="J213" i="22"/>
  <c r="J215" i="22" s="1"/>
  <c r="J216" i="22" s="1"/>
  <c r="J220" i="22"/>
  <c r="J222" i="22" s="1"/>
  <c r="J223" i="22" s="1"/>
  <c r="J185" i="22"/>
  <c r="J187" i="22" s="1"/>
  <c r="J188" i="22" s="1"/>
  <c r="J192" i="22"/>
  <c r="J194" i="22" s="1"/>
  <c r="J195" i="22" s="1"/>
  <c r="J206" i="22"/>
  <c r="J208" i="22" s="1"/>
  <c r="J209" i="22" s="1"/>
  <c r="J199" i="22"/>
  <c r="J201" i="22" s="1"/>
  <c r="J202" i="22" s="1"/>
  <c r="J178" i="22"/>
  <c r="J180" i="22" s="1"/>
  <c r="J181" i="22" s="1"/>
  <c r="J157" i="22"/>
  <c r="J159" i="22" s="1"/>
  <c r="J160" i="22" s="1"/>
  <c r="J171" i="22"/>
  <c r="J173" i="22" s="1"/>
  <c r="J174" i="22" s="1"/>
  <c r="J150" i="22"/>
  <c r="J152" i="22" s="1"/>
  <c r="J153" i="22" s="1"/>
  <c r="J143" i="22"/>
  <c r="J145" i="22" s="1"/>
  <c r="J146" i="22" s="1"/>
  <c r="J108" i="22"/>
  <c r="J110" i="22" s="1"/>
  <c r="J111" i="22" s="1"/>
  <c r="J122" i="22"/>
  <c r="J124" i="22" s="1"/>
  <c r="J125" i="22" s="1"/>
  <c r="J101" i="22"/>
  <c r="J103" i="22" s="1"/>
  <c r="J104" i="22" s="1"/>
  <c r="K115" i="22"/>
  <c r="K117" i="22" s="1"/>
  <c r="K118" i="22" s="1"/>
  <c r="J73" i="22"/>
  <c r="J75" i="22" s="1"/>
  <c r="J76" i="22" s="1"/>
  <c r="J94" i="22"/>
  <c r="J96" i="22" s="1"/>
  <c r="J97" i="22" s="1"/>
  <c r="J87" i="22"/>
  <c r="J89" i="22" s="1"/>
  <c r="J90" i="22" s="1"/>
  <c r="J66" i="22"/>
  <c r="J68" i="22" s="1"/>
  <c r="J69" i="22" s="1"/>
  <c r="J59" i="22"/>
  <c r="J61" i="22" s="1"/>
  <c r="J62" i="22" s="1"/>
  <c r="J52" i="22"/>
  <c r="J54" i="22" s="1"/>
  <c r="J55" i="22" s="1"/>
  <c r="J45" i="22"/>
  <c r="J47" i="22" s="1"/>
  <c r="J48" i="22" s="1"/>
  <c r="J38" i="22"/>
  <c r="J40" i="22" s="1"/>
  <c r="J41" i="22" s="1"/>
  <c r="K31" i="22"/>
  <c r="K33" i="22" s="1"/>
  <c r="K34" i="22" s="1"/>
  <c r="J24" i="22"/>
  <c r="J26" i="22" s="1"/>
  <c r="J27" i="22" s="1"/>
  <c r="D26" i="20"/>
  <c r="C25" i="20"/>
  <c r="D28" i="20"/>
  <c r="C29" i="20"/>
  <c r="B17" i="20"/>
  <c r="D17" i="20" s="1"/>
  <c r="B9" i="20"/>
  <c r="D9" i="20" s="1"/>
  <c r="E17" i="10"/>
  <c r="E42" i="21"/>
  <c r="F42" i="21" s="1"/>
  <c r="G42" i="21" s="1"/>
  <c r="H42" i="21" s="1"/>
  <c r="D7" i="10"/>
  <c r="G235" i="19"/>
  <c r="I235" i="19" s="1"/>
  <c r="G234" i="19"/>
  <c r="H234" i="19" s="1"/>
  <c r="G233" i="19"/>
  <c r="H233" i="19" s="1"/>
  <c r="G232" i="19"/>
  <c r="I232" i="19" s="1"/>
  <c r="G231" i="19"/>
  <c r="I231" i="19" s="1"/>
  <c r="G230" i="19"/>
  <c r="H230" i="19" s="1"/>
  <c r="G229" i="19"/>
  <c r="H229" i="19" s="1"/>
  <c r="G228" i="19"/>
  <c r="H228" i="19" s="1"/>
  <c r="G227" i="19"/>
  <c r="I227" i="19" s="1"/>
  <c r="G226" i="19"/>
  <c r="H226" i="19" s="1"/>
  <c r="G225" i="19"/>
  <c r="H225" i="19" s="1"/>
  <c r="G224" i="19"/>
  <c r="G223" i="19"/>
  <c r="I223" i="19" s="1"/>
  <c r="G222" i="19"/>
  <c r="H222" i="19" s="1"/>
  <c r="G221" i="19"/>
  <c r="G218" i="19"/>
  <c r="H218" i="19" s="1"/>
  <c r="G217" i="19"/>
  <c r="I217" i="19" s="1"/>
  <c r="G216" i="19"/>
  <c r="H216" i="19" s="1"/>
  <c r="G215" i="19"/>
  <c r="I215" i="19" s="1"/>
  <c r="G214" i="19"/>
  <c r="H214" i="19" s="1"/>
  <c r="G213" i="19"/>
  <c r="I213" i="19" s="1"/>
  <c r="G212" i="19"/>
  <c r="H212" i="19" s="1"/>
  <c r="G211" i="19"/>
  <c r="I211" i="19" s="1"/>
  <c r="G210" i="19"/>
  <c r="H210" i="19" s="1"/>
  <c r="G209" i="19"/>
  <c r="I209" i="19" s="1"/>
  <c r="G208" i="19"/>
  <c r="I208" i="19" s="1"/>
  <c r="G207" i="19"/>
  <c r="I207" i="19" s="1"/>
  <c r="G206" i="19"/>
  <c r="H206" i="19" s="1"/>
  <c r="G205" i="19"/>
  <c r="I205" i="19" s="1"/>
  <c r="G204" i="19"/>
  <c r="H204" i="19" s="1"/>
  <c r="G201" i="19"/>
  <c r="I201" i="19" s="1"/>
  <c r="G200" i="19"/>
  <c r="H200" i="19" s="1"/>
  <c r="G199" i="19"/>
  <c r="H199" i="19" s="1"/>
  <c r="G198" i="19"/>
  <c r="I198" i="19" s="1"/>
  <c r="G197" i="19"/>
  <c r="I197" i="19" s="1"/>
  <c r="G196" i="19"/>
  <c r="H196" i="19" s="1"/>
  <c r="G195" i="19"/>
  <c r="H195" i="19" s="1"/>
  <c r="G194" i="19"/>
  <c r="I194" i="19" s="1"/>
  <c r="G193" i="19"/>
  <c r="I193" i="19" s="1"/>
  <c r="G192" i="19"/>
  <c r="H192" i="19" s="1"/>
  <c r="G191" i="19"/>
  <c r="H191" i="19" s="1"/>
  <c r="G190" i="19"/>
  <c r="I190" i="19" s="1"/>
  <c r="G189" i="19"/>
  <c r="I189" i="19" s="1"/>
  <c r="G188" i="19"/>
  <c r="H188" i="19" s="1"/>
  <c r="G187" i="19"/>
  <c r="H187" i="19" s="1"/>
  <c r="G184" i="19"/>
  <c r="I184" i="19" s="1"/>
  <c r="G183" i="19"/>
  <c r="H183" i="19" s="1"/>
  <c r="G182" i="19"/>
  <c r="I182" i="19" s="1"/>
  <c r="G181" i="19"/>
  <c r="I181" i="19" s="1"/>
  <c r="G180" i="19"/>
  <c r="H180" i="19" s="1"/>
  <c r="G179" i="19"/>
  <c r="H179" i="19" s="1"/>
  <c r="G178" i="19"/>
  <c r="I178" i="19" s="1"/>
  <c r="G177" i="19"/>
  <c r="I177" i="19" s="1"/>
  <c r="G176" i="19"/>
  <c r="H176" i="19" s="1"/>
  <c r="G175" i="19"/>
  <c r="H175" i="19" s="1"/>
  <c r="G174" i="19"/>
  <c r="I174" i="19" s="1"/>
  <c r="G173" i="19"/>
  <c r="I173" i="19" s="1"/>
  <c r="G172" i="19"/>
  <c r="H172" i="19" s="1"/>
  <c r="G171" i="19"/>
  <c r="H171" i="19" s="1"/>
  <c r="G170" i="19"/>
  <c r="I170" i="19" s="1"/>
  <c r="G167" i="19"/>
  <c r="I167" i="19" s="1"/>
  <c r="G166" i="19"/>
  <c r="H166" i="19" s="1"/>
  <c r="G165" i="19"/>
  <c r="I165" i="19" s="1"/>
  <c r="G164" i="19"/>
  <c r="I164" i="19" s="1"/>
  <c r="G163" i="19"/>
  <c r="I163" i="19" s="1"/>
  <c r="G162" i="19"/>
  <c r="H162" i="19" s="1"/>
  <c r="G161" i="19"/>
  <c r="I161" i="19" s="1"/>
  <c r="G160" i="19"/>
  <c r="I160" i="19" s="1"/>
  <c r="G159" i="19"/>
  <c r="H159" i="19" s="1"/>
  <c r="G158" i="19"/>
  <c r="I158" i="19" s="1"/>
  <c r="G157" i="19"/>
  <c r="I157" i="19" s="1"/>
  <c r="G156" i="19"/>
  <c r="I156" i="19" s="1"/>
  <c r="G155" i="19"/>
  <c r="H155" i="19" s="1"/>
  <c r="G154" i="19"/>
  <c r="I154" i="19" s="1"/>
  <c r="G153" i="19"/>
  <c r="G150" i="19"/>
  <c r="I150" i="19" s="1"/>
  <c r="G149" i="19"/>
  <c r="H149" i="19" s="1"/>
  <c r="G148" i="19"/>
  <c r="I148" i="19" s="1"/>
  <c r="G147" i="19"/>
  <c r="I147" i="19" s="1"/>
  <c r="G146" i="19"/>
  <c r="I146" i="19" s="1"/>
  <c r="G145" i="19"/>
  <c r="H145" i="19" s="1"/>
  <c r="G144" i="19"/>
  <c r="I144" i="19" s="1"/>
  <c r="G143" i="19"/>
  <c r="I143" i="19" s="1"/>
  <c r="G142" i="19"/>
  <c r="I142" i="19" s="1"/>
  <c r="G141" i="19"/>
  <c r="H141" i="19" s="1"/>
  <c r="G140" i="19"/>
  <c r="I140" i="19" s="1"/>
  <c r="G139" i="19"/>
  <c r="I139" i="19" s="1"/>
  <c r="G138" i="19"/>
  <c r="I138" i="19" s="1"/>
  <c r="G137" i="19"/>
  <c r="H137" i="19" s="1"/>
  <c r="G136" i="19"/>
  <c r="I136" i="19" s="1"/>
  <c r="G120" i="19"/>
  <c r="I120" i="19" s="1"/>
  <c r="G119" i="19"/>
  <c r="H119" i="19" s="1"/>
  <c r="G133" i="19"/>
  <c r="I133" i="19" s="1"/>
  <c r="G132" i="19"/>
  <c r="H132" i="19" s="1"/>
  <c r="G131" i="19"/>
  <c r="I131" i="19" s="1"/>
  <c r="G130" i="19"/>
  <c r="H130" i="19" s="1"/>
  <c r="G129" i="19"/>
  <c r="I129" i="19" s="1"/>
  <c r="G128" i="19"/>
  <c r="H128" i="19" s="1"/>
  <c r="G127" i="19"/>
  <c r="H127" i="19" s="1"/>
  <c r="G126" i="19"/>
  <c r="I126" i="19" s="1"/>
  <c r="G125" i="19"/>
  <c r="I125" i="19" s="1"/>
  <c r="G124" i="19"/>
  <c r="H124" i="19" s="1"/>
  <c r="G123" i="19"/>
  <c r="I123" i="19" s="1"/>
  <c r="G122" i="19"/>
  <c r="H122" i="19" s="1"/>
  <c r="G121" i="19"/>
  <c r="I121" i="19" s="1"/>
  <c r="G116" i="19"/>
  <c r="H116" i="19" s="1"/>
  <c r="G115" i="19"/>
  <c r="H115" i="19" s="1"/>
  <c r="G114" i="19"/>
  <c r="H114" i="19" s="1"/>
  <c r="G113" i="19"/>
  <c r="I113" i="19" s="1"/>
  <c r="G112" i="19"/>
  <c r="H112" i="19" s="1"/>
  <c r="G111" i="19"/>
  <c r="I111" i="19" s="1"/>
  <c r="G110" i="19"/>
  <c r="H110" i="19" s="1"/>
  <c r="G109" i="19"/>
  <c r="I109" i="19" s="1"/>
  <c r="G108" i="19"/>
  <c r="H108" i="19" s="1"/>
  <c r="G107" i="19"/>
  <c r="H107" i="19" s="1"/>
  <c r="G106" i="19"/>
  <c r="I106" i="19" s="1"/>
  <c r="G105" i="19"/>
  <c r="H105" i="19" s="1"/>
  <c r="G104" i="19"/>
  <c r="I104" i="19" s="1"/>
  <c r="G103" i="19"/>
  <c r="I103" i="19" s="1"/>
  <c r="G102" i="19"/>
  <c r="G99" i="19"/>
  <c r="I99" i="19" s="1"/>
  <c r="G98" i="19"/>
  <c r="H98" i="19" s="1"/>
  <c r="G97" i="19"/>
  <c r="I97" i="19" s="1"/>
  <c r="G96" i="19"/>
  <c r="H96" i="19" s="1"/>
  <c r="G95" i="19"/>
  <c r="I95" i="19" s="1"/>
  <c r="G94" i="19"/>
  <c r="H94" i="19" s="1"/>
  <c r="G93" i="19"/>
  <c r="H93" i="19" s="1"/>
  <c r="G92" i="19"/>
  <c r="I92" i="19" s="1"/>
  <c r="G91" i="19"/>
  <c r="H91" i="19" s="1"/>
  <c r="G90" i="19"/>
  <c r="I90" i="19" s="1"/>
  <c r="G89" i="19"/>
  <c r="H89" i="19" s="1"/>
  <c r="G88" i="19"/>
  <c r="I88" i="19" s="1"/>
  <c r="G87" i="19"/>
  <c r="H87" i="19" s="1"/>
  <c r="G86" i="19"/>
  <c r="G85" i="19"/>
  <c r="G82" i="19"/>
  <c r="I82" i="19" s="1"/>
  <c r="G81" i="19"/>
  <c r="H81" i="19" s="1"/>
  <c r="G80" i="19"/>
  <c r="I80" i="19" s="1"/>
  <c r="G79" i="19"/>
  <c r="I79" i="19" s="1"/>
  <c r="G78" i="19"/>
  <c r="I78" i="19" s="1"/>
  <c r="G77" i="19"/>
  <c r="H77" i="19" s="1"/>
  <c r="G76" i="19"/>
  <c r="H76" i="19" s="1"/>
  <c r="G75" i="19"/>
  <c r="I75" i="19" s="1"/>
  <c r="G74" i="19"/>
  <c r="I74" i="19" s="1"/>
  <c r="G73" i="19"/>
  <c r="H73" i="19" s="1"/>
  <c r="G72" i="19"/>
  <c r="H72" i="19" s="1"/>
  <c r="G71" i="19"/>
  <c r="I71" i="19" s="1"/>
  <c r="G70" i="19"/>
  <c r="I70" i="19" s="1"/>
  <c r="G69" i="19"/>
  <c r="H69" i="19" s="1"/>
  <c r="G68" i="19"/>
  <c r="G65" i="19"/>
  <c r="I65" i="19" s="1"/>
  <c r="G64" i="19"/>
  <c r="H64" i="19" s="1"/>
  <c r="G63" i="19"/>
  <c r="H63" i="19" s="1"/>
  <c r="G62" i="19"/>
  <c r="I62" i="19" s="1"/>
  <c r="G61" i="19"/>
  <c r="I61" i="19" s="1"/>
  <c r="G60" i="19"/>
  <c r="H60" i="19" s="1"/>
  <c r="G59" i="19"/>
  <c r="H59" i="19" s="1"/>
  <c r="G58" i="19"/>
  <c r="H58" i="19" s="1"/>
  <c r="G57" i="19"/>
  <c r="I57" i="19" s="1"/>
  <c r="G56" i="19"/>
  <c r="H56" i="19" s="1"/>
  <c r="G55" i="19"/>
  <c r="H55" i="19" s="1"/>
  <c r="G54" i="19"/>
  <c r="I54" i="19" s="1"/>
  <c r="G53" i="19"/>
  <c r="I53" i="19" s="1"/>
  <c r="G52" i="19"/>
  <c r="H52" i="19" s="1"/>
  <c r="G51" i="19"/>
  <c r="I51" i="19" s="1"/>
  <c r="G48" i="19"/>
  <c r="I48" i="19" s="1"/>
  <c r="G47" i="19"/>
  <c r="H47" i="19" s="1"/>
  <c r="G46" i="19"/>
  <c r="H46" i="19" s="1"/>
  <c r="G45" i="19"/>
  <c r="H45" i="19" s="1"/>
  <c r="G44" i="19"/>
  <c r="I44" i="19" s="1"/>
  <c r="G43" i="19"/>
  <c r="H43" i="19" s="1"/>
  <c r="G42" i="19"/>
  <c r="H42" i="19" s="1"/>
  <c r="G41" i="19"/>
  <c r="I41" i="19" s="1"/>
  <c r="G40" i="19"/>
  <c r="I40" i="19" s="1"/>
  <c r="G39" i="19"/>
  <c r="H39" i="19" s="1"/>
  <c r="G38" i="19"/>
  <c r="H38" i="19" s="1"/>
  <c r="G37" i="19"/>
  <c r="I37" i="19" s="1"/>
  <c r="G36" i="19"/>
  <c r="I36" i="19" s="1"/>
  <c r="G35" i="19"/>
  <c r="H35" i="19" s="1"/>
  <c r="G34" i="19"/>
  <c r="H34" i="19" s="1"/>
  <c r="G18" i="19"/>
  <c r="I18" i="19" s="1"/>
  <c r="G17" i="19"/>
  <c r="H17" i="19" s="1"/>
  <c r="G31" i="19"/>
  <c r="I31" i="19" s="1"/>
  <c r="G30" i="19"/>
  <c r="H30" i="19" s="1"/>
  <c r="G29" i="19"/>
  <c r="I29" i="19" s="1"/>
  <c r="G28" i="19"/>
  <c r="I28" i="19" s="1"/>
  <c r="G27" i="19"/>
  <c r="I27" i="19" s="1"/>
  <c r="G26" i="19"/>
  <c r="I26" i="19" s="1"/>
  <c r="G25" i="19"/>
  <c r="I25" i="19" s="1"/>
  <c r="G24" i="19"/>
  <c r="I24" i="19" s="1"/>
  <c r="G23" i="19"/>
  <c r="H23" i="19" s="1"/>
  <c r="G22" i="19"/>
  <c r="I22" i="19" s="1"/>
  <c r="G21" i="19"/>
  <c r="I21" i="19" s="1"/>
  <c r="G20" i="19"/>
  <c r="I20" i="19" s="1"/>
  <c r="G19" i="19"/>
  <c r="K129" i="22" l="1"/>
  <c r="K131" i="22" s="1"/>
  <c r="K132" i="22" s="1"/>
  <c r="K80" i="22"/>
  <c r="K82" i="22" s="1"/>
  <c r="K83" i="22" s="1"/>
  <c r="H153" i="19"/>
  <c r="G152" i="19"/>
  <c r="I102" i="19"/>
  <c r="G101" i="19"/>
  <c r="H85" i="19"/>
  <c r="G84" i="19"/>
  <c r="H13" i="22"/>
  <c r="H11" i="22"/>
  <c r="J19" i="22"/>
  <c r="K17" i="22" s="1"/>
  <c r="J10" i="22"/>
  <c r="I20" i="22"/>
  <c r="I12" i="22"/>
  <c r="H11" i="21" s="1"/>
  <c r="K164" i="22"/>
  <c r="K166" i="22" s="1"/>
  <c r="K167" i="22" s="1"/>
  <c r="K136" i="22"/>
  <c r="K138" i="22" s="1"/>
  <c r="K139" i="22" s="1"/>
  <c r="K213" i="22"/>
  <c r="K215" i="22" s="1"/>
  <c r="K216" i="22" s="1"/>
  <c r="K220" i="22"/>
  <c r="K222" i="22" s="1"/>
  <c r="K223" i="22" s="1"/>
  <c r="K192" i="22"/>
  <c r="K194" i="22" s="1"/>
  <c r="K195" i="22" s="1"/>
  <c r="K206" i="22"/>
  <c r="K208" i="22" s="1"/>
  <c r="K209" i="22" s="1"/>
  <c r="K185" i="22"/>
  <c r="K187" i="22" s="1"/>
  <c r="K188" i="22" s="1"/>
  <c r="K199" i="22"/>
  <c r="K201" i="22" s="1"/>
  <c r="K202" i="22" s="1"/>
  <c r="K171" i="22"/>
  <c r="K173" i="22" s="1"/>
  <c r="K174" i="22" s="1"/>
  <c r="K178" i="22"/>
  <c r="K180" i="22" s="1"/>
  <c r="K181" i="22" s="1"/>
  <c r="K157" i="22"/>
  <c r="K159" i="22" s="1"/>
  <c r="K160" i="22" s="1"/>
  <c r="K143" i="22"/>
  <c r="K145" i="22" s="1"/>
  <c r="K146" i="22" s="1"/>
  <c r="K150" i="22"/>
  <c r="K152" i="22" s="1"/>
  <c r="K153" i="22" s="1"/>
  <c r="L115" i="22"/>
  <c r="L117" i="22" s="1"/>
  <c r="L118" i="22" s="1"/>
  <c r="K122" i="22"/>
  <c r="K124" i="22" s="1"/>
  <c r="K125" i="22" s="1"/>
  <c r="K108" i="22"/>
  <c r="K110" i="22" s="1"/>
  <c r="K111" i="22" s="1"/>
  <c r="K101" i="22"/>
  <c r="K103" i="22" s="1"/>
  <c r="K104" i="22" s="1"/>
  <c r="K94" i="22"/>
  <c r="K96" i="22" s="1"/>
  <c r="K97" i="22" s="1"/>
  <c r="K87" i="22"/>
  <c r="K89" i="22" s="1"/>
  <c r="K90" i="22" s="1"/>
  <c r="K73" i="22"/>
  <c r="K75" i="22" s="1"/>
  <c r="K76" i="22" s="1"/>
  <c r="K66" i="22"/>
  <c r="K68" i="22" s="1"/>
  <c r="K69" i="22" s="1"/>
  <c r="K59" i="22"/>
  <c r="K61" i="22" s="1"/>
  <c r="K62" i="22" s="1"/>
  <c r="K52" i="22"/>
  <c r="K54" i="22" s="1"/>
  <c r="K55" i="22" s="1"/>
  <c r="K45" i="22"/>
  <c r="K47" i="22" s="1"/>
  <c r="K48" i="22" s="1"/>
  <c r="K38" i="22"/>
  <c r="K40" i="22" s="1"/>
  <c r="K41" i="22" s="1"/>
  <c r="L31" i="22"/>
  <c r="L33" i="22" s="1"/>
  <c r="L34" i="22" s="1"/>
  <c r="K24" i="22"/>
  <c r="K26" i="22" s="1"/>
  <c r="K27" i="22" s="1"/>
  <c r="D23" i="10"/>
  <c r="E9" i="22"/>
  <c r="E16" i="22" s="1"/>
  <c r="D29" i="20"/>
  <c r="C30" i="20"/>
  <c r="D25" i="20"/>
  <c r="C24" i="20"/>
  <c r="F17" i="10"/>
  <c r="D105" i="10"/>
  <c r="D71" i="10"/>
  <c r="D37" i="10"/>
  <c r="D7" i="21"/>
  <c r="D88" i="10"/>
  <c r="D54" i="10"/>
  <c r="E7" i="10"/>
  <c r="I42" i="21"/>
  <c r="J42" i="21" s="1"/>
  <c r="K42" i="21" s="1"/>
  <c r="E75" i="10"/>
  <c r="G220" i="19"/>
  <c r="G67" i="19"/>
  <c r="G169" i="19"/>
  <c r="G135" i="19"/>
  <c r="G203" i="19"/>
  <c r="G33" i="19"/>
  <c r="G50" i="19"/>
  <c r="G118" i="19"/>
  <c r="G186" i="19"/>
  <c r="I137" i="19"/>
  <c r="H140" i="19"/>
  <c r="A140" i="19" s="1"/>
  <c r="I224" i="19"/>
  <c r="H224" i="19"/>
  <c r="H221" i="19"/>
  <c r="I221" i="19"/>
  <c r="H29" i="19"/>
  <c r="A29" i="19" s="1"/>
  <c r="I52" i="19"/>
  <c r="A52" i="19" s="1"/>
  <c r="I127" i="19"/>
  <c r="A127" i="19" s="1"/>
  <c r="H148" i="19"/>
  <c r="A148" i="19" s="1"/>
  <c r="I38" i="19"/>
  <c r="A38" i="19" s="1"/>
  <c r="H41" i="19"/>
  <c r="A41" i="19" s="1"/>
  <c r="I159" i="19"/>
  <c r="A159" i="19" s="1"/>
  <c r="H161" i="19"/>
  <c r="A161" i="19" s="1"/>
  <c r="I45" i="19"/>
  <c r="A45" i="19" s="1"/>
  <c r="I214" i="19"/>
  <c r="A214" i="19" s="1"/>
  <c r="I34" i="19"/>
  <c r="H37" i="19"/>
  <c r="A37" i="19" s="1"/>
  <c r="I72" i="19"/>
  <c r="A72" i="19" s="1"/>
  <c r="I155" i="19"/>
  <c r="A155" i="19" s="1"/>
  <c r="H158" i="19"/>
  <c r="A158" i="19" s="1"/>
  <c r="I176" i="19"/>
  <c r="A176" i="19" s="1"/>
  <c r="I225" i="19"/>
  <c r="A225" i="19" s="1"/>
  <c r="I228" i="19"/>
  <c r="A228" i="19" s="1"/>
  <c r="H217" i="19"/>
  <c r="A217" i="19" s="1"/>
  <c r="H26" i="19"/>
  <c r="A26" i="19" s="1"/>
  <c r="H54" i="19"/>
  <c r="A54" i="19" s="1"/>
  <c r="I63" i="19"/>
  <c r="A63" i="19" s="1"/>
  <c r="H68" i="19"/>
  <c r="I76" i="19"/>
  <c r="A76" i="19" s="1"/>
  <c r="I87" i="19"/>
  <c r="A87" i="19" s="1"/>
  <c r="H90" i="19"/>
  <c r="A90" i="19" s="1"/>
  <c r="I98" i="19"/>
  <c r="A98" i="19" s="1"/>
  <c r="I108" i="19"/>
  <c r="A108" i="19" s="1"/>
  <c r="H111" i="19"/>
  <c r="A111" i="19" s="1"/>
  <c r="I172" i="19"/>
  <c r="A172" i="19" s="1"/>
  <c r="I191" i="19"/>
  <c r="A191" i="19" s="1"/>
  <c r="H194" i="19"/>
  <c r="A194" i="19" s="1"/>
  <c r="I210" i="19"/>
  <c r="A210" i="19" s="1"/>
  <c r="H213" i="19"/>
  <c r="A213" i="19" s="1"/>
  <c r="I132" i="19"/>
  <c r="A132" i="19" s="1"/>
  <c r="I145" i="19"/>
  <c r="A145" i="19" s="1"/>
  <c r="I58" i="19"/>
  <c r="A58" i="19" s="1"/>
  <c r="I69" i="19"/>
  <c r="A69" i="19" s="1"/>
  <c r="I81" i="19"/>
  <c r="A81" i="19" s="1"/>
  <c r="H86" i="19"/>
  <c r="I93" i="19"/>
  <c r="A93" i="19" s="1"/>
  <c r="I105" i="19"/>
  <c r="A105" i="19" s="1"/>
  <c r="I115" i="19"/>
  <c r="A115" i="19" s="1"/>
  <c r="I180" i="19"/>
  <c r="A180" i="19" s="1"/>
  <c r="H25" i="19"/>
  <c r="A25" i="19" s="1"/>
  <c r="I17" i="19"/>
  <c r="A17" i="19" s="1"/>
  <c r="I46" i="19"/>
  <c r="A46" i="19" s="1"/>
  <c r="H51" i="19"/>
  <c r="I59" i="19"/>
  <c r="A59" i="19" s="1"/>
  <c r="H62" i="19"/>
  <c r="A62" i="19" s="1"/>
  <c r="I68" i="19"/>
  <c r="I77" i="19"/>
  <c r="A77" i="19" s="1"/>
  <c r="H80" i="19"/>
  <c r="A80" i="19" s="1"/>
  <c r="I86" i="19"/>
  <c r="I94" i="19"/>
  <c r="A94" i="19" s="1"/>
  <c r="H97" i="19"/>
  <c r="A97" i="19" s="1"/>
  <c r="H104" i="19"/>
  <c r="A104" i="19" s="1"/>
  <c r="I116" i="19"/>
  <c r="A116" i="19" s="1"/>
  <c r="I128" i="19"/>
  <c r="A128" i="19" s="1"/>
  <c r="H131" i="19"/>
  <c r="A131" i="19" s="1"/>
  <c r="H136" i="19"/>
  <c r="I141" i="19"/>
  <c r="A141" i="19" s="1"/>
  <c r="H144" i="19"/>
  <c r="A144" i="19" s="1"/>
  <c r="I149" i="19"/>
  <c r="A149" i="19" s="1"/>
  <c r="H154" i="19"/>
  <c r="A154" i="19" s="1"/>
  <c r="I166" i="19"/>
  <c r="A166" i="19" s="1"/>
  <c r="H173" i="19"/>
  <c r="A173" i="19" s="1"/>
  <c r="H177" i="19"/>
  <c r="A177" i="19" s="1"/>
  <c r="H181" i="19"/>
  <c r="A181" i="19" s="1"/>
  <c r="I187" i="19"/>
  <c r="H190" i="19"/>
  <c r="A190" i="19" s="1"/>
  <c r="I199" i="19"/>
  <c r="A199" i="19" s="1"/>
  <c r="I206" i="19"/>
  <c r="A206" i="19" s="1"/>
  <c r="H209" i="19"/>
  <c r="A209" i="19" s="1"/>
  <c r="I233" i="19"/>
  <c r="A233" i="19" s="1"/>
  <c r="I23" i="19"/>
  <c r="A23" i="19" s="1"/>
  <c r="I30" i="19"/>
  <c r="A30" i="19" s="1"/>
  <c r="I42" i="19"/>
  <c r="A42" i="19" s="1"/>
  <c r="I55" i="19"/>
  <c r="A55" i="19" s="1"/>
  <c r="I73" i="19"/>
  <c r="A73" i="19" s="1"/>
  <c r="I91" i="19"/>
  <c r="A91" i="19" s="1"/>
  <c r="I112" i="19"/>
  <c r="A112" i="19" s="1"/>
  <c r="I124" i="19"/>
  <c r="A124" i="19" s="1"/>
  <c r="I162" i="19"/>
  <c r="A162" i="19" s="1"/>
  <c r="H165" i="19"/>
  <c r="A165" i="19" s="1"/>
  <c r="H184" i="19"/>
  <c r="A184" i="19" s="1"/>
  <c r="I195" i="19"/>
  <c r="A195" i="19" s="1"/>
  <c r="H198" i="19"/>
  <c r="A198" i="19" s="1"/>
  <c r="H205" i="19"/>
  <c r="A205" i="19" s="1"/>
  <c r="I218" i="19"/>
  <c r="A218" i="19" s="1"/>
  <c r="I229" i="19"/>
  <c r="A229" i="19" s="1"/>
  <c r="H232" i="19"/>
  <c r="A232" i="19" s="1"/>
  <c r="I222" i="19"/>
  <c r="A222" i="19" s="1"/>
  <c r="I226" i="19"/>
  <c r="A226" i="19" s="1"/>
  <c r="I230" i="19"/>
  <c r="A230" i="19" s="1"/>
  <c r="I234" i="19"/>
  <c r="A234" i="19" s="1"/>
  <c r="H223" i="19"/>
  <c r="A223" i="19" s="1"/>
  <c r="H227" i="19"/>
  <c r="A227" i="19" s="1"/>
  <c r="H231" i="19"/>
  <c r="H235" i="19"/>
  <c r="A235" i="19" s="1"/>
  <c r="H208" i="19"/>
  <c r="A208" i="19" s="1"/>
  <c r="I204" i="19"/>
  <c r="H207" i="19"/>
  <c r="A207" i="19" s="1"/>
  <c r="H211" i="19"/>
  <c r="A211" i="19" s="1"/>
  <c r="I212" i="19"/>
  <c r="A212" i="19" s="1"/>
  <c r="H215" i="19"/>
  <c r="A215" i="19" s="1"/>
  <c r="I216" i="19"/>
  <c r="A216" i="19" s="1"/>
  <c r="I188" i="19"/>
  <c r="A188" i="19" s="1"/>
  <c r="I192" i="19"/>
  <c r="A192" i="19" s="1"/>
  <c r="I196" i="19"/>
  <c r="A196" i="19" s="1"/>
  <c r="I200" i="19"/>
  <c r="A200" i="19" s="1"/>
  <c r="H189" i="19"/>
  <c r="A189" i="19" s="1"/>
  <c r="H193" i="19"/>
  <c r="A193" i="19" s="1"/>
  <c r="H197" i="19"/>
  <c r="A197" i="19" s="1"/>
  <c r="H201" i="19"/>
  <c r="A201" i="19" s="1"/>
  <c r="H170" i="19"/>
  <c r="I171" i="19"/>
  <c r="A171" i="19" s="1"/>
  <c r="H174" i="19"/>
  <c r="A174" i="19" s="1"/>
  <c r="I175" i="19"/>
  <c r="A175" i="19" s="1"/>
  <c r="H178" i="19"/>
  <c r="A178" i="19" s="1"/>
  <c r="I179" i="19"/>
  <c r="A179" i="19" s="1"/>
  <c r="H182" i="19"/>
  <c r="A182" i="19" s="1"/>
  <c r="I183" i="19"/>
  <c r="A183" i="19" s="1"/>
  <c r="H160" i="19"/>
  <c r="A160" i="19" s="1"/>
  <c r="H164" i="19"/>
  <c r="A164" i="19" s="1"/>
  <c r="H157" i="19"/>
  <c r="A157" i="19" s="1"/>
  <c r="I153" i="19"/>
  <c r="H156" i="19"/>
  <c r="A156" i="19" s="1"/>
  <c r="H163" i="19"/>
  <c r="A163" i="19" s="1"/>
  <c r="H167" i="19"/>
  <c r="A167" i="19" s="1"/>
  <c r="H139" i="19"/>
  <c r="A139" i="19" s="1"/>
  <c r="H143" i="19"/>
  <c r="A143" i="19" s="1"/>
  <c r="H147" i="19"/>
  <c r="A147" i="19" s="1"/>
  <c r="H138" i="19"/>
  <c r="A138" i="19" s="1"/>
  <c r="H142" i="19"/>
  <c r="A142" i="19" s="1"/>
  <c r="H146" i="19"/>
  <c r="A146" i="19" s="1"/>
  <c r="H150" i="19"/>
  <c r="A150" i="19" s="1"/>
  <c r="I119" i="19"/>
  <c r="H120" i="19"/>
  <c r="H123" i="19"/>
  <c r="A123" i="19" s="1"/>
  <c r="H126" i="19"/>
  <c r="A126" i="19" s="1"/>
  <c r="H121" i="19"/>
  <c r="A121" i="19" s="1"/>
  <c r="I122" i="19"/>
  <c r="A122" i="19" s="1"/>
  <c r="H125" i="19"/>
  <c r="A125" i="19" s="1"/>
  <c r="H129" i="19"/>
  <c r="A129" i="19" s="1"/>
  <c r="I130" i="19"/>
  <c r="A130" i="19" s="1"/>
  <c r="H133" i="19"/>
  <c r="A133" i="19" s="1"/>
  <c r="H103" i="19"/>
  <c r="A103" i="19" s="1"/>
  <c r="H102" i="19"/>
  <c r="H106" i="19"/>
  <c r="A106" i="19" s="1"/>
  <c r="I107" i="19"/>
  <c r="A107" i="19" s="1"/>
  <c r="H109" i="19"/>
  <c r="A109" i="19" s="1"/>
  <c r="I110" i="19"/>
  <c r="A110" i="19" s="1"/>
  <c r="H113" i="19"/>
  <c r="A113" i="19" s="1"/>
  <c r="I114" i="19"/>
  <c r="A114" i="19" s="1"/>
  <c r="H92" i="19"/>
  <c r="A92" i="19" s="1"/>
  <c r="I85" i="19"/>
  <c r="H88" i="19"/>
  <c r="A88" i="19" s="1"/>
  <c r="I89" i="19"/>
  <c r="A89" i="19" s="1"/>
  <c r="H95" i="19"/>
  <c r="A95" i="19" s="1"/>
  <c r="I96" i="19"/>
  <c r="A96" i="19" s="1"/>
  <c r="H99" i="19"/>
  <c r="A99" i="19" s="1"/>
  <c r="H71" i="19"/>
  <c r="A71" i="19" s="1"/>
  <c r="H75" i="19"/>
  <c r="A75" i="19" s="1"/>
  <c r="H79" i="19"/>
  <c r="A79" i="19" s="1"/>
  <c r="H70" i="19"/>
  <c r="A70" i="19" s="1"/>
  <c r="H74" i="19"/>
  <c r="A74" i="19" s="1"/>
  <c r="H78" i="19"/>
  <c r="A78" i="19" s="1"/>
  <c r="H82" i="19"/>
  <c r="A82" i="19" s="1"/>
  <c r="I56" i="19"/>
  <c r="A56" i="19" s="1"/>
  <c r="I60" i="19"/>
  <c r="A60" i="19" s="1"/>
  <c r="I64" i="19"/>
  <c r="A64" i="19" s="1"/>
  <c r="H53" i="19"/>
  <c r="A53" i="19" s="1"/>
  <c r="H57" i="19"/>
  <c r="A57" i="19" s="1"/>
  <c r="H61" i="19"/>
  <c r="A61" i="19" s="1"/>
  <c r="H65" i="19"/>
  <c r="A65" i="19" s="1"/>
  <c r="I35" i="19"/>
  <c r="A35" i="19" s="1"/>
  <c r="I39" i="19"/>
  <c r="A39" i="19" s="1"/>
  <c r="I43" i="19"/>
  <c r="A43" i="19" s="1"/>
  <c r="I47" i="19"/>
  <c r="A47" i="19" s="1"/>
  <c r="H36" i="19"/>
  <c r="A36" i="19" s="1"/>
  <c r="H40" i="19"/>
  <c r="A40" i="19" s="1"/>
  <c r="H44" i="19"/>
  <c r="A44" i="19" s="1"/>
  <c r="H48" i="19"/>
  <c r="A48" i="19" s="1"/>
  <c r="H18" i="19"/>
  <c r="A18" i="19" s="1"/>
  <c r="H21" i="19"/>
  <c r="A21" i="19" s="1"/>
  <c r="H22" i="19"/>
  <c r="A22" i="19" s="1"/>
  <c r="H20" i="19"/>
  <c r="A20" i="19" s="1"/>
  <c r="H24" i="19"/>
  <c r="A24" i="19" s="1"/>
  <c r="H28" i="19"/>
  <c r="A28" i="19" s="1"/>
  <c r="H27" i="19"/>
  <c r="A27" i="19" s="1"/>
  <c r="H31" i="19"/>
  <c r="A31" i="19" s="1"/>
  <c r="I19" i="19"/>
  <c r="H19" i="19"/>
  <c r="G16" i="19"/>
  <c r="L129" i="22" l="1"/>
  <c r="L131" i="22" s="1"/>
  <c r="L132" i="22" s="1"/>
  <c r="L80" i="22"/>
  <c r="L82" i="22" s="1"/>
  <c r="L83" i="22" s="1"/>
  <c r="D31" i="21"/>
  <c r="I152" i="19"/>
  <c r="H152" i="19"/>
  <c r="H101" i="19"/>
  <c r="I101" i="19"/>
  <c r="I84" i="19"/>
  <c r="H84" i="19"/>
  <c r="E76" i="10"/>
  <c r="I13" i="22"/>
  <c r="I11" i="22"/>
  <c r="K19" i="22"/>
  <c r="L17" i="22" s="1"/>
  <c r="K10" i="22"/>
  <c r="J20" i="22"/>
  <c r="J12" i="22"/>
  <c r="I11" i="21" s="1"/>
  <c r="L136" i="22"/>
  <c r="L138" i="22" s="1"/>
  <c r="L139" i="22" s="1"/>
  <c r="E205" i="22"/>
  <c r="E198" i="22"/>
  <c r="E191" i="22"/>
  <c r="E177" i="22"/>
  <c r="E170" i="22"/>
  <c r="E128" i="22"/>
  <c r="E219" i="22"/>
  <c r="E212" i="22"/>
  <c r="E156" i="22"/>
  <c r="E163" i="22"/>
  <c r="E142" i="22"/>
  <c r="E107" i="22"/>
  <c r="E100" i="22"/>
  <c r="E58" i="22"/>
  <c r="E30" i="22"/>
  <c r="E184" i="22"/>
  <c r="E135" i="22"/>
  <c r="E121" i="22"/>
  <c r="E37" i="22"/>
  <c r="E149" i="22"/>
  <c r="E114" i="22"/>
  <c r="E79" i="22"/>
  <c r="E23" i="22"/>
  <c r="E86" i="22"/>
  <c r="E72" i="22"/>
  <c r="E51" i="22"/>
  <c r="E65" i="22"/>
  <c r="E44" i="22"/>
  <c r="E93" i="22"/>
  <c r="L164" i="22"/>
  <c r="L166" i="22" s="1"/>
  <c r="L167" i="22" s="1"/>
  <c r="L213" i="22"/>
  <c r="L215" i="22" s="1"/>
  <c r="L216" i="22" s="1"/>
  <c r="L220" i="22"/>
  <c r="L222" i="22" s="1"/>
  <c r="L223" i="22" s="1"/>
  <c r="L199" i="22"/>
  <c r="L201" i="22" s="1"/>
  <c r="L202" i="22" s="1"/>
  <c r="L185" i="22"/>
  <c r="L187" i="22" s="1"/>
  <c r="L188" i="22" s="1"/>
  <c r="L206" i="22"/>
  <c r="L208" i="22" s="1"/>
  <c r="L209" i="22" s="1"/>
  <c r="L192" i="22"/>
  <c r="L194" i="22" s="1"/>
  <c r="L195" i="22" s="1"/>
  <c r="L178" i="22"/>
  <c r="L180" i="22" s="1"/>
  <c r="L181" i="22" s="1"/>
  <c r="L157" i="22"/>
  <c r="L159" i="22" s="1"/>
  <c r="L160" i="22" s="1"/>
  <c r="L171" i="22"/>
  <c r="L173" i="22" s="1"/>
  <c r="L174" i="22" s="1"/>
  <c r="L150" i="22"/>
  <c r="L152" i="22" s="1"/>
  <c r="L153" i="22" s="1"/>
  <c r="L143" i="22"/>
  <c r="L145" i="22" s="1"/>
  <c r="L146" i="22" s="1"/>
  <c r="L101" i="22"/>
  <c r="L103" i="22" s="1"/>
  <c r="L104" i="22" s="1"/>
  <c r="L122" i="22"/>
  <c r="L124" i="22" s="1"/>
  <c r="L125" i="22" s="1"/>
  <c r="L108" i="22"/>
  <c r="L110" i="22" s="1"/>
  <c r="L111" i="22" s="1"/>
  <c r="M115" i="22"/>
  <c r="M117" i="22" s="1"/>
  <c r="M118" i="22" s="1"/>
  <c r="L87" i="22"/>
  <c r="L89" i="22" s="1"/>
  <c r="L90" i="22" s="1"/>
  <c r="L94" i="22"/>
  <c r="L96" i="22" s="1"/>
  <c r="L97" i="22" s="1"/>
  <c r="L73" i="22"/>
  <c r="L75" i="22" s="1"/>
  <c r="L76" i="22" s="1"/>
  <c r="L66" i="22"/>
  <c r="L68" i="22" s="1"/>
  <c r="L69" i="22" s="1"/>
  <c r="L59" i="22"/>
  <c r="L61" i="22" s="1"/>
  <c r="L62" i="22" s="1"/>
  <c r="L52" i="22"/>
  <c r="L54" i="22" s="1"/>
  <c r="L55" i="22" s="1"/>
  <c r="L45" i="22"/>
  <c r="L47" i="22" s="1"/>
  <c r="L48" i="22" s="1"/>
  <c r="L38" i="22"/>
  <c r="L40" i="22" s="1"/>
  <c r="L41" i="22" s="1"/>
  <c r="M31" i="22"/>
  <c r="M33" i="22" s="1"/>
  <c r="M34" i="22" s="1"/>
  <c r="L24" i="22"/>
  <c r="L26" i="22" s="1"/>
  <c r="L27" i="22" s="1"/>
  <c r="E23" i="10"/>
  <c r="F9" i="22"/>
  <c r="F16" i="22" s="1"/>
  <c r="C23" i="20"/>
  <c r="D23" i="20" s="1"/>
  <c r="D24" i="20"/>
  <c r="D30" i="20"/>
  <c r="C31" i="20"/>
  <c r="D31" i="20" s="1"/>
  <c r="L42" i="21"/>
  <c r="D36" i="21"/>
  <c r="D15" i="10"/>
  <c r="D27" i="10" s="1"/>
  <c r="G17" i="10"/>
  <c r="D18" i="21"/>
  <c r="E7" i="21"/>
  <c r="E88" i="10"/>
  <c r="E54" i="10"/>
  <c r="F7" i="10"/>
  <c r="E37" i="10"/>
  <c r="E105" i="10"/>
  <c r="E71" i="10"/>
  <c r="E92" i="10"/>
  <c r="G237" i="19"/>
  <c r="G239" i="19" s="1"/>
  <c r="I67" i="19"/>
  <c r="A153" i="19"/>
  <c r="A151" i="19" s="1"/>
  <c r="I220" i="19"/>
  <c r="H33" i="19"/>
  <c r="A221" i="19"/>
  <c r="A85" i="19"/>
  <c r="A102" i="19"/>
  <c r="A101" i="19" s="1"/>
  <c r="A204" i="19"/>
  <c r="A202" i="19" s="1"/>
  <c r="I203" i="19"/>
  <c r="A187" i="19"/>
  <c r="A185" i="19" s="1"/>
  <c r="I186" i="19"/>
  <c r="H67" i="19"/>
  <c r="A34" i="19"/>
  <c r="A33" i="19" s="1"/>
  <c r="I33" i="19"/>
  <c r="H220" i="19"/>
  <c r="A137" i="19"/>
  <c r="I135" i="19"/>
  <c r="I169" i="19"/>
  <c r="H186" i="19"/>
  <c r="A119" i="19"/>
  <c r="I118" i="19"/>
  <c r="A136" i="19"/>
  <c r="H135" i="19"/>
  <c r="H203" i="19"/>
  <c r="A120" i="19"/>
  <c r="H118" i="19"/>
  <c r="A170" i="19"/>
  <c r="A169" i="19" s="1"/>
  <c r="H169" i="19"/>
  <c r="A51" i="19"/>
  <c r="A49" i="19" s="1"/>
  <c r="H50" i="19"/>
  <c r="I50" i="19"/>
  <c r="A100" i="19"/>
  <c r="A224" i="19"/>
  <c r="A86" i="19"/>
  <c r="A19" i="19"/>
  <c r="A231" i="19"/>
  <c r="A68" i="19"/>
  <c r="I16" i="19"/>
  <c r="H16" i="19"/>
  <c r="M129" i="22" l="1"/>
  <c r="M131" i="22" s="1"/>
  <c r="M132" i="22" s="1"/>
  <c r="M80" i="22"/>
  <c r="M82" i="22" s="1"/>
  <c r="M83" i="22" s="1"/>
  <c r="A168" i="19"/>
  <c r="A84" i="19"/>
  <c r="A32" i="19"/>
  <c r="A203" i="19"/>
  <c r="A117" i="19"/>
  <c r="A134" i="19"/>
  <c r="E79" i="10"/>
  <c r="E93" i="10"/>
  <c r="J13" i="22"/>
  <c r="J11" i="22"/>
  <c r="L19" i="22"/>
  <c r="L10" i="22"/>
  <c r="K20" i="22"/>
  <c r="K12" i="22"/>
  <c r="J11" i="21" s="1"/>
  <c r="F184" i="22"/>
  <c r="F191" i="22"/>
  <c r="F198" i="22"/>
  <c r="F163" i="22"/>
  <c r="F156" i="22"/>
  <c r="F121" i="22"/>
  <c r="F219" i="22"/>
  <c r="F212" i="22"/>
  <c r="F205" i="22"/>
  <c r="F149" i="22"/>
  <c r="F142" i="22"/>
  <c r="F170" i="22"/>
  <c r="F177" i="22"/>
  <c r="F135" i="22"/>
  <c r="F93" i="22"/>
  <c r="F86" i="22"/>
  <c r="F79" i="22"/>
  <c r="F51" i="22"/>
  <c r="F128" i="22"/>
  <c r="F114" i="22"/>
  <c r="F107" i="22"/>
  <c r="F72" i="22"/>
  <c r="F65" i="22"/>
  <c r="F58" i="22"/>
  <c r="F44" i="22"/>
  <c r="F23" i="22"/>
  <c r="F100" i="22"/>
  <c r="F30" i="22"/>
  <c r="F37" i="22"/>
  <c r="M164" i="22"/>
  <c r="M166" i="22" s="1"/>
  <c r="M167" i="22" s="1"/>
  <c r="M136" i="22"/>
  <c r="M138" i="22" s="1"/>
  <c r="M139" i="22" s="1"/>
  <c r="M220" i="22"/>
  <c r="M222" i="22" s="1"/>
  <c r="M223" i="22" s="1"/>
  <c r="M213" i="22"/>
  <c r="M215" i="22" s="1"/>
  <c r="M216" i="22" s="1"/>
  <c r="M185" i="22"/>
  <c r="M187" i="22" s="1"/>
  <c r="M188" i="22" s="1"/>
  <c r="M199" i="22"/>
  <c r="M201" i="22" s="1"/>
  <c r="M202" i="22" s="1"/>
  <c r="M192" i="22"/>
  <c r="M194" i="22" s="1"/>
  <c r="M195" i="22" s="1"/>
  <c r="M206" i="22"/>
  <c r="M208" i="22" s="1"/>
  <c r="M209" i="22" s="1"/>
  <c r="M171" i="22"/>
  <c r="M173" i="22" s="1"/>
  <c r="M174" i="22" s="1"/>
  <c r="M178" i="22"/>
  <c r="M180" i="22" s="1"/>
  <c r="M181" i="22" s="1"/>
  <c r="M157" i="22"/>
  <c r="M159" i="22" s="1"/>
  <c r="M160" i="22" s="1"/>
  <c r="M143" i="22"/>
  <c r="M145" i="22" s="1"/>
  <c r="M146" i="22" s="1"/>
  <c r="N129" i="22"/>
  <c r="N131" i="22" s="1"/>
  <c r="N132" i="22" s="1"/>
  <c r="M150" i="22"/>
  <c r="M152" i="22" s="1"/>
  <c r="M153" i="22" s="1"/>
  <c r="N115" i="22"/>
  <c r="N117" i="22" s="1"/>
  <c r="N118" i="22" s="1"/>
  <c r="M122" i="22"/>
  <c r="M124" i="22" s="1"/>
  <c r="M125" i="22" s="1"/>
  <c r="M101" i="22"/>
  <c r="M103" i="22" s="1"/>
  <c r="M104" i="22" s="1"/>
  <c r="M108" i="22"/>
  <c r="M110" i="22" s="1"/>
  <c r="M111" i="22" s="1"/>
  <c r="M94" i="22"/>
  <c r="M96" i="22" s="1"/>
  <c r="M97" i="22" s="1"/>
  <c r="M73" i="22"/>
  <c r="M75" i="22" s="1"/>
  <c r="M76" i="22" s="1"/>
  <c r="M87" i="22"/>
  <c r="M89" i="22" s="1"/>
  <c r="M90" i="22" s="1"/>
  <c r="M66" i="22"/>
  <c r="M68" i="22" s="1"/>
  <c r="M69" i="22" s="1"/>
  <c r="M59" i="22"/>
  <c r="M61" i="22" s="1"/>
  <c r="M62" i="22" s="1"/>
  <c r="M52" i="22"/>
  <c r="M54" i="22" s="1"/>
  <c r="M55" i="22" s="1"/>
  <c r="M45" i="22"/>
  <c r="M47" i="22" s="1"/>
  <c r="M48" i="22" s="1"/>
  <c r="M38" i="22"/>
  <c r="M40" i="22" s="1"/>
  <c r="M41" i="22" s="1"/>
  <c r="N31" i="22"/>
  <c r="N33" i="22" s="1"/>
  <c r="N34" i="22" s="1"/>
  <c r="M24" i="22"/>
  <c r="M26" i="22" s="1"/>
  <c r="M27" i="22" s="1"/>
  <c r="F23" i="10"/>
  <c r="G9" i="22"/>
  <c r="G16" i="22" s="1"/>
  <c r="E15" i="10"/>
  <c r="E27" i="10" s="1"/>
  <c r="E31" i="21"/>
  <c r="H17" i="10"/>
  <c r="E36" i="21"/>
  <c r="E18" i="21"/>
  <c r="G7" i="10"/>
  <c r="F88" i="10"/>
  <c r="F54" i="10"/>
  <c r="F37" i="10"/>
  <c r="F7" i="21"/>
  <c r="F105" i="10"/>
  <c r="F71" i="10"/>
  <c r="A50" i="19"/>
  <c r="A186" i="19"/>
  <c r="I237" i="19"/>
  <c r="I239" i="19" s="1"/>
  <c r="A135" i="19"/>
  <c r="A152" i="19"/>
  <c r="A118" i="19"/>
  <c r="A219" i="19"/>
  <c r="A83" i="19"/>
  <c r="A67" i="19"/>
  <c r="A66" i="19"/>
  <c r="A16" i="19"/>
  <c r="A220" i="19"/>
  <c r="H237" i="19"/>
  <c r="H239" i="19" s="1"/>
  <c r="N80" i="22" l="1"/>
  <c r="N82" i="22" s="1"/>
  <c r="N83" i="22" s="1"/>
  <c r="E80" i="10"/>
  <c r="E84" i="10"/>
  <c r="F75" i="10" s="1"/>
  <c r="E96" i="10"/>
  <c r="E82" i="10"/>
  <c r="E85" i="10" s="1"/>
  <c r="K13" i="22"/>
  <c r="K11" i="22"/>
  <c r="L20" i="22"/>
  <c r="L12" i="22"/>
  <c r="K11" i="21" s="1"/>
  <c r="M17" i="22"/>
  <c r="N136" i="22"/>
  <c r="N138" i="22" s="1"/>
  <c r="N139" i="22" s="1"/>
  <c r="N164" i="22"/>
  <c r="N166" i="22" s="1"/>
  <c r="N167" i="22" s="1"/>
  <c r="G219" i="22"/>
  <c r="G198" i="22"/>
  <c r="G212" i="22"/>
  <c r="G205" i="22"/>
  <c r="G149" i="22"/>
  <c r="G142" i="22"/>
  <c r="G135" i="22"/>
  <c r="G170" i="22"/>
  <c r="G163" i="22"/>
  <c r="G191" i="22"/>
  <c r="G184" i="22"/>
  <c r="G177" i="22"/>
  <c r="G128" i="22"/>
  <c r="G121" i="22"/>
  <c r="G72" i="22"/>
  <c r="G44" i="22"/>
  <c r="G23" i="22"/>
  <c r="G156" i="22"/>
  <c r="G114" i="22"/>
  <c r="G79" i="22"/>
  <c r="G86" i="22"/>
  <c r="G65" i="22"/>
  <c r="G58" i="22"/>
  <c r="G51" i="22"/>
  <c r="G100" i="22"/>
  <c r="G93" i="22"/>
  <c r="G37" i="22"/>
  <c r="G30" i="22"/>
  <c r="G107" i="22"/>
  <c r="N213" i="22"/>
  <c r="N215" i="22" s="1"/>
  <c r="N216" i="22" s="1"/>
  <c r="N220" i="22"/>
  <c r="N222" i="22" s="1"/>
  <c r="N223" i="22" s="1"/>
  <c r="N206" i="22"/>
  <c r="N208" i="22" s="1"/>
  <c r="N209" i="22" s="1"/>
  <c r="N199" i="22"/>
  <c r="N201" i="22" s="1"/>
  <c r="N202" i="22" s="1"/>
  <c r="N192" i="22"/>
  <c r="N194" i="22" s="1"/>
  <c r="N195" i="22" s="1"/>
  <c r="N185" i="22"/>
  <c r="N187" i="22" s="1"/>
  <c r="N188" i="22" s="1"/>
  <c r="N178" i="22"/>
  <c r="N180" i="22" s="1"/>
  <c r="N181" i="22" s="1"/>
  <c r="N157" i="22"/>
  <c r="N159" i="22" s="1"/>
  <c r="N160" i="22" s="1"/>
  <c r="N171" i="22"/>
  <c r="N173" i="22" s="1"/>
  <c r="N174" i="22" s="1"/>
  <c r="O129" i="22"/>
  <c r="O131" i="22" s="1"/>
  <c r="O132" i="22" s="1"/>
  <c r="N150" i="22"/>
  <c r="N152" i="22" s="1"/>
  <c r="N153" i="22" s="1"/>
  <c r="N143" i="22"/>
  <c r="N145" i="22" s="1"/>
  <c r="N146" i="22" s="1"/>
  <c r="N108" i="22"/>
  <c r="N110" i="22" s="1"/>
  <c r="N111" i="22" s="1"/>
  <c r="N122" i="22"/>
  <c r="N124" i="22" s="1"/>
  <c r="N125" i="22" s="1"/>
  <c r="O115" i="22"/>
  <c r="O117" i="22" s="1"/>
  <c r="O118" i="22" s="1"/>
  <c r="N101" i="22"/>
  <c r="N103" i="22" s="1"/>
  <c r="N104" i="22" s="1"/>
  <c r="N87" i="22"/>
  <c r="N89" i="22" s="1"/>
  <c r="N90" i="22" s="1"/>
  <c r="N73" i="22"/>
  <c r="N75" i="22" s="1"/>
  <c r="N76" i="22" s="1"/>
  <c r="N94" i="22"/>
  <c r="N96" i="22" s="1"/>
  <c r="N97" i="22" s="1"/>
  <c r="N66" i="22"/>
  <c r="N68" i="22" s="1"/>
  <c r="N69" i="22" s="1"/>
  <c r="N59" i="22"/>
  <c r="N61" i="22" s="1"/>
  <c r="N62" i="22" s="1"/>
  <c r="N52" i="22"/>
  <c r="N54" i="22" s="1"/>
  <c r="N55" i="22" s="1"/>
  <c r="N45" i="22"/>
  <c r="N47" i="22" s="1"/>
  <c r="N48" i="22" s="1"/>
  <c r="N38" i="22"/>
  <c r="N40" i="22" s="1"/>
  <c r="N41" i="22" s="1"/>
  <c r="O31" i="22"/>
  <c r="O33" i="22" s="1"/>
  <c r="O34" i="22" s="1"/>
  <c r="N24" i="22"/>
  <c r="N26" i="22" s="1"/>
  <c r="N27" i="22" s="1"/>
  <c r="G23" i="10"/>
  <c r="H9" i="22"/>
  <c r="H16" i="22" s="1"/>
  <c r="F15" i="10"/>
  <c r="F27" i="10" s="1"/>
  <c r="F31" i="21"/>
  <c r="I17" i="10"/>
  <c r="F18" i="21"/>
  <c r="F36" i="21"/>
  <c r="H7" i="10"/>
  <c r="G105" i="10"/>
  <c r="G71" i="10"/>
  <c r="G37" i="10"/>
  <c r="G7" i="21"/>
  <c r="G88" i="10"/>
  <c r="G54" i="10"/>
  <c r="H33" i="18"/>
  <c r="H37" i="18" s="1"/>
  <c r="H25" i="18"/>
  <c r="H36" i="18" s="1"/>
  <c r="I45" i="17"/>
  <c r="I49" i="17" s="1"/>
  <c r="H49" i="17" s="1"/>
  <c r="H44" i="17"/>
  <c r="H43" i="17"/>
  <c r="H42" i="17"/>
  <c r="H41" i="17"/>
  <c r="H40" i="17"/>
  <c r="H39" i="17"/>
  <c r="H38" i="17"/>
  <c r="H37" i="17"/>
  <c r="H36" i="17"/>
  <c r="H35" i="17"/>
  <c r="H34" i="17"/>
  <c r="H33" i="17"/>
  <c r="H32" i="17"/>
  <c r="H31" i="17"/>
  <c r="H30" i="17"/>
  <c r="H29" i="17"/>
  <c r="I26" i="17"/>
  <c r="I48" i="17" s="1"/>
  <c r="H25" i="17"/>
  <c r="H24" i="17"/>
  <c r="H23" i="17"/>
  <c r="H22" i="17"/>
  <c r="H21" i="17"/>
  <c r="H20" i="17"/>
  <c r="H19" i="17"/>
  <c r="H18" i="17"/>
  <c r="O80" i="22" l="1"/>
  <c r="O82" i="22" s="1"/>
  <c r="O83" i="22" s="1"/>
  <c r="E97" i="10"/>
  <c r="E101" i="10"/>
  <c r="F92" i="10" s="1"/>
  <c r="F93" i="10" s="1"/>
  <c r="E99" i="10"/>
  <c r="E102" i="10" s="1"/>
  <c r="F76" i="10"/>
  <c r="L13" i="22"/>
  <c r="L11" i="22"/>
  <c r="M19" i="22"/>
  <c r="M10" i="22"/>
  <c r="O164" i="22"/>
  <c r="O166" i="22" s="1"/>
  <c r="O167" i="22" s="1"/>
  <c r="O136" i="22"/>
  <c r="O138" i="22" s="1"/>
  <c r="O139" i="22" s="1"/>
  <c r="H219" i="22"/>
  <c r="H212" i="22"/>
  <c r="H205" i="22"/>
  <c r="H191" i="22"/>
  <c r="H184" i="22"/>
  <c r="H177" i="22"/>
  <c r="H170" i="22"/>
  <c r="H198" i="22"/>
  <c r="H156" i="22"/>
  <c r="H114" i="22"/>
  <c r="H65" i="22"/>
  <c r="H37" i="22"/>
  <c r="H163" i="22"/>
  <c r="H149" i="22"/>
  <c r="H86" i="22"/>
  <c r="H72" i="22"/>
  <c r="H58" i="22"/>
  <c r="H51" i="22"/>
  <c r="H142" i="22"/>
  <c r="H100" i="22"/>
  <c r="H93" i="22"/>
  <c r="H44" i="22"/>
  <c r="H30" i="22"/>
  <c r="H121" i="22"/>
  <c r="H135" i="22"/>
  <c r="H128" i="22"/>
  <c r="H107" i="22"/>
  <c r="H79" i="22"/>
  <c r="H23" i="22"/>
  <c r="O213" i="22"/>
  <c r="O215" i="22" s="1"/>
  <c r="O216" i="22" s="1"/>
  <c r="O220" i="22"/>
  <c r="O222" i="22" s="1"/>
  <c r="O223" i="22" s="1"/>
  <c r="O199" i="22"/>
  <c r="O201" i="22" s="1"/>
  <c r="O202" i="22" s="1"/>
  <c r="O192" i="22"/>
  <c r="O194" i="22" s="1"/>
  <c r="O195" i="22" s="1"/>
  <c r="O206" i="22"/>
  <c r="O208" i="22" s="1"/>
  <c r="O209" i="22" s="1"/>
  <c r="O185" i="22"/>
  <c r="O187" i="22" s="1"/>
  <c r="O188" i="22" s="1"/>
  <c r="O171" i="22"/>
  <c r="O173" i="22" s="1"/>
  <c r="O174" i="22" s="1"/>
  <c r="O178" i="22"/>
  <c r="O180" i="22" s="1"/>
  <c r="O181" i="22" s="1"/>
  <c r="O157" i="22"/>
  <c r="O159" i="22" s="1"/>
  <c r="O160" i="22" s="1"/>
  <c r="O143" i="22"/>
  <c r="O145" i="22" s="1"/>
  <c r="O146" i="22" s="1"/>
  <c r="O150" i="22"/>
  <c r="O152" i="22" s="1"/>
  <c r="O153" i="22" s="1"/>
  <c r="P129" i="22"/>
  <c r="P131" i="22" s="1"/>
  <c r="P132" i="22" s="1"/>
  <c r="O101" i="22"/>
  <c r="O103" i="22" s="1"/>
  <c r="O104" i="22" s="1"/>
  <c r="O122" i="22"/>
  <c r="O124" i="22" s="1"/>
  <c r="O125" i="22" s="1"/>
  <c r="P115" i="22"/>
  <c r="P117" i="22" s="1"/>
  <c r="P118" i="22" s="1"/>
  <c r="O108" i="22"/>
  <c r="O110" i="22" s="1"/>
  <c r="O111" i="22" s="1"/>
  <c r="O73" i="22"/>
  <c r="O75" i="22" s="1"/>
  <c r="O76" i="22" s="1"/>
  <c r="O94" i="22"/>
  <c r="O96" i="22" s="1"/>
  <c r="O97" i="22" s="1"/>
  <c r="O87" i="22"/>
  <c r="O89" i="22" s="1"/>
  <c r="O90" i="22" s="1"/>
  <c r="O66" i="22"/>
  <c r="O68" i="22" s="1"/>
  <c r="O69" i="22" s="1"/>
  <c r="O59" i="22"/>
  <c r="O61" i="22" s="1"/>
  <c r="O62" i="22" s="1"/>
  <c r="O52" i="22"/>
  <c r="O54" i="22" s="1"/>
  <c r="O55" i="22" s="1"/>
  <c r="O45" i="22"/>
  <c r="O47" i="22" s="1"/>
  <c r="O48" i="22" s="1"/>
  <c r="O38" i="22"/>
  <c r="O40" i="22" s="1"/>
  <c r="O41" i="22" s="1"/>
  <c r="P31" i="22"/>
  <c r="P33" i="22" s="1"/>
  <c r="P34" i="22" s="1"/>
  <c r="O24" i="22"/>
  <c r="O26" i="22" s="1"/>
  <c r="O27" i="22" s="1"/>
  <c r="H23" i="10"/>
  <c r="I9" i="22"/>
  <c r="I16" i="22" s="1"/>
  <c r="G15" i="10"/>
  <c r="G27" i="10" s="1"/>
  <c r="G31" i="21"/>
  <c r="J17" i="10"/>
  <c r="G36" i="21"/>
  <c r="G18" i="21"/>
  <c r="I7" i="10"/>
  <c r="H7" i="21"/>
  <c r="H105" i="10"/>
  <c r="H71" i="10"/>
  <c r="H88" i="10"/>
  <c r="H54" i="10"/>
  <c r="H37" i="10"/>
  <c r="M42" i="21"/>
  <c r="H45" i="17"/>
  <c r="H38" i="18"/>
  <c r="I50" i="17"/>
  <c r="H50" i="17" s="1"/>
  <c r="H48" i="17"/>
  <c r="H26" i="17"/>
  <c r="P80" i="22" l="1"/>
  <c r="P82" i="22" s="1"/>
  <c r="P83" i="22" s="1"/>
  <c r="F96" i="10"/>
  <c r="F97" i="10" s="1"/>
  <c r="F79" i="10"/>
  <c r="F80" i="10" s="1"/>
  <c r="M20" i="22"/>
  <c r="M12" i="22"/>
  <c r="L11" i="21" s="1"/>
  <c r="N17" i="22"/>
  <c r="I205" i="22"/>
  <c r="I198" i="22"/>
  <c r="I191" i="22"/>
  <c r="I212" i="22"/>
  <c r="I219" i="22"/>
  <c r="I184" i="22"/>
  <c r="I177" i="22"/>
  <c r="I170" i="22"/>
  <c r="I128" i="22"/>
  <c r="I135" i="22"/>
  <c r="I156" i="22"/>
  <c r="I163" i="22"/>
  <c r="I149" i="22"/>
  <c r="I107" i="22"/>
  <c r="I100" i="22"/>
  <c r="I58" i="22"/>
  <c r="I30" i="22"/>
  <c r="I142" i="22"/>
  <c r="I93" i="22"/>
  <c r="I65" i="22"/>
  <c r="I44" i="22"/>
  <c r="I37" i="22"/>
  <c r="I114" i="22"/>
  <c r="I121" i="22"/>
  <c r="I79" i="22"/>
  <c r="I23" i="22"/>
  <c r="I72" i="22"/>
  <c r="I51" i="22"/>
  <c r="I86" i="22"/>
  <c r="P136" i="22"/>
  <c r="P138" i="22" s="1"/>
  <c r="P139" i="22" s="1"/>
  <c r="P164" i="22"/>
  <c r="P166" i="22" s="1"/>
  <c r="P167" i="22" s="1"/>
  <c r="P213" i="22"/>
  <c r="P215" i="22" s="1"/>
  <c r="P216" i="22" s="1"/>
  <c r="P220" i="22"/>
  <c r="P222" i="22" s="1"/>
  <c r="P223" i="22" s="1"/>
  <c r="P185" i="22"/>
  <c r="P187" i="22" s="1"/>
  <c r="P188" i="22" s="1"/>
  <c r="P192" i="22"/>
  <c r="P194" i="22" s="1"/>
  <c r="P195" i="22" s="1"/>
  <c r="P199" i="22"/>
  <c r="P201" i="22" s="1"/>
  <c r="P202" i="22" s="1"/>
  <c r="P206" i="22"/>
  <c r="P208" i="22" s="1"/>
  <c r="P209" i="22" s="1"/>
  <c r="P178" i="22"/>
  <c r="P180" i="22" s="1"/>
  <c r="P181" i="22" s="1"/>
  <c r="P157" i="22"/>
  <c r="P159" i="22" s="1"/>
  <c r="P160" i="22" s="1"/>
  <c r="P171" i="22"/>
  <c r="P173" i="22" s="1"/>
  <c r="P174" i="22" s="1"/>
  <c r="P150" i="22"/>
  <c r="P152" i="22" s="1"/>
  <c r="P153" i="22" s="1"/>
  <c r="Q129" i="22"/>
  <c r="Q131" i="22" s="1"/>
  <c r="Q132" i="22" s="1"/>
  <c r="P143" i="22"/>
  <c r="P145" i="22" s="1"/>
  <c r="P146" i="22" s="1"/>
  <c r="P122" i="22"/>
  <c r="P124" i="22" s="1"/>
  <c r="P125" i="22" s="1"/>
  <c r="Q115" i="22"/>
  <c r="Q117" i="22" s="1"/>
  <c r="Q118" i="22" s="1"/>
  <c r="P108" i="22"/>
  <c r="P110" i="22" s="1"/>
  <c r="P111" i="22" s="1"/>
  <c r="P101" i="22"/>
  <c r="P103" i="22" s="1"/>
  <c r="P104" i="22" s="1"/>
  <c r="P87" i="22"/>
  <c r="P89" i="22" s="1"/>
  <c r="P90" i="22" s="1"/>
  <c r="P94" i="22"/>
  <c r="P96" i="22" s="1"/>
  <c r="P97" i="22" s="1"/>
  <c r="P73" i="22"/>
  <c r="P75" i="22" s="1"/>
  <c r="P76" i="22" s="1"/>
  <c r="P66" i="22"/>
  <c r="P68" i="22" s="1"/>
  <c r="P69" i="22" s="1"/>
  <c r="P59" i="22"/>
  <c r="P61" i="22" s="1"/>
  <c r="P62" i="22" s="1"/>
  <c r="P52" i="22"/>
  <c r="P54" i="22" s="1"/>
  <c r="P55" i="22" s="1"/>
  <c r="P45" i="22"/>
  <c r="P47" i="22" s="1"/>
  <c r="P48" i="22" s="1"/>
  <c r="P38" i="22"/>
  <c r="P40" i="22" s="1"/>
  <c r="P41" i="22" s="1"/>
  <c r="Q31" i="22"/>
  <c r="Q33" i="22" s="1"/>
  <c r="Q34" i="22" s="1"/>
  <c r="P24" i="22"/>
  <c r="P26" i="22" s="1"/>
  <c r="P27" i="22" s="1"/>
  <c r="I23" i="10"/>
  <c r="J9" i="22"/>
  <c r="J16" i="22" s="1"/>
  <c r="H15" i="10"/>
  <c r="H27" i="10" s="1"/>
  <c r="H31" i="21"/>
  <c r="K17" i="10"/>
  <c r="J7" i="10"/>
  <c r="I7" i="21"/>
  <c r="I88" i="10"/>
  <c r="I54" i="10"/>
  <c r="I105" i="10"/>
  <c r="I37" i="10"/>
  <c r="I71" i="10"/>
  <c r="H18" i="21"/>
  <c r="H36" i="21"/>
  <c r="N42" i="21"/>
  <c r="Q80" i="22" l="1"/>
  <c r="Q82" i="22" s="1"/>
  <c r="Q83" i="22" s="1"/>
  <c r="F101" i="10"/>
  <c r="G92" i="10" s="1"/>
  <c r="G93" i="10" s="1"/>
  <c r="F82" i="10"/>
  <c r="F85" i="10" s="1"/>
  <c r="F84" i="10"/>
  <c r="G75" i="10" s="1"/>
  <c r="F99" i="10"/>
  <c r="F102" i="10" s="1"/>
  <c r="M13" i="22"/>
  <c r="M11" i="22"/>
  <c r="N19" i="22"/>
  <c r="N10" i="22"/>
  <c r="Q136" i="22"/>
  <c r="Q138" i="22" s="1"/>
  <c r="Q139" i="22" s="1"/>
  <c r="J184" i="22"/>
  <c r="J219" i="22"/>
  <c r="J191" i="22"/>
  <c r="J163" i="22"/>
  <c r="J156" i="22"/>
  <c r="J121" i="22"/>
  <c r="J198" i="22"/>
  <c r="J177" i="22"/>
  <c r="J93" i="22"/>
  <c r="J86" i="22"/>
  <c r="J79" i="22"/>
  <c r="J51" i="22"/>
  <c r="J205" i="22"/>
  <c r="J170" i="22"/>
  <c r="J142" i="22"/>
  <c r="J149" i="22"/>
  <c r="J100" i="22"/>
  <c r="J37" i="22"/>
  <c r="J135" i="22"/>
  <c r="J128" i="22"/>
  <c r="J107" i="22"/>
  <c r="J23" i="22"/>
  <c r="J212" i="22"/>
  <c r="J114" i="22"/>
  <c r="J72" i="22"/>
  <c r="J65" i="22"/>
  <c r="J58" i="22"/>
  <c r="J44" i="22"/>
  <c r="J30" i="22"/>
  <c r="Q164" i="22"/>
  <c r="Q166" i="22" s="1"/>
  <c r="Q167" i="22" s="1"/>
  <c r="Q220" i="22"/>
  <c r="Q222" i="22" s="1"/>
  <c r="Q223" i="22" s="1"/>
  <c r="Q213" i="22"/>
  <c r="Q215" i="22" s="1"/>
  <c r="Q216" i="22" s="1"/>
  <c r="Q192" i="22"/>
  <c r="Q194" i="22" s="1"/>
  <c r="Q195" i="22" s="1"/>
  <c r="Q206" i="22"/>
  <c r="Q208" i="22" s="1"/>
  <c r="Q209" i="22" s="1"/>
  <c r="Q199" i="22"/>
  <c r="Q201" i="22" s="1"/>
  <c r="Q202" i="22" s="1"/>
  <c r="Q185" i="22"/>
  <c r="Q187" i="22" s="1"/>
  <c r="Q188" i="22" s="1"/>
  <c r="Q171" i="22"/>
  <c r="Q173" i="22" s="1"/>
  <c r="Q174" i="22" s="1"/>
  <c r="Q178" i="22"/>
  <c r="Q180" i="22" s="1"/>
  <c r="Q181" i="22" s="1"/>
  <c r="Q157" i="22"/>
  <c r="Q159" i="22" s="1"/>
  <c r="Q160" i="22" s="1"/>
  <c r="R129" i="22"/>
  <c r="R131" i="22" s="1"/>
  <c r="R132" i="22" s="1"/>
  <c r="Q143" i="22"/>
  <c r="Q145" i="22" s="1"/>
  <c r="Q146" i="22" s="1"/>
  <c r="Q150" i="22"/>
  <c r="Q152" i="22" s="1"/>
  <c r="Q153" i="22" s="1"/>
  <c r="Q108" i="22"/>
  <c r="Q110" i="22" s="1"/>
  <c r="Q111" i="22" s="1"/>
  <c r="Q101" i="22"/>
  <c r="Q103" i="22" s="1"/>
  <c r="Q104" i="22" s="1"/>
  <c r="R115" i="22"/>
  <c r="R117" i="22" s="1"/>
  <c r="R118" i="22" s="1"/>
  <c r="Q122" i="22"/>
  <c r="Q124" i="22" s="1"/>
  <c r="Q125" i="22" s="1"/>
  <c r="Q73" i="22"/>
  <c r="Q75" i="22" s="1"/>
  <c r="Q76" i="22" s="1"/>
  <c r="Q87" i="22"/>
  <c r="Q89" i="22" s="1"/>
  <c r="Q90" i="22" s="1"/>
  <c r="Q94" i="22"/>
  <c r="Q96" i="22" s="1"/>
  <c r="Q97" i="22" s="1"/>
  <c r="Q66" i="22"/>
  <c r="Q68" i="22" s="1"/>
  <c r="Q69" i="22" s="1"/>
  <c r="Q59" i="22"/>
  <c r="Q61" i="22" s="1"/>
  <c r="Q62" i="22" s="1"/>
  <c r="Q52" i="22"/>
  <c r="Q54" i="22" s="1"/>
  <c r="Q55" i="22" s="1"/>
  <c r="Q45" i="22"/>
  <c r="Q47" i="22" s="1"/>
  <c r="Q48" i="22" s="1"/>
  <c r="Q38" i="22"/>
  <c r="Q40" i="22" s="1"/>
  <c r="Q41" i="22" s="1"/>
  <c r="R31" i="22"/>
  <c r="R33" i="22" s="1"/>
  <c r="R34" i="22" s="1"/>
  <c r="Q24" i="22"/>
  <c r="Q26" i="22" s="1"/>
  <c r="Q27" i="22" s="1"/>
  <c r="J23" i="10"/>
  <c r="K9" i="22"/>
  <c r="K16" i="22" s="1"/>
  <c r="I15" i="10"/>
  <c r="I27" i="10" s="1"/>
  <c r="I31" i="21"/>
  <c r="L17" i="10"/>
  <c r="I36" i="21"/>
  <c r="I18" i="21"/>
  <c r="K7" i="10"/>
  <c r="J88" i="10"/>
  <c r="J54" i="10"/>
  <c r="J37" i="10"/>
  <c r="J7" i="21"/>
  <c r="J105" i="10"/>
  <c r="J71" i="10"/>
  <c r="O42" i="21"/>
  <c r="R80" i="22" l="1"/>
  <c r="R82" i="22" s="1"/>
  <c r="R83" i="22" s="1"/>
  <c r="G96" i="10"/>
  <c r="G97" i="10" s="1"/>
  <c r="G76" i="10"/>
  <c r="G79" i="10" s="1"/>
  <c r="G80" i="10" s="1"/>
  <c r="N20" i="22"/>
  <c r="N12" i="22"/>
  <c r="M11" i="21" s="1"/>
  <c r="O17" i="22"/>
  <c r="R164" i="22"/>
  <c r="R166" i="22" s="1"/>
  <c r="R167" i="22" s="1"/>
  <c r="R136" i="22"/>
  <c r="R138" i="22" s="1"/>
  <c r="R139" i="22" s="1"/>
  <c r="K219" i="22"/>
  <c r="K191" i="22"/>
  <c r="K198" i="22"/>
  <c r="K149" i="22"/>
  <c r="K142" i="22"/>
  <c r="K135" i="22"/>
  <c r="K212" i="22"/>
  <c r="K205" i="22"/>
  <c r="K184" i="22"/>
  <c r="K156" i="22"/>
  <c r="K163" i="22"/>
  <c r="K170" i="22"/>
  <c r="K72" i="22"/>
  <c r="K44" i="22"/>
  <c r="K23" i="22"/>
  <c r="K128" i="22"/>
  <c r="K121" i="22"/>
  <c r="K114" i="22"/>
  <c r="K107" i="22"/>
  <c r="K177" i="22"/>
  <c r="K79" i="22"/>
  <c r="K86" i="22"/>
  <c r="K65" i="22"/>
  <c r="K58" i="22"/>
  <c r="K51" i="22"/>
  <c r="K100" i="22"/>
  <c r="K37" i="22"/>
  <c r="K93" i="22"/>
  <c r="K30" i="22"/>
  <c r="R213" i="22"/>
  <c r="R215" i="22" s="1"/>
  <c r="R216" i="22" s="1"/>
  <c r="R220" i="22"/>
  <c r="R222" i="22" s="1"/>
  <c r="R223" i="22" s="1"/>
  <c r="R206" i="22"/>
  <c r="R208" i="22" s="1"/>
  <c r="R209" i="22" s="1"/>
  <c r="R192" i="22"/>
  <c r="R194" i="22" s="1"/>
  <c r="R195" i="22" s="1"/>
  <c r="R185" i="22"/>
  <c r="R187" i="22" s="1"/>
  <c r="R188" i="22" s="1"/>
  <c r="R199" i="22"/>
  <c r="R201" i="22" s="1"/>
  <c r="R202" i="22" s="1"/>
  <c r="R178" i="22"/>
  <c r="R180" i="22" s="1"/>
  <c r="R181" i="22" s="1"/>
  <c r="R157" i="22"/>
  <c r="R159" i="22" s="1"/>
  <c r="R160" i="22" s="1"/>
  <c r="R171" i="22"/>
  <c r="R173" i="22" s="1"/>
  <c r="R174" i="22" s="1"/>
  <c r="R150" i="22"/>
  <c r="R152" i="22" s="1"/>
  <c r="R153" i="22" s="1"/>
  <c r="S129" i="22"/>
  <c r="S131" i="22" s="1"/>
  <c r="S132" i="22" s="1"/>
  <c r="R143" i="22"/>
  <c r="R145" i="22" s="1"/>
  <c r="R146" i="22" s="1"/>
  <c r="S115" i="22"/>
  <c r="S117" i="22" s="1"/>
  <c r="S118" i="22" s="1"/>
  <c r="R108" i="22"/>
  <c r="R110" i="22" s="1"/>
  <c r="R111" i="22" s="1"/>
  <c r="R122" i="22"/>
  <c r="R124" i="22" s="1"/>
  <c r="R125" i="22" s="1"/>
  <c r="R101" i="22"/>
  <c r="R103" i="22" s="1"/>
  <c r="R104" i="22" s="1"/>
  <c r="R94" i="22"/>
  <c r="R96" i="22" s="1"/>
  <c r="R97" i="22" s="1"/>
  <c r="R73" i="22"/>
  <c r="R75" i="22" s="1"/>
  <c r="R76" i="22" s="1"/>
  <c r="R87" i="22"/>
  <c r="R89" i="22" s="1"/>
  <c r="R90" i="22" s="1"/>
  <c r="R66" i="22"/>
  <c r="R68" i="22" s="1"/>
  <c r="R69" i="22" s="1"/>
  <c r="R59" i="22"/>
  <c r="R61" i="22" s="1"/>
  <c r="R62" i="22" s="1"/>
  <c r="R52" i="22"/>
  <c r="R54" i="22" s="1"/>
  <c r="R55" i="22" s="1"/>
  <c r="R45" i="22"/>
  <c r="R47" i="22" s="1"/>
  <c r="R48" i="22" s="1"/>
  <c r="R38" i="22"/>
  <c r="R40" i="22" s="1"/>
  <c r="R41" i="22" s="1"/>
  <c r="S31" i="22"/>
  <c r="S33" i="22" s="1"/>
  <c r="S34" i="22" s="1"/>
  <c r="R24" i="22"/>
  <c r="R26" i="22" s="1"/>
  <c r="R27" i="22" s="1"/>
  <c r="K23" i="10"/>
  <c r="L9" i="22"/>
  <c r="L16" i="22" s="1"/>
  <c r="J15" i="10"/>
  <c r="J27" i="10" s="1"/>
  <c r="J31" i="21"/>
  <c r="M17" i="10"/>
  <c r="J36" i="21"/>
  <c r="J18" i="21"/>
  <c r="L7" i="10"/>
  <c r="K105" i="10"/>
  <c r="K71" i="10"/>
  <c r="K37" i="10"/>
  <c r="K88" i="10"/>
  <c r="K54" i="10"/>
  <c r="K7" i="21"/>
  <c r="P42" i="21"/>
  <c r="S80" i="22" l="1"/>
  <c r="S82" i="22" s="1"/>
  <c r="S83" i="22" s="1"/>
  <c r="G99" i="10"/>
  <c r="G102" i="10" s="1"/>
  <c r="G101" i="10"/>
  <c r="H92" i="10" s="1"/>
  <c r="G84" i="10"/>
  <c r="H75" i="10" s="1"/>
  <c r="H76" i="10" s="1"/>
  <c r="G82" i="10"/>
  <c r="G85" i="10" s="1"/>
  <c r="N13" i="22"/>
  <c r="N11" i="22"/>
  <c r="O19" i="22"/>
  <c r="O10" i="22"/>
  <c r="S136" i="22"/>
  <c r="S138" i="22" s="1"/>
  <c r="S139" i="22" s="1"/>
  <c r="L219" i="22"/>
  <c r="L212" i="22"/>
  <c r="L198" i="22"/>
  <c r="L205" i="22"/>
  <c r="L177" i="22"/>
  <c r="L170" i="22"/>
  <c r="L191" i="22"/>
  <c r="L163" i="22"/>
  <c r="L149" i="22"/>
  <c r="L142" i="22"/>
  <c r="L184" i="22"/>
  <c r="L128" i="22"/>
  <c r="L121" i="22"/>
  <c r="L114" i="22"/>
  <c r="L65" i="22"/>
  <c r="L37" i="22"/>
  <c r="L135" i="22"/>
  <c r="L79" i="22"/>
  <c r="L86" i="22"/>
  <c r="L72" i="22"/>
  <c r="L58" i="22"/>
  <c r="L51" i="22"/>
  <c r="L156" i="22"/>
  <c r="L107" i="22"/>
  <c r="L100" i="22"/>
  <c r="L93" i="22"/>
  <c r="L44" i="22"/>
  <c r="L30" i="22"/>
  <c r="L23" i="22"/>
  <c r="S164" i="22"/>
  <c r="S166" i="22" s="1"/>
  <c r="S167" i="22" s="1"/>
  <c r="S213" i="22"/>
  <c r="S215" i="22" s="1"/>
  <c r="S216" i="22" s="1"/>
  <c r="S220" i="22"/>
  <c r="S222" i="22" s="1"/>
  <c r="S223" i="22" s="1"/>
  <c r="S199" i="22"/>
  <c r="S201" i="22" s="1"/>
  <c r="S202" i="22" s="1"/>
  <c r="S192" i="22"/>
  <c r="S194" i="22" s="1"/>
  <c r="S195" i="22" s="1"/>
  <c r="S185" i="22"/>
  <c r="S187" i="22" s="1"/>
  <c r="S188" i="22" s="1"/>
  <c r="S206" i="22"/>
  <c r="S208" i="22" s="1"/>
  <c r="S209" i="22" s="1"/>
  <c r="S171" i="22"/>
  <c r="S173" i="22" s="1"/>
  <c r="S174" i="22" s="1"/>
  <c r="S157" i="22"/>
  <c r="S159" i="22" s="1"/>
  <c r="S160" i="22" s="1"/>
  <c r="S178" i="22"/>
  <c r="S180" i="22" s="1"/>
  <c r="S181" i="22" s="1"/>
  <c r="S150" i="22"/>
  <c r="S152" i="22" s="1"/>
  <c r="S153" i="22" s="1"/>
  <c r="S143" i="22"/>
  <c r="S145" i="22" s="1"/>
  <c r="S146" i="22" s="1"/>
  <c r="T129" i="22"/>
  <c r="T131" i="22" s="1"/>
  <c r="T132" i="22" s="1"/>
  <c r="S101" i="22"/>
  <c r="S103" i="22" s="1"/>
  <c r="S104" i="22" s="1"/>
  <c r="T115" i="22"/>
  <c r="T117" i="22" s="1"/>
  <c r="T118" i="22" s="1"/>
  <c r="S108" i="22"/>
  <c r="S110" i="22" s="1"/>
  <c r="S111" i="22" s="1"/>
  <c r="S122" i="22"/>
  <c r="S124" i="22" s="1"/>
  <c r="S125" i="22" s="1"/>
  <c r="S94" i="22"/>
  <c r="S96" i="22" s="1"/>
  <c r="S97" i="22" s="1"/>
  <c r="S73" i="22"/>
  <c r="S75" i="22" s="1"/>
  <c r="S76" i="22" s="1"/>
  <c r="T80" i="22"/>
  <c r="T82" i="22" s="1"/>
  <c r="T83" i="22" s="1"/>
  <c r="S87" i="22"/>
  <c r="S89" i="22" s="1"/>
  <c r="S90" i="22" s="1"/>
  <c r="S66" i="22"/>
  <c r="S68" i="22" s="1"/>
  <c r="S69" i="22" s="1"/>
  <c r="S59" i="22"/>
  <c r="S61" i="22" s="1"/>
  <c r="S62" i="22" s="1"/>
  <c r="S52" i="22"/>
  <c r="S54" i="22" s="1"/>
  <c r="S55" i="22" s="1"/>
  <c r="S45" i="22"/>
  <c r="S47" i="22" s="1"/>
  <c r="S48" i="22" s="1"/>
  <c r="S38" i="22"/>
  <c r="S40" i="22" s="1"/>
  <c r="S41" i="22" s="1"/>
  <c r="T31" i="22"/>
  <c r="T33" i="22" s="1"/>
  <c r="T34" i="22" s="1"/>
  <c r="S24" i="22"/>
  <c r="S26" i="22" s="1"/>
  <c r="S27" i="22" s="1"/>
  <c r="L23" i="10"/>
  <c r="M9" i="22"/>
  <c r="M16" i="22" s="1"/>
  <c r="K15" i="10"/>
  <c r="K27" i="10" s="1"/>
  <c r="K31" i="21"/>
  <c r="N17" i="10"/>
  <c r="M7" i="10"/>
  <c r="L7" i="21"/>
  <c r="L105" i="10"/>
  <c r="L71" i="10"/>
  <c r="L88" i="10"/>
  <c r="L54" i="10"/>
  <c r="L37" i="10"/>
  <c r="K36" i="21"/>
  <c r="K18" i="21"/>
  <c r="Q42" i="21"/>
  <c r="E30" i="9"/>
  <c r="D8" i="10" s="1"/>
  <c r="D11" i="10" s="1"/>
  <c r="H93" i="10" l="1"/>
  <c r="H96" i="10" s="1"/>
  <c r="H97" i="10" s="1"/>
  <c r="H79" i="10"/>
  <c r="H82" i="10" s="1"/>
  <c r="H85" i="10" s="1"/>
  <c r="O20" i="22"/>
  <c r="O12" i="22"/>
  <c r="N11" i="21" s="1"/>
  <c r="P17" i="22"/>
  <c r="T164" i="22"/>
  <c r="T166" i="22" s="1"/>
  <c r="T167" i="22" s="1"/>
  <c r="M205" i="22"/>
  <c r="M198" i="22"/>
  <c r="M191" i="22"/>
  <c r="M212" i="22"/>
  <c r="M177" i="22"/>
  <c r="M170" i="22"/>
  <c r="M128" i="22"/>
  <c r="M184" i="22"/>
  <c r="M219" i="22"/>
  <c r="M142" i="22"/>
  <c r="M135" i="22"/>
  <c r="M107" i="22"/>
  <c r="M100" i="22"/>
  <c r="M58" i="22"/>
  <c r="M30" i="22"/>
  <c r="M86" i="22"/>
  <c r="M72" i="22"/>
  <c r="M51" i="22"/>
  <c r="M163" i="22"/>
  <c r="M121" i="22"/>
  <c r="M114" i="22"/>
  <c r="M93" i="22"/>
  <c r="M65" i="22"/>
  <c r="M44" i="22"/>
  <c r="M149" i="22"/>
  <c r="M156" i="22"/>
  <c r="M37" i="22"/>
  <c r="M23" i="22"/>
  <c r="M79" i="22"/>
  <c r="T136" i="22"/>
  <c r="T138" i="22" s="1"/>
  <c r="T139" i="22" s="1"/>
  <c r="T213" i="22"/>
  <c r="T215" i="22" s="1"/>
  <c r="T216" i="22" s="1"/>
  <c r="T220" i="22"/>
  <c r="T222" i="22" s="1"/>
  <c r="T223" i="22" s="1"/>
  <c r="T206" i="22"/>
  <c r="T208" i="22" s="1"/>
  <c r="T209" i="22" s="1"/>
  <c r="T192" i="22"/>
  <c r="T194" i="22" s="1"/>
  <c r="T195" i="22" s="1"/>
  <c r="T185" i="22"/>
  <c r="T187" i="22" s="1"/>
  <c r="T188" i="22" s="1"/>
  <c r="T199" i="22"/>
  <c r="T201" i="22" s="1"/>
  <c r="T202" i="22" s="1"/>
  <c r="T178" i="22"/>
  <c r="T180" i="22" s="1"/>
  <c r="T181" i="22" s="1"/>
  <c r="T157" i="22"/>
  <c r="T159" i="22" s="1"/>
  <c r="T160" i="22" s="1"/>
  <c r="T171" i="22"/>
  <c r="T173" i="22" s="1"/>
  <c r="T174" i="22" s="1"/>
  <c r="T150" i="22"/>
  <c r="T152" i="22" s="1"/>
  <c r="T153" i="22" s="1"/>
  <c r="T143" i="22"/>
  <c r="T145" i="22" s="1"/>
  <c r="T146" i="22" s="1"/>
  <c r="U129" i="22"/>
  <c r="U131" i="22" s="1"/>
  <c r="U132" i="22" s="1"/>
  <c r="U115" i="22"/>
  <c r="U117" i="22" s="1"/>
  <c r="U118" i="22" s="1"/>
  <c r="T101" i="22"/>
  <c r="T103" i="22" s="1"/>
  <c r="T104" i="22" s="1"/>
  <c r="T122" i="22"/>
  <c r="T124" i="22" s="1"/>
  <c r="T125" i="22" s="1"/>
  <c r="T108" i="22"/>
  <c r="T110" i="22" s="1"/>
  <c r="T111" i="22" s="1"/>
  <c r="T87" i="22"/>
  <c r="T89" i="22" s="1"/>
  <c r="T90" i="22" s="1"/>
  <c r="U80" i="22"/>
  <c r="U82" i="22" s="1"/>
  <c r="U83" i="22" s="1"/>
  <c r="T94" i="22"/>
  <c r="T96" i="22" s="1"/>
  <c r="T97" i="22" s="1"/>
  <c r="T73" i="22"/>
  <c r="T75" i="22" s="1"/>
  <c r="T76" i="22" s="1"/>
  <c r="T66" i="22"/>
  <c r="T68" i="22" s="1"/>
  <c r="T69" i="22" s="1"/>
  <c r="T59" i="22"/>
  <c r="T61" i="22" s="1"/>
  <c r="T62" i="22" s="1"/>
  <c r="T52" i="22"/>
  <c r="T54" i="22" s="1"/>
  <c r="T55" i="22" s="1"/>
  <c r="T45" i="22"/>
  <c r="T47" i="22" s="1"/>
  <c r="T48" i="22" s="1"/>
  <c r="T38" i="22"/>
  <c r="T40" i="22" s="1"/>
  <c r="T41" i="22" s="1"/>
  <c r="U31" i="22"/>
  <c r="U33" i="22" s="1"/>
  <c r="U34" i="22" s="1"/>
  <c r="T24" i="22"/>
  <c r="T26" i="22" s="1"/>
  <c r="T27" i="22" s="1"/>
  <c r="M23" i="10"/>
  <c r="N9" i="22"/>
  <c r="N16" i="22" s="1"/>
  <c r="L15" i="10"/>
  <c r="L27" i="10" s="1"/>
  <c r="L31" i="21"/>
  <c r="O17" i="10"/>
  <c r="L36" i="21"/>
  <c r="L18" i="21"/>
  <c r="N7" i="10"/>
  <c r="M7" i="21"/>
  <c r="M88" i="10"/>
  <c r="M54" i="10"/>
  <c r="M105" i="10"/>
  <c r="M71" i="10"/>
  <c r="M37" i="10"/>
  <c r="R42" i="21"/>
  <c r="E31" i="9"/>
  <c r="H99" i="10" l="1"/>
  <c r="H102" i="10" s="1"/>
  <c r="H101" i="10"/>
  <c r="I92" i="10" s="1"/>
  <c r="I93" i="10" s="1"/>
  <c r="H80" i="10"/>
  <c r="H84" i="10"/>
  <c r="I75" i="10" s="1"/>
  <c r="O13" i="22"/>
  <c r="O11" i="22"/>
  <c r="P19" i="22"/>
  <c r="P10" i="22"/>
  <c r="U136" i="22"/>
  <c r="U138" i="22" s="1"/>
  <c r="U139" i="22" s="1"/>
  <c r="N184" i="22"/>
  <c r="N212" i="22"/>
  <c r="N205" i="22"/>
  <c r="N163" i="22"/>
  <c r="N156" i="22"/>
  <c r="N121" i="22"/>
  <c r="N219" i="22"/>
  <c r="N191" i="22"/>
  <c r="N135" i="22"/>
  <c r="N198" i="22"/>
  <c r="N170" i="22"/>
  <c r="N93" i="22"/>
  <c r="N86" i="22"/>
  <c r="N79" i="22"/>
  <c r="N51" i="22"/>
  <c r="N177" i="22"/>
  <c r="N149" i="22"/>
  <c r="N128" i="22"/>
  <c r="N114" i="22"/>
  <c r="N65" i="22"/>
  <c r="N58" i="22"/>
  <c r="N44" i="22"/>
  <c r="N100" i="22"/>
  <c r="N37" i="22"/>
  <c r="N30" i="22"/>
  <c r="N142" i="22"/>
  <c r="N107" i="22"/>
  <c r="N23" i="22"/>
  <c r="N72" i="22"/>
  <c r="U164" i="22"/>
  <c r="U166" i="22" s="1"/>
  <c r="U167" i="22" s="1"/>
  <c r="U213" i="22"/>
  <c r="U215" i="22" s="1"/>
  <c r="U216" i="22" s="1"/>
  <c r="U220" i="22"/>
  <c r="U222" i="22" s="1"/>
  <c r="U223" i="22" s="1"/>
  <c r="U192" i="22"/>
  <c r="U194" i="22" s="1"/>
  <c r="U195" i="22" s="1"/>
  <c r="U185" i="22"/>
  <c r="U187" i="22" s="1"/>
  <c r="U188" i="22" s="1"/>
  <c r="U199" i="22"/>
  <c r="U201" i="22" s="1"/>
  <c r="U202" i="22" s="1"/>
  <c r="U206" i="22"/>
  <c r="U208" i="22" s="1"/>
  <c r="U209" i="22" s="1"/>
  <c r="U157" i="22"/>
  <c r="U159" i="22" s="1"/>
  <c r="U160" i="22" s="1"/>
  <c r="U171" i="22"/>
  <c r="U173" i="22" s="1"/>
  <c r="U174" i="22" s="1"/>
  <c r="U178" i="22"/>
  <c r="U180" i="22" s="1"/>
  <c r="U181" i="22" s="1"/>
  <c r="U143" i="22"/>
  <c r="U145" i="22" s="1"/>
  <c r="U146" i="22" s="1"/>
  <c r="V129" i="22"/>
  <c r="V131" i="22" s="1"/>
  <c r="V132" i="22" s="1"/>
  <c r="U150" i="22"/>
  <c r="U152" i="22" s="1"/>
  <c r="U153" i="22" s="1"/>
  <c r="U108" i="22"/>
  <c r="U110" i="22" s="1"/>
  <c r="U111" i="22" s="1"/>
  <c r="U101" i="22"/>
  <c r="U103" i="22" s="1"/>
  <c r="U104" i="22" s="1"/>
  <c r="U122" i="22"/>
  <c r="U124" i="22" s="1"/>
  <c r="U125" i="22" s="1"/>
  <c r="V115" i="22"/>
  <c r="V117" i="22" s="1"/>
  <c r="V118" i="22" s="1"/>
  <c r="U73" i="22"/>
  <c r="U75" i="22" s="1"/>
  <c r="U76" i="22" s="1"/>
  <c r="U87" i="22"/>
  <c r="U89" i="22" s="1"/>
  <c r="U90" i="22" s="1"/>
  <c r="V80" i="22"/>
  <c r="V82" i="22" s="1"/>
  <c r="V83" i="22" s="1"/>
  <c r="U94" i="22"/>
  <c r="U96" i="22" s="1"/>
  <c r="U97" i="22" s="1"/>
  <c r="U66" i="22"/>
  <c r="U68" i="22" s="1"/>
  <c r="U69" i="22" s="1"/>
  <c r="U59" i="22"/>
  <c r="U61" i="22" s="1"/>
  <c r="U62" i="22" s="1"/>
  <c r="U52" i="22"/>
  <c r="U54" i="22" s="1"/>
  <c r="U55" i="22" s="1"/>
  <c r="U45" i="22"/>
  <c r="U47" i="22" s="1"/>
  <c r="U48" i="22" s="1"/>
  <c r="U38" i="22"/>
  <c r="U40" i="22" s="1"/>
  <c r="U41" i="22" s="1"/>
  <c r="V31" i="22"/>
  <c r="V33" i="22" s="1"/>
  <c r="V34" i="22" s="1"/>
  <c r="U24" i="22"/>
  <c r="U26" i="22" s="1"/>
  <c r="U27" i="22" s="1"/>
  <c r="N23" i="10"/>
  <c r="O9" i="22"/>
  <c r="O16" i="22" s="1"/>
  <c r="D12" i="10"/>
  <c r="E8" i="10" s="1"/>
  <c r="E11" i="10" s="1"/>
  <c r="M15" i="10"/>
  <c r="M27" i="10" s="1"/>
  <c r="M31" i="21"/>
  <c r="P17" i="10"/>
  <c r="M36" i="21"/>
  <c r="M18" i="21"/>
  <c r="O7" i="10"/>
  <c r="N88" i="10"/>
  <c r="N54" i="10"/>
  <c r="N37" i="10"/>
  <c r="N7" i="21"/>
  <c r="N105" i="10"/>
  <c r="N71" i="10"/>
  <c r="S42" i="21"/>
  <c r="T10" i="9"/>
  <c r="I76" i="10" l="1"/>
  <c r="I79" i="10" s="1"/>
  <c r="I80" i="10" s="1"/>
  <c r="I96" i="10"/>
  <c r="I99" i="10" s="1"/>
  <c r="I102" i="10" s="1"/>
  <c r="P20" i="22"/>
  <c r="P12" i="22"/>
  <c r="O11" i="21" s="1"/>
  <c r="Q17" i="22"/>
  <c r="V136" i="22"/>
  <c r="V138" i="22" s="1"/>
  <c r="V139" i="22" s="1"/>
  <c r="O219" i="22"/>
  <c r="O191" i="22"/>
  <c r="O184" i="22"/>
  <c r="O149" i="22"/>
  <c r="O142" i="22"/>
  <c r="O135" i="22"/>
  <c r="O198" i="22"/>
  <c r="O170" i="22"/>
  <c r="O177" i="22"/>
  <c r="O156" i="22"/>
  <c r="O205" i="22"/>
  <c r="O72" i="22"/>
  <c r="O44" i="22"/>
  <c r="O23" i="22"/>
  <c r="O212" i="22"/>
  <c r="O114" i="22"/>
  <c r="O163" i="22"/>
  <c r="O121" i="22"/>
  <c r="O100" i="22"/>
  <c r="O93" i="22"/>
  <c r="O37" i="22"/>
  <c r="O107" i="22"/>
  <c r="O128" i="22"/>
  <c r="O79" i="22"/>
  <c r="O86" i="22"/>
  <c r="O30" i="22"/>
  <c r="O65" i="22"/>
  <c r="O58" i="22"/>
  <c r="O51" i="22"/>
  <c r="V164" i="22"/>
  <c r="V166" i="22" s="1"/>
  <c r="V167" i="22" s="1"/>
  <c r="V220" i="22"/>
  <c r="V222" i="22" s="1"/>
  <c r="V223" i="22" s="1"/>
  <c r="V213" i="22"/>
  <c r="V215" i="22" s="1"/>
  <c r="V216" i="22" s="1"/>
  <c r="V206" i="22"/>
  <c r="V208" i="22" s="1"/>
  <c r="V209" i="22" s="1"/>
  <c r="V185" i="22"/>
  <c r="V187" i="22" s="1"/>
  <c r="V188" i="22" s="1"/>
  <c r="V192" i="22"/>
  <c r="V194" i="22" s="1"/>
  <c r="V195" i="22" s="1"/>
  <c r="V199" i="22"/>
  <c r="V201" i="22" s="1"/>
  <c r="V202" i="22" s="1"/>
  <c r="V178" i="22"/>
  <c r="V180" i="22" s="1"/>
  <c r="V181" i="22" s="1"/>
  <c r="V171" i="22"/>
  <c r="V173" i="22" s="1"/>
  <c r="V174" i="22" s="1"/>
  <c r="V157" i="22"/>
  <c r="V159" i="22" s="1"/>
  <c r="V160" i="22" s="1"/>
  <c r="V150" i="22"/>
  <c r="V152" i="22" s="1"/>
  <c r="V153" i="22" s="1"/>
  <c r="W129" i="22"/>
  <c r="W131" i="22" s="1"/>
  <c r="W132" i="22" s="1"/>
  <c r="V143" i="22"/>
  <c r="V145" i="22" s="1"/>
  <c r="V146" i="22" s="1"/>
  <c r="V101" i="22"/>
  <c r="V103" i="22" s="1"/>
  <c r="V104" i="22" s="1"/>
  <c r="V122" i="22"/>
  <c r="V124" i="22" s="1"/>
  <c r="V125" i="22" s="1"/>
  <c r="V108" i="22"/>
  <c r="V110" i="22" s="1"/>
  <c r="V111" i="22" s="1"/>
  <c r="W115" i="22"/>
  <c r="W117" i="22" s="1"/>
  <c r="W118" i="22" s="1"/>
  <c r="V87" i="22"/>
  <c r="V89" i="22" s="1"/>
  <c r="V90" i="22" s="1"/>
  <c r="V73" i="22"/>
  <c r="V75" i="22" s="1"/>
  <c r="V76" i="22" s="1"/>
  <c r="V94" i="22"/>
  <c r="V96" i="22" s="1"/>
  <c r="V97" i="22" s="1"/>
  <c r="W80" i="22"/>
  <c r="W82" i="22" s="1"/>
  <c r="W83" i="22" s="1"/>
  <c r="V66" i="22"/>
  <c r="V68" i="22" s="1"/>
  <c r="V69" i="22" s="1"/>
  <c r="V59" i="22"/>
  <c r="V61" i="22" s="1"/>
  <c r="V62" i="22" s="1"/>
  <c r="V52" i="22"/>
  <c r="V54" i="22" s="1"/>
  <c r="V55" i="22" s="1"/>
  <c r="V45" i="22"/>
  <c r="V47" i="22" s="1"/>
  <c r="V48" i="22" s="1"/>
  <c r="V38" i="22"/>
  <c r="V40" i="22" s="1"/>
  <c r="V41" i="22" s="1"/>
  <c r="W31" i="22"/>
  <c r="W33" i="22" s="1"/>
  <c r="W34" i="22" s="1"/>
  <c r="V24" i="22"/>
  <c r="V26" i="22" s="1"/>
  <c r="V27" i="22" s="1"/>
  <c r="O23" i="10"/>
  <c r="P9" i="22"/>
  <c r="P16" i="22" s="1"/>
  <c r="E12" i="10"/>
  <c r="F8" i="10" s="1"/>
  <c r="F11" i="10" s="1"/>
  <c r="N15" i="10"/>
  <c r="N27" i="10" s="1"/>
  <c r="N31" i="21"/>
  <c r="Q17" i="10"/>
  <c r="D13" i="21"/>
  <c r="E13" i="21" s="1"/>
  <c r="F13" i="21" s="1"/>
  <c r="G13" i="21" s="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AZ13" i="21" s="1"/>
  <c r="BA13" i="21" s="1"/>
  <c r="N36" i="21"/>
  <c r="N18" i="21"/>
  <c r="P7" i="10"/>
  <c r="O105" i="10"/>
  <c r="O71" i="10"/>
  <c r="O37" i="10"/>
  <c r="O7" i="21"/>
  <c r="O88" i="10"/>
  <c r="O54" i="10"/>
  <c r="T42" i="21"/>
  <c r="I97" i="10" l="1"/>
  <c r="I101" i="10"/>
  <c r="J92" i="10" s="1"/>
  <c r="I82" i="10"/>
  <c r="I85" i="10" s="1"/>
  <c r="I84" i="10"/>
  <c r="J75" i="10" s="1"/>
  <c r="J76" i="10" s="1"/>
  <c r="P13" i="22"/>
  <c r="P11" i="22"/>
  <c r="Q19" i="22"/>
  <c r="Q10" i="22"/>
  <c r="W164" i="22"/>
  <c r="W166" i="22" s="1"/>
  <c r="W167" i="22" s="1"/>
  <c r="P219" i="22"/>
  <c r="P212" i="22"/>
  <c r="P191" i="22"/>
  <c r="P198" i="22"/>
  <c r="P205" i="22"/>
  <c r="P177" i="22"/>
  <c r="P170" i="22"/>
  <c r="P156" i="22"/>
  <c r="P128" i="22"/>
  <c r="P163" i="22"/>
  <c r="P184" i="22"/>
  <c r="P149" i="22"/>
  <c r="P114" i="22"/>
  <c r="P65" i="22"/>
  <c r="P37" i="22"/>
  <c r="P121" i="22"/>
  <c r="P135" i="22"/>
  <c r="P107" i="22"/>
  <c r="P79" i="22"/>
  <c r="P23" i="22"/>
  <c r="P142" i="22"/>
  <c r="P86" i="22"/>
  <c r="P72" i="22"/>
  <c r="P58" i="22"/>
  <c r="P51" i="22"/>
  <c r="P93" i="22"/>
  <c r="P30" i="22"/>
  <c r="P100" i="22"/>
  <c r="P44" i="22"/>
  <c r="W136" i="22"/>
  <c r="W138" i="22" s="1"/>
  <c r="W139" i="22" s="1"/>
  <c r="W220" i="22"/>
  <c r="W222" i="22" s="1"/>
  <c r="W223" i="22" s="1"/>
  <c r="W213" i="22"/>
  <c r="W215" i="22" s="1"/>
  <c r="W216" i="22" s="1"/>
  <c r="W185" i="22"/>
  <c r="W187" i="22" s="1"/>
  <c r="W188" i="22" s="1"/>
  <c r="W206" i="22"/>
  <c r="W208" i="22" s="1"/>
  <c r="W209" i="22" s="1"/>
  <c r="W199" i="22"/>
  <c r="W201" i="22" s="1"/>
  <c r="W202" i="22" s="1"/>
  <c r="W192" i="22"/>
  <c r="W194" i="22" s="1"/>
  <c r="W195" i="22" s="1"/>
  <c r="W157" i="22"/>
  <c r="W159" i="22" s="1"/>
  <c r="W160" i="22" s="1"/>
  <c r="W171" i="22"/>
  <c r="W173" i="22" s="1"/>
  <c r="W174" i="22" s="1"/>
  <c r="W178" i="22"/>
  <c r="W180" i="22" s="1"/>
  <c r="W181" i="22" s="1"/>
  <c r="W143" i="22"/>
  <c r="W145" i="22" s="1"/>
  <c r="W146" i="22" s="1"/>
  <c r="X129" i="22"/>
  <c r="X131" i="22" s="1"/>
  <c r="X132" i="22" s="1"/>
  <c r="W150" i="22"/>
  <c r="W152" i="22" s="1"/>
  <c r="W153" i="22" s="1"/>
  <c r="X115" i="22"/>
  <c r="X117" i="22" s="1"/>
  <c r="X118" i="22" s="1"/>
  <c r="W122" i="22"/>
  <c r="W124" i="22" s="1"/>
  <c r="W125" i="22" s="1"/>
  <c r="W108" i="22"/>
  <c r="W110" i="22" s="1"/>
  <c r="W111" i="22" s="1"/>
  <c r="W101" i="22"/>
  <c r="W103" i="22" s="1"/>
  <c r="W104" i="22" s="1"/>
  <c r="X80" i="22"/>
  <c r="X82" i="22" s="1"/>
  <c r="X83" i="22" s="1"/>
  <c r="W94" i="22"/>
  <c r="W96" i="22" s="1"/>
  <c r="W97" i="22" s="1"/>
  <c r="W87" i="22"/>
  <c r="W89" i="22" s="1"/>
  <c r="W90" i="22" s="1"/>
  <c r="W73" i="22"/>
  <c r="W75" i="22" s="1"/>
  <c r="W76" i="22" s="1"/>
  <c r="W66" i="22"/>
  <c r="W68" i="22" s="1"/>
  <c r="W69" i="22" s="1"/>
  <c r="W59" i="22"/>
  <c r="W61" i="22" s="1"/>
  <c r="W62" i="22" s="1"/>
  <c r="W52" i="22"/>
  <c r="W54" i="22" s="1"/>
  <c r="W55" i="22" s="1"/>
  <c r="W45" i="22"/>
  <c r="W47" i="22" s="1"/>
  <c r="W48" i="22" s="1"/>
  <c r="W38" i="22"/>
  <c r="W40" i="22" s="1"/>
  <c r="W41" i="22" s="1"/>
  <c r="X31" i="22"/>
  <c r="X33" i="22" s="1"/>
  <c r="X34" i="22" s="1"/>
  <c r="W24" i="22"/>
  <c r="W26" i="22" s="1"/>
  <c r="W27" i="22" s="1"/>
  <c r="P23" i="10"/>
  <c r="Q9" i="22"/>
  <c r="Q16" i="22" s="1"/>
  <c r="F12" i="10"/>
  <c r="G8" i="10" s="1"/>
  <c r="G11" i="10" s="1"/>
  <c r="O15" i="10"/>
  <c r="O27" i="10" s="1"/>
  <c r="O31" i="21"/>
  <c r="H16" i="9"/>
  <c r="R17" i="10"/>
  <c r="O36" i="21"/>
  <c r="O18" i="21"/>
  <c r="Q7" i="10"/>
  <c r="P7" i="21"/>
  <c r="P105" i="10"/>
  <c r="P71" i="10"/>
  <c r="P88" i="10"/>
  <c r="P54" i="10"/>
  <c r="P37" i="10"/>
  <c r="U42" i="21"/>
  <c r="J93" i="10" l="1"/>
  <c r="J96" i="10" s="1"/>
  <c r="J97" i="10" s="1"/>
  <c r="J79" i="10"/>
  <c r="J82" i="10" s="1"/>
  <c r="J85" i="10" s="1"/>
  <c r="Q20" i="22"/>
  <c r="Q12" i="22"/>
  <c r="P11" i="21" s="1"/>
  <c r="R17" i="22"/>
  <c r="Q205" i="22"/>
  <c r="Q198" i="22"/>
  <c r="Q191" i="22"/>
  <c r="Q219" i="22"/>
  <c r="Q177" i="22"/>
  <c r="Q170" i="22"/>
  <c r="Q128" i="22"/>
  <c r="Q212" i="22"/>
  <c r="Q163" i="22"/>
  <c r="Q149" i="22"/>
  <c r="Q142" i="22"/>
  <c r="Q184" i="22"/>
  <c r="Q121" i="22"/>
  <c r="Q107" i="22"/>
  <c r="Q100" i="22"/>
  <c r="Q58" i="22"/>
  <c r="Q30" i="22"/>
  <c r="Q156" i="22"/>
  <c r="Q79" i="22"/>
  <c r="Q86" i="22"/>
  <c r="Q72" i="22"/>
  <c r="Q51" i="22"/>
  <c r="Q135" i="22"/>
  <c r="Q93" i="22"/>
  <c r="Q65" i="22"/>
  <c r="Q44" i="22"/>
  <c r="Q114" i="22"/>
  <c r="Q37" i="22"/>
  <c r="Q23" i="22"/>
  <c r="X136" i="22"/>
  <c r="X138" i="22" s="1"/>
  <c r="X139" i="22" s="1"/>
  <c r="X164" i="22"/>
  <c r="X166" i="22" s="1"/>
  <c r="X167" i="22" s="1"/>
  <c r="X213" i="22"/>
  <c r="X215" i="22" s="1"/>
  <c r="X216" i="22" s="1"/>
  <c r="X220" i="22"/>
  <c r="X222" i="22" s="1"/>
  <c r="X223" i="22" s="1"/>
  <c r="X192" i="22"/>
  <c r="X194" i="22" s="1"/>
  <c r="X195" i="22" s="1"/>
  <c r="X199" i="22"/>
  <c r="X201" i="22" s="1"/>
  <c r="X202" i="22" s="1"/>
  <c r="X185" i="22"/>
  <c r="X187" i="22" s="1"/>
  <c r="X188" i="22" s="1"/>
  <c r="X206" i="22"/>
  <c r="X208" i="22" s="1"/>
  <c r="X209" i="22" s="1"/>
  <c r="X178" i="22"/>
  <c r="X180" i="22" s="1"/>
  <c r="X181" i="22" s="1"/>
  <c r="X157" i="22"/>
  <c r="X159" i="22" s="1"/>
  <c r="X160" i="22" s="1"/>
  <c r="X171" i="22"/>
  <c r="X173" i="22" s="1"/>
  <c r="X174" i="22" s="1"/>
  <c r="X150" i="22"/>
  <c r="X152" i="22" s="1"/>
  <c r="X153" i="22" s="1"/>
  <c r="X143" i="22"/>
  <c r="X145" i="22" s="1"/>
  <c r="X146" i="22" s="1"/>
  <c r="Y129" i="22"/>
  <c r="Y131" i="22" s="1"/>
  <c r="Y132" i="22" s="1"/>
  <c r="X108" i="22"/>
  <c r="X110" i="22" s="1"/>
  <c r="X111" i="22" s="1"/>
  <c r="X101" i="22"/>
  <c r="X103" i="22" s="1"/>
  <c r="X104" i="22" s="1"/>
  <c r="X122" i="22"/>
  <c r="X124" i="22" s="1"/>
  <c r="X125" i="22" s="1"/>
  <c r="Y115" i="22"/>
  <c r="Y117" i="22" s="1"/>
  <c r="Y118" i="22" s="1"/>
  <c r="X73" i="22"/>
  <c r="X75" i="22" s="1"/>
  <c r="X76" i="22" s="1"/>
  <c r="X94" i="22"/>
  <c r="X96" i="22" s="1"/>
  <c r="X97" i="22" s="1"/>
  <c r="Y80" i="22"/>
  <c r="Y82" i="22" s="1"/>
  <c r="Y83" i="22" s="1"/>
  <c r="X87" i="22"/>
  <c r="X89" i="22" s="1"/>
  <c r="X90" i="22" s="1"/>
  <c r="X66" i="22"/>
  <c r="X68" i="22" s="1"/>
  <c r="X69" i="22" s="1"/>
  <c r="X59" i="22"/>
  <c r="X61" i="22" s="1"/>
  <c r="X62" i="22" s="1"/>
  <c r="X52" i="22"/>
  <c r="X54" i="22" s="1"/>
  <c r="X55" i="22" s="1"/>
  <c r="X45" i="22"/>
  <c r="X47" i="22" s="1"/>
  <c r="X48" i="22" s="1"/>
  <c r="X38" i="22"/>
  <c r="X40" i="22" s="1"/>
  <c r="X41" i="22" s="1"/>
  <c r="Y31" i="22"/>
  <c r="Y33" i="22" s="1"/>
  <c r="Y34" i="22" s="1"/>
  <c r="X24" i="22"/>
  <c r="X26" i="22" s="1"/>
  <c r="X27" i="22" s="1"/>
  <c r="Q23" i="10"/>
  <c r="R9" i="22"/>
  <c r="R16" i="22" s="1"/>
  <c r="G12" i="10"/>
  <c r="H8" i="10" s="1"/>
  <c r="H11" i="10" s="1"/>
  <c r="P15" i="10"/>
  <c r="P27" i="10" s="1"/>
  <c r="P31" i="21"/>
  <c r="S17" i="10"/>
  <c r="R7" i="10"/>
  <c r="Q7" i="21"/>
  <c r="Q88" i="10"/>
  <c r="Q54" i="10"/>
  <c r="Q71" i="10"/>
  <c r="Q105" i="10"/>
  <c r="Q37" i="10"/>
  <c r="P18" i="21"/>
  <c r="P36" i="21"/>
  <c r="V42" i="21"/>
  <c r="H27" i="9"/>
  <c r="J101" i="10" l="1"/>
  <c r="K92" i="10" s="1"/>
  <c r="K93" i="10" s="1"/>
  <c r="J84" i="10"/>
  <c r="K75" i="10" s="1"/>
  <c r="K76" i="10" s="1"/>
  <c r="J99" i="10"/>
  <c r="J102" i="10" s="1"/>
  <c r="J80" i="10"/>
  <c r="Q13" i="22"/>
  <c r="Q11" i="22"/>
  <c r="R19" i="22"/>
  <c r="R10" i="22"/>
  <c r="Y136" i="22"/>
  <c r="Y138" i="22" s="1"/>
  <c r="Y139" i="22" s="1"/>
  <c r="R184" i="22"/>
  <c r="R219" i="22"/>
  <c r="R198" i="22"/>
  <c r="R212" i="22"/>
  <c r="R205" i="22"/>
  <c r="R163" i="22"/>
  <c r="R156" i="22"/>
  <c r="R121" i="22"/>
  <c r="R177" i="22"/>
  <c r="R170" i="22"/>
  <c r="R93" i="22"/>
  <c r="R86" i="22"/>
  <c r="R79" i="22"/>
  <c r="R51" i="22"/>
  <c r="R142" i="22"/>
  <c r="R135" i="22"/>
  <c r="R128" i="22"/>
  <c r="R72" i="22"/>
  <c r="R65" i="22"/>
  <c r="R58" i="22"/>
  <c r="R44" i="22"/>
  <c r="R191" i="22"/>
  <c r="R149" i="22"/>
  <c r="R114" i="22"/>
  <c r="R100" i="22"/>
  <c r="R37" i="22"/>
  <c r="R30" i="22"/>
  <c r="R107" i="22"/>
  <c r="R23" i="22"/>
  <c r="Y164" i="22"/>
  <c r="Y166" i="22" s="1"/>
  <c r="Y167" i="22" s="1"/>
  <c r="Y220" i="22"/>
  <c r="Y222" i="22" s="1"/>
  <c r="Y223" i="22" s="1"/>
  <c r="Y213" i="22"/>
  <c r="Y215" i="22" s="1"/>
  <c r="Y216" i="22" s="1"/>
  <c r="Y199" i="22"/>
  <c r="Y201" i="22" s="1"/>
  <c r="Y202" i="22" s="1"/>
  <c r="Y206" i="22"/>
  <c r="Y208" i="22" s="1"/>
  <c r="Y209" i="22" s="1"/>
  <c r="Y185" i="22"/>
  <c r="Y187" i="22" s="1"/>
  <c r="Y188" i="22" s="1"/>
  <c r="Y192" i="22"/>
  <c r="Y194" i="22" s="1"/>
  <c r="Y195" i="22" s="1"/>
  <c r="Y171" i="22"/>
  <c r="Y173" i="22" s="1"/>
  <c r="Y174" i="22" s="1"/>
  <c r="Y157" i="22"/>
  <c r="Y159" i="22" s="1"/>
  <c r="Y160" i="22" s="1"/>
  <c r="Y178" i="22"/>
  <c r="Y180" i="22" s="1"/>
  <c r="Y181" i="22" s="1"/>
  <c r="Z129" i="22"/>
  <c r="Z131" i="22" s="1"/>
  <c r="Z132" i="22" s="1"/>
  <c r="Y150" i="22"/>
  <c r="Y152" i="22" s="1"/>
  <c r="Y153" i="22" s="1"/>
  <c r="Y143" i="22"/>
  <c r="Y145" i="22" s="1"/>
  <c r="Y146" i="22" s="1"/>
  <c r="Y101" i="22"/>
  <c r="Y103" i="22" s="1"/>
  <c r="Y104" i="22" s="1"/>
  <c r="Z115" i="22"/>
  <c r="Z117" i="22" s="1"/>
  <c r="Z118" i="22" s="1"/>
  <c r="Y122" i="22"/>
  <c r="Y124" i="22" s="1"/>
  <c r="Y125" i="22" s="1"/>
  <c r="Y108" i="22"/>
  <c r="Y110" i="22" s="1"/>
  <c r="Y111" i="22" s="1"/>
  <c r="Y87" i="22"/>
  <c r="Y89" i="22" s="1"/>
  <c r="Y90" i="22" s="1"/>
  <c r="Y94" i="22"/>
  <c r="Y96" i="22" s="1"/>
  <c r="Y97" i="22" s="1"/>
  <c r="Z80" i="22"/>
  <c r="Z82" i="22" s="1"/>
  <c r="Z83" i="22" s="1"/>
  <c r="Y73" i="22"/>
  <c r="Y75" i="22" s="1"/>
  <c r="Y76" i="22" s="1"/>
  <c r="Y66" i="22"/>
  <c r="Y68" i="22" s="1"/>
  <c r="Y69" i="22" s="1"/>
  <c r="Y59" i="22"/>
  <c r="Y61" i="22" s="1"/>
  <c r="Y62" i="22" s="1"/>
  <c r="Y52" i="22"/>
  <c r="Y54" i="22" s="1"/>
  <c r="Y55" i="22" s="1"/>
  <c r="Y45" i="22"/>
  <c r="Y47" i="22" s="1"/>
  <c r="Y48" i="22" s="1"/>
  <c r="Y38" i="22"/>
  <c r="Y40" i="22" s="1"/>
  <c r="Y41" i="22" s="1"/>
  <c r="Z31" i="22"/>
  <c r="Z33" i="22" s="1"/>
  <c r="Z34" i="22" s="1"/>
  <c r="Y24" i="22"/>
  <c r="Y26" i="22" s="1"/>
  <c r="Y27" i="22" s="1"/>
  <c r="R23" i="10"/>
  <c r="S9" i="22"/>
  <c r="S16" i="22" s="1"/>
  <c r="H12" i="10"/>
  <c r="I8" i="10" s="1"/>
  <c r="I11" i="10" s="1"/>
  <c r="Q15" i="10"/>
  <c r="Q27" i="10" s="1"/>
  <c r="Q31" i="21"/>
  <c r="T17" i="10"/>
  <c r="Q18" i="21"/>
  <c r="Q36" i="21"/>
  <c r="S7" i="10"/>
  <c r="R88" i="10"/>
  <c r="R54" i="10"/>
  <c r="R37" i="10"/>
  <c r="R7" i="21"/>
  <c r="R105" i="10"/>
  <c r="R71" i="10"/>
  <c r="W42" i="21"/>
  <c r="G30" i="15"/>
  <c r="G29" i="15"/>
  <c r="D33" i="15"/>
  <c r="D28" i="15"/>
  <c r="I8" i="15"/>
  <c r="K96" i="10" l="1"/>
  <c r="K97" i="10" s="1"/>
  <c r="K79" i="10"/>
  <c r="K80" i="10" s="1"/>
  <c r="R20" i="22"/>
  <c r="R12" i="22"/>
  <c r="Q11" i="21" s="1"/>
  <c r="S17" i="22"/>
  <c r="S219" i="22"/>
  <c r="S212" i="22"/>
  <c r="S205" i="22"/>
  <c r="S149" i="22"/>
  <c r="S142" i="22"/>
  <c r="S135" i="22"/>
  <c r="S191" i="22"/>
  <c r="S184" i="22"/>
  <c r="S198" i="22"/>
  <c r="S177" i="22"/>
  <c r="S156" i="22"/>
  <c r="S128" i="22"/>
  <c r="S72" i="22"/>
  <c r="S44" i="22"/>
  <c r="S23" i="22"/>
  <c r="S163" i="22"/>
  <c r="S114" i="22"/>
  <c r="S86" i="22"/>
  <c r="S65" i="22"/>
  <c r="S58" i="22"/>
  <c r="S51" i="22"/>
  <c r="S100" i="22"/>
  <c r="S93" i="22"/>
  <c r="S37" i="22"/>
  <c r="S30" i="22"/>
  <c r="S170" i="22"/>
  <c r="S107" i="22"/>
  <c r="S121" i="22"/>
  <c r="S79" i="22"/>
  <c r="Z164" i="22"/>
  <c r="Z166" i="22" s="1"/>
  <c r="Z167" i="22" s="1"/>
  <c r="Z136" i="22"/>
  <c r="Z138" i="22" s="1"/>
  <c r="Z139" i="22" s="1"/>
  <c r="Z213" i="22"/>
  <c r="Z215" i="22" s="1"/>
  <c r="Z216" i="22" s="1"/>
  <c r="Z220" i="22"/>
  <c r="Z222" i="22" s="1"/>
  <c r="Z223" i="22" s="1"/>
  <c r="Z192" i="22"/>
  <c r="Z194" i="22" s="1"/>
  <c r="Z195" i="22" s="1"/>
  <c r="Z206" i="22"/>
  <c r="Z208" i="22" s="1"/>
  <c r="Z209" i="22" s="1"/>
  <c r="Z185" i="22"/>
  <c r="Z187" i="22" s="1"/>
  <c r="Z188" i="22" s="1"/>
  <c r="Z199" i="22"/>
  <c r="Z201" i="22" s="1"/>
  <c r="Z202" i="22" s="1"/>
  <c r="Z178" i="22"/>
  <c r="Z180" i="22" s="1"/>
  <c r="Z181" i="22" s="1"/>
  <c r="Z157" i="22"/>
  <c r="Z159" i="22" s="1"/>
  <c r="Z160" i="22" s="1"/>
  <c r="Z171" i="22"/>
  <c r="Z173" i="22" s="1"/>
  <c r="Z174" i="22" s="1"/>
  <c r="AA129" i="22"/>
  <c r="AA131" i="22" s="1"/>
  <c r="AA132" i="22" s="1"/>
  <c r="Z150" i="22"/>
  <c r="Z152" i="22" s="1"/>
  <c r="Z153" i="22" s="1"/>
  <c r="Z143" i="22"/>
  <c r="Z145" i="22" s="1"/>
  <c r="Z146" i="22" s="1"/>
  <c r="Z108" i="22"/>
  <c r="Z110" i="22" s="1"/>
  <c r="Z111" i="22" s="1"/>
  <c r="Z122" i="22"/>
  <c r="Z124" i="22" s="1"/>
  <c r="Z125" i="22" s="1"/>
  <c r="Z101" i="22"/>
  <c r="Z103" i="22" s="1"/>
  <c r="Z104" i="22" s="1"/>
  <c r="AA115" i="22"/>
  <c r="AA117" i="22" s="1"/>
  <c r="AA118" i="22" s="1"/>
  <c r="Z73" i="22"/>
  <c r="Z75" i="22" s="1"/>
  <c r="Z76" i="22" s="1"/>
  <c r="Z94" i="22"/>
  <c r="Z96" i="22" s="1"/>
  <c r="Z97" i="22" s="1"/>
  <c r="AA80" i="22"/>
  <c r="AA82" i="22" s="1"/>
  <c r="AA83" i="22" s="1"/>
  <c r="Z87" i="22"/>
  <c r="Z89" i="22" s="1"/>
  <c r="Z90" i="22" s="1"/>
  <c r="Z66" i="22"/>
  <c r="Z68" i="22" s="1"/>
  <c r="Z69" i="22" s="1"/>
  <c r="Z59" i="22"/>
  <c r="Z61" i="22" s="1"/>
  <c r="Z62" i="22" s="1"/>
  <c r="Z52" i="22"/>
  <c r="Z54" i="22" s="1"/>
  <c r="Z55" i="22" s="1"/>
  <c r="Z45" i="22"/>
  <c r="Z47" i="22" s="1"/>
  <c r="Z48" i="22" s="1"/>
  <c r="Z38" i="22"/>
  <c r="Z40" i="22" s="1"/>
  <c r="Z41" i="22" s="1"/>
  <c r="AA31" i="22"/>
  <c r="AA33" i="22" s="1"/>
  <c r="AA34" i="22" s="1"/>
  <c r="Z24" i="22"/>
  <c r="Z26" i="22" s="1"/>
  <c r="Z27" i="22" s="1"/>
  <c r="S23" i="10"/>
  <c r="T9" i="22"/>
  <c r="T16" i="22" s="1"/>
  <c r="I12" i="10"/>
  <c r="J8" i="10" s="1"/>
  <c r="J11" i="10" s="1"/>
  <c r="R15" i="10"/>
  <c r="R27" i="10" s="1"/>
  <c r="R31" i="21"/>
  <c r="U17" i="10"/>
  <c r="R36" i="21"/>
  <c r="R18" i="21"/>
  <c r="T7" i="10"/>
  <c r="S105" i="10"/>
  <c r="S71" i="10"/>
  <c r="S37" i="10"/>
  <c r="S54" i="10"/>
  <c r="S7" i="21"/>
  <c r="S88" i="10"/>
  <c r="X42" i="21"/>
  <c r="N9" i="9"/>
  <c r="E21" i="9" s="1"/>
  <c r="G28" i="15"/>
  <c r="D29" i="15"/>
  <c r="K101" i="10" l="1"/>
  <c r="L92" i="10" s="1"/>
  <c r="K82" i="10"/>
  <c r="K85" i="10" s="1"/>
  <c r="K84" i="10"/>
  <c r="L75" i="10" s="1"/>
  <c r="L76" i="10" s="1"/>
  <c r="K99" i="10"/>
  <c r="K102" i="10" s="1"/>
  <c r="R13" i="22"/>
  <c r="R11" i="22"/>
  <c r="S19" i="22"/>
  <c r="S10" i="22"/>
  <c r="T219" i="22"/>
  <c r="T212" i="22"/>
  <c r="T191" i="22"/>
  <c r="T184" i="22"/>
  <c r="T198" i="22"/>
  <c r="T177" i="22"/>
  <c r="T170" i="22"/>
  <c r="T135" i="22"/>
  <c r="T205" i="22"/>
  <c r="T156" i="22"/>
  <c r="T163" i="22"/>
  <c r="T142" i="22"/>
  <c r="T114" i="22"/>
  <c r="T65" i="22"/>
  <c r="T37" i="22"/>
  <c r="T100" i="22"/>
  <c r="T93" i="22"/>
  <c r="T44" i="22"/>
  <c r="T149" i="22"/>
  <c r="T107" i="22"/>
  <c r="T128" i="22"/>
  <c r="T121" i="22"/>
  <c r="T79" i="22"/>
  <c r="T23" i="22"/>
  <c r="T30" i="22"/>
  <c r="T72" i="22"/>
  <c r="T58" i="22"/>
  <c r="T51" i="22"/>
  <c r="T86" i="22"/>
  <c r="AA136" i="22"/>
  <c r="AA138" i="22" s="1"/>
  <c r="AA139" i="22" s="1"/>
  <c r="AA164" i="22"/>
  <c r="AA166" i="22" s="1"/>
  <c r="AA167" i="22" s="1"/>
  <c r="AA220" i="22"/>
  <c r="AA222" i="22" s="1"/>
  <c r="AA223" i="22" s="1"/>
  <c r="AA213" i="22"/>
  <c r="AA215" i="22" s="1"/>
  <c r="AA216" i="22" s="1"/>
  <c r="AA199" i="22"/>
  <c r="AA201" i="22" s="1"/>
  <c r="AA202" i="22" s="1"/>
  <c r="AA206" i="22"/>
  <c r="AA208" i="22" s="1"/>
  <c r="AA209" i="22" s="1"/>
  <c r="AA185" i="22"/>
  <c r="AA187" i="22" s="1"/>
  <c r="AA188" i="22" s="1"/>
  <c r="AA192" i="22"/>
  <c r="AA194" i="22" s="1"/>
  <c r="AA195" i="22" s="1"/>
  <c r="AA171" i="22"/>
  <c r="AA173" i="22" s="1"/>
  <c r="AA174" i="22" s="1"/>
  <c r="AA157" i="22"/>
  <c r="AA159" i="22" s="1"/>
  <c r="AA160" i="22" s="1"/>
  <c r="AA178" i="22"/>
  <c r="AA180" i="22" s="1"/>
  <c r="AA181" i="22" s="1"/>
  <c r="AB129" i="22"/>
  <c r="AB131" i="22" s="1"/>
  <c r="AB132" i="22" s="1"/>
  <c r="AA150" i="22"/>
  <c r="AA152" i="22" s="1"/>
  <c r="AA153" i="22" s="1"/>
  <c r="AA143" i="22"/>
  <c r="AA145" i="22" s="1"/>
  <c r="AA146" i="22" s="1"/>
  <c r="AB115" i="22"/>
  <c r="AB117" i="22" s="1"/>
  <c r="AB118" i="22" s="1"/>
  <c r="AA122" i="22"/>
  <c r="AA124" i="22" s="1"/>
  <c r="AA125" i="22" s="1"/>
  <c r="AA108" i="22"/>
  <c r="AA110" i="22" s="1"/>
  <c r="AA111" i="22" s="1"/>
  <c r="AA101" i="22"/>
  <c r="AA103" i="22" s="1"/>
  <c r="AA104" i="22" s="1"/>
  <c r="AA87" i="22"/>
  <c r="AA89" i="22" s="1"/>
  <c r="AA90" i="22" s="1"/>
  <c r="AA94" i="22"/>
  <c r="AA96" i="22" s="1"/>
  <c r="AA97" i="22" s="1"/>
  <c r="AB80" i="22"/>
  <c r="AB82" i="22" s="1"/>
  <c r="AB83" i="22" s="1"/>
  <c r="AA73" i="22"/>
  <c r="AA75" i="22" s="1"/>
  <c r="AA76" i="22" s="1"/>
  <c r="AA66" i="22"/>
  <c r="AA68" i="22" s="1"/>
  <c r="AA69" i="22" s="1"/>
  <c r="AA59" i="22"/>
  <c r="AA61" i="22" s="1"/>
  <c r="AA62" i="22" s="1"/>
  <c r="AA52" i="22"/>
  <c r="AA54" i="22" s="1"/>
  <c r="AA55" i="22" s="1"/>
  <c r="AA45" i="22"/>
  <c r="AA47" i="22" s="1"/>
  <c r="AA48" i="22" s="1"/>
  <c r="AA38" i="22"/>
  <c r="AA40" i="22" s="1"/>
  <c r="AA41" i="22" s="1"/>
  <c r="AB31" i="22"/>
  <c r="AB33" i="22" s="1"/>
  <c r="AB34" i="22" s="1"/>
  <c r="AA24" i="22"/>
  <c r="AA26" i="22" s="1"/>
  <c r="AA27" i="22" s="1"/>
  <c r="T23" i="10"/>
  <c r="U9" i="22"/>
  <c r="U16" i="22" s="1"/>
  <c r="S15" i="10"/>
  <c r="S27" i="10" s="1"/>
  <c r="S31" i="21"/>
  <c r="V17" i="10"/>
  <c r="U7" i="10"/>
  <c r="T7" i="21"/>
  <c r="T105" i="10"/>
  <c r="T71" i="10"/>
  <c r="T88" i="10"/>
  <c r="T54" i="10"/>
  <c r="T37" i="10"/>
  <c r="S36" i="21"/>
  <c r="S18" i="21"/>
  <c r="Y42" i="21"/>
  <c r="G33" i="15"/>
  <c r="I11" i="11"/>
  <c r="N12" i="9"/>
  <c r="N11" i="9"/>
  <c r="F12" i="14"/>
  <c r="F11" i="14"/>
  <c r="F10" i="14"/>
  <c r="F9" i="14"/>
  <c r="F8" i="14"/>
  <c r="L79" i="10" l="1"/>
  <c r="L82" i="10" s="1"/>
  <c r="L85" i="10" s="1"/>
  <c r="L93" i="10"/>
  <c r="S20" i="22"/>
  <c r="S12" i="22"/>
  <c r="R11" i="21" s="1"/>
  <c r="T17" i="22"/>
  <c r="AB164" i="22"/>
  <c r="AB166" i="22" s="1"/>
  <c r="AB167" i="22" s="1"/>
  <c r="AB136" i="22"/>
  <c r="AB138" i="22" s="1"/>
  <c r="AB139" i="22" s="1"/>
  <c r="U205" i="22"/>
  <c r="U198" i="22"/>
  <c r="U191" i="22"/>
  <c r="U177" i="22"/>
  <c r="U170" i="22"/>
  <c r="U128" i="22"/>
  <c r="U184" i="22"/>
  <c r="U156" i="22"/>
  <c r="U212" i="22"/>
  <c r="U163" i="22"/>
  <c r="U135" i="22"/>
  <c r="U107" i="22"/>
  <c r="U100" i="22"/>
  <c r="U58" i="22"/>
  <c r="U30" i="22"/>
  <c r="U149" i="22"/>
  <c r="U121" i="22"/>
  <c r="U37" i="22"/>
  <c r="U142" i="22"/>
  <c r="U114" i="22"/>
  <c r="U79" i="22"/>
  <c r="U23" i="22"/>
  <c r="U219" i="22"/>
  <c r="U86" i="22"/>
  <c r="U72" i="22"/>
  <c r="U51" i="22"/>
  <c r="U93" i="22"/>
  <c r="U65" i="22"/>
  <c r="U44" i="22"/>
  <c r="AB213" i="22"/>
  <c r="AB215" i="22" s="1"/>
  <c r="AB216" i="22" s="1"/>
  <c r="AB220" i="22"/>
  <c r="AB222" i="22" s="1"/>
  <c r="AB223" i="22" s="1"/>
  <c r="AB192" i="22"/>
  <c r="AB194" i="22" s="1"/>
  <c r="AB195" i="22" s="1"/>
  <c r="AB206" i="22"/>
  <c r="AB208" i="22" s="1"/>
  <c r="AB209" i="22" s="1"/>
  <c r="AB185" i="22"/>
  <c r="AB187" i="22" s="1"/>
  <c r="AB188" i="22" s="1"/>
  <c r="AB199" i="22"/>
  <c r="AB201" i="22" s="1"/>
  <c r="AB202" i="22" s="1"/>
  <c r="AB178" i="22"/>
  <c r="AB180" i="22" s="1"/>
  <c r="AB181" i="22" s="1"/>
  <c r="AB157" i="22"/>
  <c r="AB159" i="22" s="1"/>
  <c r="AB160" i="22" s="1"/>
  <c r="AB171" i="22"/>
  <c r="AB173" i="22" s="1"/>
  <c r="AB174" i="22" s="1"/>
  <c r="AB143" i="22"/>
  <c r="AB145" i="22" s="1"/>
  <c r="AB146" i="22" s="1"/>
  <c r="AB150" i="22"/>
  <c r="AB152" i="22" s="1"/>
  <c r="AB153" i="22" s="1"/>
  <c r="AC129" i="22"/>
  <c r="AC131" i="22" s="1"/>
  <c r="AC132" i="22" s="1"/>
  <c r="AB122" i="22"/>
  <c r="AB124" i="22" s="1"/>
  <c r="AB125" i="22" s="1"/>
  <c r="AB108" i="22"/>
  <c r="AB110" i="22" s="1"/>
  <c r="AB111" i="22" s="1"/>
  <c r="AC115" i="22"/>
  <c r="AC117" i="22" s="1"/>
  <c r="AC118" i="22" s="1"/>
  <c r="AB101" i="22"/>
  <c r="AB103" i="22" s="1"/>
  <c r="AB104" i="22" s="1"/>
  <c r="AB73" i="22"/>
  <c r="AB75" i="22" s="1"/>
  <c r="AB76" i="22" s="1"/>
  <c r="AC80" i="22"/>
  <c r="AC82" i="22" s="1"/>
  <c r="AC83" i="22" s="1"/>
  <c r="AB87" i="22"/>
  <c r="AB89" i="22" s="1"/>
  <c r="AB90" i="22" s="1"/>
  <c r="AB94" i="22"/>
  <c r="AB96" i="22" s="1"/>
  <c r="AB97" i="22" s="1"/>
  <c r="AB66" i="22"/>
  <c r="AB68" i="22" s="1"/>
  <c r="AB69" i="22" s="1"/>
  <c r="AB59" i="22"/>
  <c r="AB61" i="22" s="1"/>
  <c r="AB62" i="22" s="1"/>
  <c r="AB52" i="22"/>
  <c r="AB54" i="22" s="1"/>
  <c r="AB55" i="22" s="1"/>
  <c r="AB45" i="22"/>
  <c r="AB47" i="22" s="1"/>
  <c r="AB48" i="22" s="1"/>
  <c r="AB38" i="22"/>
  <c r="AB40" i="22" s="1"/>
  <c r="AB41" i="22" s="1"/>
  <c r="AC31" i="22"/>
  <c r="AC33" i="22" s="1"/>
  <c r="AC34" i="22" s="1"/>
  <c r="AB24" i="22"/>
  <c r="AB26" i="22" s="1"/>
  <c r="AB27" i="22" s="1"/>
  <c r="U23" i="10"/>
  <c r="V9" i="22"/>
  <c r="V16" i="22" s="1"/>
  <c r="J12" i="10"/>
  <c r="K8" i="10" s="1"/>
  <c r="K11" i="10" s="1"/>
  <c r="T15" i="10"/>
  <c r="T27" i="10" s="1"/>
  <c r="T31" i="21"/>
  <c r="W17" i="10"/>
  <c r="V7" i="10"/>
  <c r="U7" i="21"/>
  <c r="U88" i="10"/>
  <c r="U54" i="10"/>
  <c r="U37" i="10"/>
  <c r="U105" i="10"/>
  <c r="U71" i="10"/>
  <c r="T36" i="21"/>
  <c r="T18" i="21"/>
  <c r="Z42" i="21"/>
  <c r="T33" i="9" s="1"/>
  <c r="G35" i="15"/>
  <c r="Q21" i="9"/>
  <c r="N12" i="11" s="1"/>
  <c r="Q22" i="9"/>
  <c r="N13" i="11" s="1"/>
  <c r="G34" i="15"/>
  <c r="L80" i="10" l="1"/>
  <c r="L84" i="10"/>
  <c r="M75" i="10" s="1"/>
  <c r="M76" i="10" s="1"/>
  <c r="L96" i="10"/>
  <c r="S13" i="22"/>
  <c r="S11" i="22"/>
  <c r="T19" i="22"/>
  <c r="T10" i="22"/>
  <c r="AC136" i="22"/>
  <c r="AC138" i="22" s="1"/>
  <c r="AC139" i="22" s="1"/>
  <c r="AC164" i="22"/>
  <c r="AC166" i="22" s="1"/>
  <c r="AC167" i="22" s="1"/>
  <c r="V184" i="22"/>
  <c r="V191" i="22"/>
  <c r="V198" i="22"/>
  <c r="V163" i="22"/>
  <c r="V156" i="22"/>
  <c r="V121" i="22"/>
  <c r="V219" i="22"/>
  <c r="V212" i="22"/>
  <c r="V205" i="22"/>
  <c r="V149" i="22"/>
  <c r="V142" i="22"/>
  <c r="V128" i="22"/>
  <c r="V170" i="22"/>
  <c r="V177" i="22"/>
  <c r="V93" i="22"/>
  <c r="V86" i="22"/>
  <c r="V79" i="22"/>
  <c r="V51" i="22"/>
  <c r="V114" i="22"/>
  <c r="V107" i="22"/>
  <c r="V72" i="22"/>
  <c r="V135" i="22"/>
  <c r="V65" i="22"/>
  <c r="V58" i="22"/>
  <c r="V44" i="22"/>
  <c r="V23" i="22"/>
  <c r="V37" i="22"/>
  <c r="V30" i="22"/>
  <c r="V100" i="22"/>
  <c r="AC220" i="22"/>
  <c r="AC222" i="22" s="1"/>
  <c r="AC223" i="22" s="1"/>
  <c r="AC213" i="22"/>
  <c r="AC215" i="22" s="1"/>
  <c r="AC216" i="22" s="1"/>
  <c r="AC199" i="22"/>
  <c r="AC201" i="22" s="1"/>
  <c r="AC202" i="22" s="1"/>
  <c r="AC206" i="22"/>
  <c r="AC208" i="22" s="1"/>
  <c r="AC209" i="22" s="1"/>
  <c r="AC192" i="22"/>
  <c r="AC194" i="22" s="1"/>
  <c r="AC195" i="22" s="1"/>
  <c r="AC185" i="22"/>
  <c r="AC187" i="22" s="1"/>
  <c r="AC188" i="22" s="1"/>
  <c r="AC171" i="22"/>
  <c r="AC173" i="22" s="1"/>
  <c r="AC174" i="22" s="1"/>
  <c r="AC157" i="22"/>
  <c r="AC159" i="22" s="1"/>
  <c r="AC160" i="22" s="1"/>
  <c r="AC178" i="22"/>
  <c r="AC180" i="22" s="1"/>
  <c r="AC181" i="22" s="1"/>
  <c r="AD129" i="22"/>
  <c r="AD131" i="22" s="1"/>
  <c r="AD132" i="22" s="1"/>
  <c r="AC150" i="22"/>
  <c r="AC152" i="22" s="1"/>
  <c r="AC153" i="22" s="1"/>
  <c r="AC143" i="22"/>
  <c r="AC145" i="22" s="1"/>
  <c r="AC146" i="22" s="1"/>
  <c r="AC101" i="22"/>
  <c r="AC103" i="22" s="1"/>
  <c r="AC104" i="22" s="1"/>
  <c r="AC108" i="22"/>
  <c r="AC110" i="22" s="1"/>
  <c r="AC111" i="22" s="1"/>
  <c r="AD115" i="22"/>
  <c r="AD117" i="22" s="1"/>
  <c r="AD118" i="22" s="1"/>
  <c r="AC122" i="22"/>
  <c r="AC124" i="22" s="1"/>
  <c r="AC125" i="22" s="1"/>
  <c r="AC94" i="22"/>
  <c r="AC96" i="22" s="1"/>
  <c r="AC97" i="22" s="1"/>
  <c r="AC87" i="22"/>
  <c r="AC89" i="22" s="1"/>
  <c r="AC90" i="22" s="1"/>
  <c r="AC73" i="22"/>
  <c r="AC75" i="22" s="1"/>
  <c r="AC76" i="22" s="1"/>
  <c r="AD80" i="22"/>
  <c r="AD82" i="22" s="1"/>
  <c r="AD83" i="22" s="1"/>
  <c r="AC66" i="22"/>
  <c r="AC68" i="22" s="1"/>
  <c r="AC69" i="22" s="1"/>
  <c r="AC59" i="22"/>
  <c r="AC61" i="22" s="1"/>
  <c r="AC62" i="22" s="1"/>
  <c r="AC52" i="22"/>
  <c r="AC54" i="22" s="1"/>
  <c r="AC55" i="22" s="1"/>
  <c r="AC45" i="22"/>
  <c r="AC47" i="22" s="1"/>
  <c r="AC48" i="22" s="1"/>
  <c r="AC38" i="22"/>
  <c r="AC40" i="22" s="1"/>
  <c r="AC41" i="22" s="1"/>
  <c r="AD31" i="22"/>
  <c r="AD33" i="22" s="1"/>
  <c r="AD34" i="22" s="1"/>
  <c r="AC24" i="22"/>
  <c r="AC26" i="22" s="1"/>
  <c r="AC27" i="22" s="1"/>
  <c r="Z28" i="20"/>
  <c r="Z26" i="20"/>
  <c r="Z27" i="20"/>
  <c r="AP29" i="20"/>
  <c r="Z29" i="20"/>
  <c r="AP24" i="20"/>
  <c r="AP26" i="20"/>
  <c r="Z30" i="20"/>
  <c r="AP23" i="20"/>
  <c r="AP28" i="20"/>
  <c r="Z31" i="20"/>
  <c r="Z23" i="20"/>
  <c r="AP25" i="20"/>
  <c r="AP31" i="20"/>
  <c r="AP30" i="20"/>
  <c r="Z25" i="20"/>
  <c r="Z24" i="20"/>
  <c r="AP27" i="20"/>
  <c r="V23" i="10"/>
  <c r="W9" i="22"/>
  <c r="W16" i="22" s="1"/>
  <c r="AQ31" i="20"/>
  <c r="AQ28" i="20"/>
  <c r="AQ30" i="20"/>
  <c r="AQ25" i="20"/>
  <c r="AQ29" i="20"/>
  <c r="AQ26" i="20"/>
  <c r="AQ27" i="20"/>
  <c r="AQ24" i="20"/>
  <c r="AQ23" i="20"/>
  <c r="AA28" i="20"/>
  <c r="AA31" i="20"/>
  <c r="AA24" i="20"/>
  <c r="AA25" i="20"/>
  <c r="AA29" i="20"/>
  <c r="AA27" i="20"/>
  <c r="AA23" i="20"/>
  <c r="AA30" i="20"/>
  <c r="AA26" i="20"/>
  <c r="AA16" i="20"/>
  <c r="AA12" i="20"/>
  <c r="AA15" i="20"/>
  <c r="AA11" i="20"/>
  <c r="AA14" i="20"/>
  <c r="AA10" i="20"/>
  <c r="AA17" i="20"/>
  <c r="AA13" i="20"/>
  <c r="AA9" i="20"/>
  <c r="Z17" i="20"/>
  <c r="Z13" i="20"/>
  <c r="Z9" i="20"/>
  <c r="Z16" i="20"/>
  <c r="Z12" i="20"/>
  <c r="Z15" i="20"/>
  <c r="Z11" i="20"/>
  <c r="Z14" i="20"/>
  <c r="Z10" i="20"/>
  <c r="K10" i="20"/>
  <c r="K11" i="20"/>
  <c r="K15" i="20"/>
  <c r="K16" i="20"/>
  <c r="K12" i="20"/>
  <c r="K9" i="20"/>
  <c r="K13" i="20"/>
  <c r="K17" i="20"/>
  <c r="K14" i="20"/>
  <c r="K27" i="20"/>
  <c r="K26" i="20"/>
  <c r="K28" i="20"/>
  <c r="K29" i="20"/>
  <c r="K25" i="20"/>
  <c r="K30" i="20"/>
  <c r="K24" i="20"/>
  <c r="K31" i="20"/>
  <c r="K23" i="20"/>
  <c r="J9" i="20"/>
  <c r="J16" i="20"/>
  <c r="J10" i="20"/>
  <c r="J15" i="20"/>
  <c r="J11" i="20"/>
  <c r="J14" i="20"/>
  <c r="J12" i="20"/>
  <c r="J17" i="20"/>
  <c r="J13" i="20"/>
  <c r="J27" i="20"/>
  <c r="J26" i="20"/>
  <c r="J28" i="20"/>
  <c r="J29" i="20"/>
  <c r="J25" i="20"/>
  <c r="J30" i="20"/>
  <c r="J24" i="20"/>
  <c r="J31" i="20"/>
  <c r="J23" i="20"/>
  <c r="U15" i="10"/>
  <c r="U27" i="10" s="1"/>
  <c r="U31" i="21"/>
  <c r="X17" i="10"/>
  <c r="U36" i="21"/>
  <c r="U18" i="21"/>
  <c r="W7" i="10"/>
  <c r="V88" i="10"/>
  <c r="V54" i="10"/>
  <c r="V37" i="10"/>
  <c r="V7" i="21"/>
  <c r="V105" i="10"/>
  <c r="V71" i="10"/>
  <c r="AA42" i="21"/>
  <c r="L97" i="10" l="1"/>
  <c r="L101" i="10"/>
  <c r="M92" i="10" s="1"/>
  <c r="M93" i="10" s="1"/>
  <c r="L99" i="10"/>
  <c r="L102" i="10" s="1"/>
  <c r="M79" i="10"/>
  <c r="M80" i="10" s="1"/>
  <c r="D10" i="21"/>
  <c r="AL13" i="20"/>
  <c r="T20" i="22"/>
  <c r="T12" i="22"/>
  <c r="S11" i="21" s="1"/>
  <c r="U17" i="22"/>
  <c r="W219" i="22"/>
  <c r="W177" i="22"/>
  <c r="W198" i="22"/>
  <c r="W212" i="22"/>
  <c r="W205" i="22"/>
  <c r="W149" i="22"/>
  <c r="W142" i="22"/>
  <c r="W135" i="22"/>
  <c r="W170" i="22"/>
  <c r="W163" i="22"/>
  <c r="W121" i="22"/>
  <c r="W72" i="22"/>
  <c r="W44" i="22"/>
  <c r="W23" i="22"/>
  <c r="W191" i="22"/>
  <c r="W114" i="22"/>
  <c r="W79" i="22"/>
  <c r="W156" i="22"/>
  <c r="W128" i="22"/>
  <c r="W86" i="22"/>
  <c r="W65" i="22"/>
  <c r="W58" i="22"/>
  <c r="W51" i="22"/>
  <c r="W100" i="22"/>
  <c r="W93" i="22"/>
  <c r="W37" i="22"/>
  <c r="W30" i="22"/>
  <c r="W184" i="22"/>
  <c r="W107" i="22"/>
  <c r="AD164" i="22"/>
  <c r="AD166" i="22" s="1"/>
  <c r="AD167" i="22" s="1"/>
  <c r="AD136" i="22"/>
  <c r="AD138" i="22" s="1"/>
  <c r="AD139" i="22" s="1"/>
  <c r="AD220" i="22"/>
  <c r="AD222" i="22" s="1"/>
  <c r="AD223" i="22" s="1"/>
  <c r="AD213" i="22"/>
  <c r="AD215" i="22" s="1"/>
  <c r="AD216" i="22" s="1"/>
  <c r="AD206" i="22"/>
  <c r="AD208" i="22" s="1"/>
  <c r="AD209" i="22" s="1"/>
  <c r="AD192" i="22"/>
  <c r="AD194" i="22" s="1"/>
  <c r="AD195" i="22" s="1"/>
  <c r="AD185" i="22"/>
  <c r="AD187" i="22" s="1"/>
  <c r="AD188" i="22" s="1"/>
  <c r="AD199" i="22"/>
  <c r="AD201" i="22" s="1"/>
  <c r="AD202" i="22" s="1"/>
  <c r="AD157" i="22"/>
  <c r="AD159" i="22" s="1"/>
  <c r="AD160" i="22" s="1"/>
  <c r="AD178" i="22"/>
  <c r="AD180" i="22" s="1"/>
  <c r="AD181" i="22" s="1"/>
  <c r="AD171" i="22"/>
  <c r="AD173" i="22" s="1"/>
  <c r="AD174" i="22" s="1"/>
  <c r="AE129" i="22"/>
  <c r="AE131" i="22" s="1"/>
  <c r="AE132" i="22" s="1"/>
  <c r="AD150" i="22"/>
  <c r="AD152" i="22" s="1"/>
  <c r="AD153" i="22" s="1"/>
  <c r="AD143" i="22"/>
  <c r="AD145" i="22" s="1"/>
  <c r="AD146" i="22" s="1"/>
  <c r="AD122" i="22"/>
  <c r="AD124" i="22" s="1"/>
  <c r="AD125" i="22" s="1"/>
  <c r="AE115" i="22"/>
  <c r="AE117" i="22" s="1"/>
  <c r="AE118" i="22" s="1"/>
  <c r="AD101" i="22"/>
  <c r="AD103" i="22" s="1"/>
  <c r="AD104" i="22" s="1"/>
  <c r="AD108" i="22"/>
  <c r="AD110" i="22" s="1"/>
  <c r="AD111" i="22" s="1"/>
  <c r="AE80" i="22"/>
  <c r="AE82" i="22" s="1"/>
  <c r="AE83" i="22" s="1"/>
  <c r="AD87" i="22"/>
  <c r="AD89" i="22" s="1"/>
  <c r="AD90" i="22" s="1"/>
  <c r="AD73" i="22"/>
  <c r="AD75" i="22" s="1"/>
  <c r="AD76" i="22" s="1"/>
  <c r="AD94" i="22"/>
  <c r="AD96" i="22" s="1"/>
  <c r="AD97" i="22" s="1"/>
  <c r="AD66" i="22"/>
  <c r="AD68" i="22" s="1"/>
  <c r="AD69" i="22" s="1"/>
  <c r="AD59" i="22"/>
  <c r="AD61" i="22" s="1"/>
  <c r="AD62" i="22" s="1"/>
  <c r="AD52" i="22"/>
  <c r="AD54" i="22" s="1"/>
  <c r="AD55" i="22" s="1"/>
  <c r="AD45" i="22"/>
  <c r="AD47" i="22" s="1"/>
  <c r="AD48" i="22" s="1"/>
  <c r="AD38" i="22"/>
  <c r="AD40" i="22" s="1"/>
  <c r="AD41" i="22" s="1"/>
  <c r="AE31" i="22"/>
  <c r="AE33" i="22" s="1"/>
  <c r="AE34" i="22" s="1"/>
  <c r="AD24" i="22"/>
  <c r="AD26" i="22" s="1"/>
  <c r="AD27" i="22" s="1"/>
  <c r="W23" i="10"/>
  <c r="X9" i="22"/>
  <c r="X16" i="22" s="1"/>
  <c r="K12" i="10"/>
  <c r="L8" i="10" s="1"/>
  <c r="L11" i="10" s="1"/>
  <c r="V15" i="10"/>
  <c r="V27" i="10" s="1"/>
  <c r="V31" i="21"/>
  <c r="Y17" i="10"/>
  <c r="Z17" i="10" s="1"/>
  <c r="AA17" i="10" s="1"/>
  <c r="V18" i="21"/>
  <c r="V36" i="21"/>
  <c r="X7" i="10"/>
  <c r="W105" i="10"/>
  <c r="W71" i="10"/>
  <c r="W37" i="10"/>
  <c r="W7" i="21"/>
  <c r="W88" i="10"/>
  <c r="W54" i="10"/>
  <c r="AB42" i="21"/>
  <c r="M84" i="10" l="1"/>
  <c r="N75" i="10" s="1"/>
  <c r="N76" i="10" s="1"/>
  <c r="M96" i="10"/>
  <c r="M99" i="10" s="1"/>
  <c r="M102" i="10" s="1"/>
  <c r="M82" i="10"/>
  <c r="M85" i="10" s="1"/>
  <c r="E8" i="21"/>
  <c r="E10" i="21" s="1"/>
  <c r="D12" i="21"/>
  <c r="D14" i="21" s="1"/>
  <c r="W24" i="20"/>
  <c r="X24" i="20" s="1"/>
  <c r="W9" i="20"/>
  <c r="X9" i="20" s="1"/>
  <c r="W17" i="20"/>
  <c r="X17" i="20" s="1"/>
  <c r="W30" i="20"/>
  <c r="X30" i="20" s="1"/>
  <c r="W29" i="20"/>
  <c r="X29" i="20" s="1"/>
  <c r="G29" i="20"/>
  <c r="H29" i="20" s="1"/>
  <c r="G24" i="20"/>
  <c r="H24" i="20" s="1"/>
  <c r="G30" i="20"/>
  <c r="H30" i="20" s="1"/>
  <c r="G14" i="20"/>
  <c r="H14" i="20" s="1"/>
  <c r="G15" i="20"/>
  <c r="H15" i="20" s="1"/>
  <c r="W28" i="20"/>
  <c r="X28" i="20" s="1"/>
  <c r="W23" i="20"/>
  <c r="X23" i="20" s="1"/>
  <c r="G26" i="20"/>
  <c r="H26" i="20" s="1"/>
  <c r="G27" i="20"/>
  <c r="H27" i="20" s="1"/>
  <c r="G12" i="20"/>
  <c r="H12" i="20" s="1"/>
  <c r="W16" i="20"/>
  <c r="X16" i="20" s="1"/>
  <c r="G31" i="20"/>
  <c r="H31" i="20" s="1"/>
  <c r="G9" i="20"/>
  <c r="H9" i="20" s="1"/>
  <c r="W14" i="20"/>
  <c r="X14" i="20" s="1"/>
  <c r="W31" i="20"/>
  <c r="X31" i="20" s="1"/>
  <c r="W15" i="20"/>
  <c r="X15" i="20" s="1"/>
  <c r="W25" i="20"/>
  <c r="X25" i="20" s="1"/>
  <c r="W27" i="20"/>
  <c r="X27" i="20" s="1"/>
  <c r="G28" i="20"/>
  <c r="H28" i="20" s="1"/>
  <c r="G23" i="20"/>
  <c r="H23" i="20" s="1"/>
  <c r="G17" i="20"/>
  <c r="H17" i="20" s="1"/>
  <c r="G10" i="20"/>
  <c r="H10" i="20" s="1"/>
  <c r="W13" i="20"/>
  <c r="X13" i="20" s="1"/>
  <c r="W12" i="20"/>
  <c r="X12" i="20" s="1"/>
  <c r="W10" i="20"/>
  <c r="X10" i="20" s="1"/>
  <c r="G11" i="20"/>
  <c r="H11" i="20" s="1"/>
  <c r="W11" i="20"/>
  <c r="X11" i="20" s="1"/>
  <c r="W26" i="20"/>
  <c r="X26" i="20" s="1"/>
  <c r="AM27" i="20"/>
  <c r="G13" i="20"/>
  <c r="H13" i="20" s="1"/>
  <c r="G25" i="20"/>
  <c r="H25" i="20" s="1"/>
  <c r="G16" i="20"/>
  <c r="H16" i="20" s="1"/>
  <c r="T13" i="22"/>
  <c r="T11" i="22"/>
  <c r="U19" i="22"/>
  <c r="U10" i="22"/>
  <c r="AE136" i="22"/>
  <c r="AE138" i="22" s="1"/>
  <c r="AE139" i="22" s="1"/>
  <c r="X219" i="22"/>
  <c r="X212" i="22"/>
  <c r="X205" i="22"/>
  <c r="X191" i="22"/>
  <c r="X184" i="22"/>
  <c r="X170" i="22"/>
  <c r="X177" i="22"/>
  <c r="X198" i="22"/>
  <c r="X163" i="22"/>
  <c r="X149" i="22"/>
  <c r="X114" i="22"/>
  <c r="X65" i="22"/>
  <c r="X37" i="22"/>
  <c r="X128" i="22"/>
  <c r="X107" i="22"/>
  <c r="X156" i="22"/>
  <c r="X142" i="22"/>
  <c r="X86" i="22"/>
  <c r="X72" i="22"/>
  <c r="X58" i="22"/>
  <c r="X51" i="22"/>
  <c r="X135" i="22"/>
  <c r="X121" i="22"/>
  <c r="X100" i="22"/>
  <c r="X93" i="22"/>
  <c r="X44" i="22"/>
  <c r="X30" i="22"/>
  <c r="X23" i="22"/>
  <c r="X79" i="22"/>
  <c r="AE164" i="22"/>
  <c r="AE166" i="22" s="1"/>
  <c r="AE167" i="22" s="1"/>
  <c r="AE213" i="22"/>
  <c r="AE215" i="22" s="1"/>
  <c r="AE216" i="22" s="1"/>
  <c r="AE220" i="22"/>
  <c r="AE222" i="22" s="1"/>
  <c r="AE223" i="22" s="1"/>
  <c r="AE199" i="22"/>
  <c r="AE201" i="22" s="1"/>
  <c r="AE202" i="22" s="1"/>
  <c r="AE192" i="22"/>
  <c r="AE194" i="22" s="1"/>
  <c r="AE195" i="22" s="1"/>
  <c r="AE185" i="22"/>
  <c r="AE187" i="22" s="1"/>
  <c r="AE188" i="22" s="1"/>
  <c r="AE206" i="22"/>
  <c r="AE208" i="22" s="1"/>
  <c r="AE209" i="22" s="1"/>
  <c r="AE171" i="22"/>
  <c r="AE173" i="22" s="1"/>
  <c r="AE174" i="22" s="1"/>
  <c r="AE157" i="22"/>
  <c r="AE159" i="22" s="1"/>
  <c r="AE160" i="22" s="1"/>
  <c r="AE178" i="22"/>
  <c r="AE180" i="22" s="1"/>
  <c r="AE181" i="22" s="1"/>
  <c r="AE143" i="22"/>
  <c r="AE145" i="22" s="1"/>
  <c r="AE146" i="22" s="1"/>
  <c r="AE150" i="22"/>
  <c r="AE152" i="22" s="1"/>
  <c r="AE153" i="22" s="1"/>
  <c r="AF129" i="22"/>
  <c r="AF131" i="22" s="1"/>
  <c r="AF132" i="22" s="1"/>
  <c r="AE108" i="22"/>
  <c r="AE110" i="22" s="1"/>
  <c r="AE111" i="22" s="1"/>
  <c r="AE101" i="22"/>
  <c r="AE103" i="22" s="1"/>
  <c r="AE104" i="22" s="1"/>
  <c r="AE122" i="22"/>
  <c r="AE124" i="22" s="1"/>
  <c r="AE125" i="22" s="1"/>
  <c r="AF115" i="22"/>
  <c r="AF117" i="22" s="1"/>
  <c r="AF118" i="22" s="1"/>
  <c r="AE94" i="22"/>
  <c r="AE96" i="22" s="1"/>
  <c r="AE97" i="22" s="1"/>
  <c r="AE87" i="22"/>
  <c r="AE89" i="22" s="1"/>
  <c r="AE90" i="22" s="1"/>
  <c r="AE73" i="22"/>
  <c r="AE75" i="22" s="1"/>
  <c r="AE76" i="22" s="1"/>
  <c r="AF80" i="22"/>
  <c r="AF82" i="22" s="1"/>
  <c r="AF83" i="22" s="1"/>
  <c r="AE66" i="22"/>
  <c r="AE68" i="22" s="1"/>
  <c r="AE69" i="22" s="1"/>
  <c r="AE59" i="22"/>
  <c r="AE61" i="22" s="1"/>
  <c r="AE62" i="22" s="1"/>
  <c r="AE52" i="22"/>
  <c r="AE54" i="22" s="1"/>
  <c r="AE55" i="22" s="1"/>
  <c r="AE45" i="22"/>
  <c r="AE47" i="22" s="1"/>
  <c r="AE48" i="22" s="1"/>
  <c r="AE38" i="22"/>
  <c r="AE40" i="22" s="1"/>
  <c r="AE41" i="22" s="1"/>
  <c r="AF31" i="22"/>
  <c r="AF33" i="22" s="1"/>
  <c r="AF34" i="22" s="1"/>
  <c r="AE24" i="22"/>
  <c r="AE26" i="22" s="1"/>
  <c r="AE27" i="22" s="1"/>
  <c r="X23" i="10"/>
  <c r="Y9" i="22"/>
  <c r="Y16" i="22" s="1"/>
  <c r="W15" i="10"/>
  <c r="W27" i="10" s="1"/>
  <c r="W31" i="21"/>
  <c r="W36" i="21"/>
  <c r="W18" i="21"/>
  <c r="Y7" i="10"/>
  <c r="X7" i="21"/>
  <c r="X105" i="10"/>
  <c r="X71" i="10"/>
  <c r="X88" i="10"/>
  <c r="X54" i="10"/>
  <c r="X37" i="10"/>
  <c r="AC42" i="21"/>
  <c r="M97" i="10" l="1"/>
  <c r="M101" i="10"/>
  <c r="N92" i="10" s="1"/>
  <c r="N93" i="10" s="1"/>
  <c r="N79" i="10"/>
  <c r="N80" i="10" s="1"/>
  <c r="D37" i="21"/>
  <c r="D19" i="21"/>
  <c r="F8" i="21"/>
  <c r="F10" i="21" s="1"/>
  <c r="E12" i="21"/>
  <c r="AN27" i="20"/>
  <c r="AM28" i="20"/>
  <c r="AM26" i="20"/>
  <c r="U20" i="22"/>
  <c r="U12" i="22"/>
  <c r="T11" i="21" s="1"/>
  <c r="V17" i="22"/>
  <c r="AF164" i="22"/>
  <c r="AF166" i="22" s="1"/>
  <c r="AF167" i="22" s="1"/>
  <c r="Y205" i="22"/>
  <c r="Y198" i="22"/>
  <c r="Y191" i="22"/>
  <c r="Y212" i="22"/>
  <c r="Y219" i="22"/>
  <c r="Y184" i="22"/>
  <c r="Y170" i="22"/>
  <c r="Y128" i="22"/>
  <c r="Y177" i="22"/>
  <c r="Y135" i="22"/>
  <c r="Y156" i="22"/>
  <c r="Y107" i="22"/>
  <c r="Y100" i="22"/>
  <c r="Y58" i="22"/>
  <c r="Y30" i="22"/>
  <c r="Y142" i="22"/>
  <c r="Y149" i="22"/>
  <c r="Y121" i="22"/>
  <c r="Y93" i="22"/>
  <c r="Y65" i="22"/>
  <c r="Y44" i="22"/>
  <c r="Y37" i="22"/>
  <c r="Y163" i="22"/>
  <c r="Y114" i="22"/>
  <c r="Y79" i="22"/>
  <c r="Y23" i="22"/>
  <c r="Y72" i="22"/>
  <c r="Y51" i="22"/>
  <c r="Y86" i="22"/>
  <c r="AF136" i="22"/>
  <c r="AF138" i="22" s="1"/>
  <c r="AF139" i="22" s="1"/>
  <c r="AF220" i="22"/>
  <c r="AF222" i="22" s="1"/>
  <c r="AF223" i="22" s="1"/>
  <c r="AF213" i="22"/>
  <c r="AF215" i="22" s="1"/>
  <c r="AF216" i="22" s="1"/>
  <c r="AF206" i="22"/>
  <c r="AF208" i="22" s="1"/>
  <c r="AF209" i="22" s="1"/>
  <c r="AF192" i="22"/>
  <c r="AF194" i="22" s="1"/>
  <c r="AF195" i="22" s="1"/>
  <c r="AF185" i="22"/>
  <c r="AF187" i="22" s="1"/>
  <c r="AF188" i="22" s="1"/>
  <c r="AF199" i="22"/>
  <c r="AF201" i="22" s="1"/>
  <c r="AF202" i="22" s="1"/>
  <c r="AF157" i="22"/>
  <c r="AF159" i="22" s="1"/>
  <c r="AF160" i="22" s="1"/>
  <c r="AF178" i="22"/>
  <c r="AF180" i="22" s="1"/>
  <c r="AF181" i="22" s="1"/>
  <c r="AF171" i="22"/>
  <c r="AF173" i="22" s="1"/>
  <c r="AF174" i="22" s="1"/>
  <c r="AG129" i="22"/>
  <c r="AG131" i="22" s="1"/>
  <c r="AG132" i="22" s="1"/>
  <c r="AF150" i="22"/>
  <c r="AF152" i="22" s="1"/>
  <c r="AF153" i="22" s="1"/>
  <c r="AF143" i="22"/>
  <c r="AF145" i="22" s="1"/>
  <c r="AF146" i="22" s="1"/>
  <c r="AF101" i="22"/>
  <c r="AF103" i="22" s="1"/>
  <c r="AF104" i="22" s="1"/>
  <c r="AF122" i="22"/>
  <c r="AF124" i="22" s="1"/>
  <c r="AF125" i="22" s="1"/>
  <c r="AF108" i="22"/>
  <c r="AF110" i="22" s="1"/>
  <c r="AF111" i="22" s="1"/>
  <c r="AG115" i="22"/>
  <c r="AG117" i="22" s="1"/>
  <c r="AG118" i="22" s="1"/>
  <c r="AG80" i="22"/>
  <c r="AG82" i="22" s="1"/>
  <c r="AG83" i="22" s="1"/>
  <c r="AF87" i="22"/>
  <c r="AF89" i="22" s="1"/>
  <c r="AF90" i="22" s="1"/>
  <c r="AF94" i="22"/>
  <c r="AF96" i="22" s="1"/>
  <c r="AF97" i="22" s="1"/>
  <c r="AF73" i="22"/>
  <c r="AF75" i="22" s="1"/>
  <c r="AF76" i="22" s="1"/>
  <c r="AF66" i="22"/>
  <c r="AF68" i="22" s="1"/>
  <c r="AF69" i="22" s="1"/>
  <c r="AF59" i="22"/>
  <c r="AF61" i="22" s="1"/>
  <c r="AF62" i="22" s="1"/>
  <c r="AF52" i="22"/>
  <c r="AF54" i="22" s="1"/>
  <c r="AF55" i="22" s="1"/>
  <c r="AF45" i="22"/>
  <c r="AF47" i="22" s="1"/>
  <c r="AF48" i="22" s="1"/>
  <c r="AF38" i="22"/>
  <c r="AF40" i="22" s="1"/>
  <c r="AF41" i="22" s="1"/>
  <c r="AG31" i="22"/>
  <c r="AG33" i="22" s="1"/>
  <c r="AG34" i="22" s="1"/>
  <c r="AF24" i="22"/>
  <c r="AF26" i="22" s="1"/>
  <c r="AF27" i="22" s="1"/>
  <c r="Y23" i="10"/>
  <c r="Z9" i="22"/>
  <c r="Z16" i="22" s="1"/>
  <c r="L12" i="10"/>
  <c r="M8" i="10" s="1"/>
  <c r="M11" i="10" s="1"/>
  <c r="X15" i="10"/>
  <c r="X27" i="10" s="1"/>
  <c r="X31" i="21"/>
  <c r="X18" i="21"/>
  <c r="X36" i="21"/>
  <c r="Z7" i="10"/>
  <c r="Y7" i="21"/>
  <c r="Y88" i="10"/>
  <c r="Y54" i="10"/>
  <c r="Y105" i="10"/>
  <c r="Y37" i="10"/>
  <c r="Y71" i="10"/>
  <c r="AD42" i="21"/>
  <c r="N82" i="10" l="1"/>
  <c r="N85" i="10" s="1"/>
  <c r="N84" i="10"/>
  <c r="O75" i="10" s="1"/>
  <c r="O76" i="10" s="1"/>
  <c r="N96" i="10"/>
  <c r="N97" i="10" s="1"/>
  <c r="E14" i="21"/>
  <c r="G8" i="21"/>
  <c r="G10" i="21" s="1"/>
  <c r="F12" i="21"/>
  <c r="F14" i="21" s="1"/>
  <c r="AN26" i="20"/>
  <c r="AM25" i="20"/>
  <c r="AN28" i="20"/>
  <c r="AM29" i="20"/>
  <c r="U13" i="22"/>
  <c r="U11" i="22"/>
  <c r="V19" i="22"/>
  <c r="V10" i="22"/>
  <c r="AG164" i="22"/>
  <c r="AG166" i="22" s="1"/>
  <c r="AG167" i="22" s="1"/>
  <c r="Z184" i="22"/>
  <c r="Z219" i="22"/>
  <c r="Z191" i="22"/>
  <c r="Z177" i="22"/>
  <c r="Z163" i="22"/>
  <c r="Z156" i="22"/>
  <c r="Z121" i="22"/>
  <c r="Z198" i="22"/>
  <c r="Z212" i="22"/>
  <c r="Z205" i="22"/>
  <c r="Z149" i="22"/>
  <c r="Z142" i="22"/>
  <c r="Z128" i="22"/>
  <c r="Z93" i="22"/>
  <c r="Z86" i="22"/>
  <c r="Z79" i="22"/>
  <c r="Z51" i="22"/>
  <c r="Z170" i="22"/>
  <c r="Z135" i="22"/>
  <c r="Z100" i="22"/>
  <c r="Z37" i="22"/>
  <c r="Z30" i="22"/>
  <c r="Z23" i="22"/>
  <c r="Z114" i="22"/>
  <c r="Z107" i="22"/>
  <c r="Z72" i="22"/>
  <c r="Z44" i="22"/>
  <c r="Z65" i="22"/>
  <c r="Z58" i="22"/>
  <c r="AG136" i="22"/>
  <c r="AG138" i="22" s="1"/>
  <c r="AG139" i="22" s="1"/>
  <c r="AG213" i="22"/>
  <c r="AG215" i="22" s="1"/>
  <c r="AG216" i="22" s="1"/>
  <c r="AG220" i="22"/>
  <c r="AG222" i="22" s="1"/>
  <c r="AG223" i="22" s="1"/>
  <c r="AG192" i="22"/>
  <c r="AG194" i="22" s="1"/>
  <c r="AG195" i="22" s="1"/>
  <c r="AG185" i="22"/>
  <c r="AG187" i="22" s="1"/>
  <c r="AG188" i="22" s="1"/>
  <c r="AG199" i="22"/>
  <c r="AG201" i="22" s="1"/>
  <c r="AG202" i="22" s="1"/>
  <c r="AG206" i="22"/>
  <c r="AG208" i="22" s="1"/>
  <c r="AG209" i="22" s="1"/>
  <c r="AG157" i="22"/>
  <c r="AG159" i="22" s="1"/>
  <c r="AG160" i="22" s="1"/>
  <c r="AG171" i="22"/>
  <c r="AG173" i="22" s="1"/>
  <c r="AG174" i="22" s="1"/>
  <c r="AG178" i="22"/>
  <c r="AG180" i="22" s="1"/>
  <c r="AG181" i="22" s="1"/>
  <c r="AG143" i="22"/>
  <c r="AG145" i="22" s="1"/>
  <c r="AG146" i="22" s="1"/>
  <c r="AH129" i="22"/>
  <c r="AH131" i="22" s="1"/>
  <c r="AH132" i="22" s="1"/>
  <c r="AG150" i="22"/>
  <c r="AG152" i="22" s="1"/>
  <c r="AG153" i="22" s="1"/>
  <c r="AH115" i="22"/>
  <c r="AH117" i="22" s="1"/>
  <c r="AH118" i="22" s="1"/>
  <c r="AG101" i="22"/>
  <c r="AG103" i="22" s="1"/>
  <c r="AG104" i="22" s="1"/>
  <c r="AG122" i="22"/>
  <c r="AG124" i="22" s="1"/>
  <c r="AG125" i="22" s="1"/>
  <c r="AG108" i="22"/>
  <c r="AG110" i="22" s="1"/>
  <c r="AG111" i="22" s="1"/>
  <c r="AG87" i="22"/>
  <c r="AG89" i="22" s="1"/>
  <c r="AG90" i="22" s="1"/>
  <c r="AH80" i="22"/>
  <c r="AH82" i="22" s="1"/>
  <c r="AH83" i="22" s="1"/>
  <c r="AG73" i="22"/>
  <c r="AG75" i="22" s="1"/>
  <c r="AG76" i="22" s="1"/>
  <c r="AG94" i="22"/>
  <c r="AG96" i="22" s="1"/>
  <c r="AG97" i="22" s="1"/>
  <c r="AG66" i="22"/>
  <c r="AG68" i="22" s="1"/>
  <c r="AG69" i="22" s="1"/>
  <c r="AG59" i="22"/>
  <c r="AG61" i="22" s="1"/>
  <c r="AG62" i="22" s="1"/>
  <c r="AG52" i="22"/>
  <c r="AG54" i="22" s="1"/>
  <c r="AG55" i="22" s="1"/>
  <c r="AG45" i="22"/>
  <c r="AG47" i="22" s="1"/>
  <c r="AG48" i="22" s="1"/>
  <c r="AG38" i="22"/>
  <c r="AG40" i="22" s="1"/>
  <c r="AG41" i="22" s="1"/>
  <c r="AH31" i="22"/>
  <c r="AH33" i="22" s="1"/>
  <c r="AH34" i="22" s="1"/>
  <c r="AG24" i="22"/>
  <c r="AG26" i="22" s="1"/>
  <c r="AG27" i="22" s="1"/>
  <c r="Z23" i="10"/>
  <c r="AA9" i="22"/>
  <c r="AA16" i="22" s="1"/>
  <c r="Y15" i="10"/>
  <c r="Y27" i="10" s="1"/>
  <c r="Y31" i="21"/>
  <c r="AB17" i="10"/>
  <c r="Y36" i="21"/>
  <c r="Y18" i="21"/>
  <c r="AA7" i="10"/>
  <c r="Z88" i="10"/>
  <c r="Z54" i="10"/>
  <c r="Z37" i="10"/>
  <c r="Z7" i="21"/>
  <c r="Z105" i="10"/>
  <c r="Z71" i="10"/>
  <c r="AE42" i="21"/>
  <c r="N101" i="10" l="1"/>
  <c r="O92" i="10" s="1"/>
  <c r="O93" i="10" s="1"/>
  <c r="N99" i="10"/>
  <c r="N102" i="10" s="1"/>
  <c r="O79" i="10"/>
  <c r="O80" i="10" s="1"/>
  <c r="E22" i="21"/>
  <c r="E19" i="21"/>
  <c r="E37" i="21"/>
  <c r="F37" i="21"/>
  <c r="F19" i="21"/>
  <c r="F22" i="21"/>
  <c r="H8" i="21"/>
  <c r="H10" i="21" s="1"/>
  <c r="G12" i="21"/>
  <c r="G14" i="21" s="1"/>
  <c r="AM24" i="20"/>
  <c r="AN25" i="20"/>
  <c r="AM30" i="20"/>
  <c r="AN29" i="20"/>
  <c r="V20" i="22"/>
  <c r="V12" i="22"/>
  <c r="U11" i="21" s="1"/>
  <c r="W17" i="22"/>
  <c r="AA219" i="22"/>
  <c r="AA177" i="22"/>
  <c r="AA191" i="22"/>
  <c r="AA198" i="22"/>
  <c r="AA149" i="22"/>
  <c r="AA142" i="22"/>
  <c r="AA135" i="22"/>
  <c r="AA212" i="22"/>
  <c r="AA205" i="22"/>
  <c r="AA156" i="22"/>
  <c r="AA128" i="22"/>
  <c r="AA163" i="22"/>
  <c r="AA170" i="22"/>
  <c r="AA72" i="22"/>
  <c r="AA44" i="22"/>
  <c r="AA23" i="22"/>
  <c r="AA184" i="22"/>
  <c r="AA121" i="22"/>
  <c r="AA114" i="22"/>
  <c r="AA107" i="22"/>
  <c r="AA79" i="22"/>
  <c r="AA86" i="22"/>
  <c r="AA65" i="22"/>
  <c r="AA58" i="22"/>
  <c r="AA51" i="22"/>
  <c r="AA100" i="22"/>
  <c r="AA93" i="22"/>
  <c r="AA37" i="22"/>
  <c r="AA30" i="22"/>
  <c r="AH136" i="22"/>
  <c r="AH138" i="22" s="1"/>
  <c r="AH139" i="22" s="1"/>
  <c r="AH164" i="22"/>
  <c r="AH166" i="22" s="1"/>
  <c r="AH167" i="22" s="1"/>
  <c r="AH220" i="22"/>
  <c r="AH222" i="22" s="1"/>
  <c r="AH223" i="22" s="1"/>
  <c r="AH213" i="22"/>
  <c r="AH215" i="22" s="1"/>
  <c r="AH216" i="22" s="1"/>
  <c r="AH185" i="22"/>
  <c r="AH187" i="22" s="1"/>
  <c r="AH188" i="22" s="1"/>
  <c r="AH192" i="22"/>
  <c r="AH194" i="22" s="1"/>
  <c r="AH195" i="22" s="1"/>
  <c r="AH206" i="22"/>
  <c r="AH208" i="22" s="1"/>
  <c r="AH209" i="22" s="1"/>
  <c r="AH199" i="22"/>
  <c r="AH201" i="22" s="1"/>
  <c r="AH202" i="22" s="1"/>
  <c r="AH178" i="22"/>
  <c r="AH180" i="22" s="1"/>
  <c r="AH181" i="22" s="1"/>
  <c r="AH157" i="22"/>
  <c r="AH159" i="22" s="1"/>
  <c r="AH160" i="22" s="1"/>
  <c r="AH171" i="22"/>
  <c r="AH173" i="22" s="1"/>
  <c r="AH174" i="22" s="1"/>
  <c r="AH150" i="22"/>
  <c r="AH152" i="22" s="1"/>
  <c r="AH153" i="22" s="1"/>
  <c r="AI129" i="22"/>
  <c r="AI131" i="22" s="1"/>
  <c r="AI132" i="22" s="1"/>
  <c r="AH143" i="22"/>
  <c r="AH145" i="22" s="1"/>
  <c r="AH146" i="22" s="1"/>
  <c r="AH122" i="22"/>
  <c r="AH124" i="22" s="1"/>
  <c r="AH125" i="22" s="1"/>
  <c r="AI115" i="22"/>
  <c r="AI117" i="22" s="1"/>
  <c r="AI118" i="22" s="1"/>
  <c r="AH108" i="22"/>
  <c r="AH110" i="22" s="1"/>
  <c r="AH111" i="22" s="1"/>
  <c r="AH101" i="22"/>
  <c r="AH103" i="22" s="1"/>
  <c r="AH104" i="22" s="1"/>
  <c r="AH73" i="22"/>
  <c r="AH75" i="22" s="1"/>
  <c r="AH76" i="22" s="1"/>
  <c r="AH94" i="22"/>
  <c r="AH96" i="22" s="1"/>
  <c r="AH97" i="22" s="1"/>
  <c r="AI80" i="22"/>
  <c r="AI82" i="22" s="1"/>
  <c r="AI83" i="22" s="1"/>
  <c r="AH87" i="22"/>
  <c r="AH89" i="22" s="1"/>
  <c r="AH90" i="22" s="1"/>
  <c r="AH66" i="22"/>
  <c r="AH68" i="22" s="1"/>
  <c r="AH69" i="22" s="1"/>
  <c r="AH59" i="22"/>
  <c r="AH61" i="22" s="1"/>
  <c r="AH62" i="22" s="1"/>
  <c r="AH52" i="22"/>
  <c r="AH54" i="22" s="1"/>
  <c r="AH55" i="22" s="1"/>
  <c r="AH45" i="22"/>
  <c r="AH47" i="22" s="1"/>
  <c r="AH48" i="22" s="1"/>
  <c r="AH38" i="22"/>
  <c r="AH40" i="22" s="1"/>
  <c r="AH41" i="22" s="1"/>
  <c r="AI31" i="22"/>
  <c r="AI33" i="22" s="1"/>
  <c r="AI34" i="22" s="1"/>
  <c r="AH24" i="22"/>
  <c r="AH26" i="22" s="1"/>
  <c r="AH27" i="22" s="1"/>
  <c r="AA23" i="10"/>
  <c r="AB9" i="22"/>
  <c r="AB16" i="22" s="1"/>
  <c r="M12" i="10"/>
  <c r="N8" i="10" s="1"/>
  <c r="N11" i="10" s="1"/>
  <c r="Z15" i="10"/>
  <c r="Z27" i="10" s="1"/>
  <c r="Z31" i="21"/>
  <c r="AC17" i="10"/>
  <c r="Z36" i="21"/>
  <c r="Z18" i="21"/>
  <c r="AB7" i="10"/>
  <c r="AA105" i="10"/>
  <c r="AA71" i="10"/>
  <c r="AA37" i="10"/>
  <c r="AA88" i="10"/>
  <c r="AA54" i="10"/>
  <c r="AA7" i="21"/>
  <c r="AF42" i="21"/>
  <c r="O96" i="10" l="1"/>
  <c r="O97" i="10" s="1"/>
  <c r="O84" i="10"/>
  <c r="P75" i="10" s="1"/>
  <c r="O82" i="10"/>
  <c r="O85" i="10" s="1"/>
  <c r="G19" i="21"/>
  <c r="G37" i="21"/>
  <c r="G22" i="21"/>
  <c r="I8" i="21"/>
  <c r="I10" i="21" s="1"/>
  <c r="H12" i="21"/>
  <c r="H14" i="21" s="1"/>
  <c r="AM31" i="20"/>
  <c r="AN31" i="20" s="1"/>
  <c r="AN30" i="20"/>
  <c r="AM23" i="20"/>
  <c r="AN23" i="20" s="1"/>
  <c r="AN24" i="20"/>
  <c r="V13" i="22"/>
  <c r="V11" i="22"/>
  <c r="W19" i="22"/>
  <c r="W10" i="22"/>
  <c r="AI136" i="22"/>
  <c r="AI138" i="22" s="1"/>
  <c r="AI139" i="22" s="1"/>
  <c r="AB219" i="22"/>
  <c r="AB212" i="22"/>
  <c r="AB198" i="22"/>
  <c r="AB205" i="22"/>
  <c r="AB170" i="22"/>
  <c r="AB177" i="22"/>
  <c r="AB163" i="22"/>
  <c r="AB149" i="22"/>
  <c r="AB142" i="22"/>
  <c r="AB191" i="22"/>
  <c r="AB184" i="22"/>
  <c r="AB135" i="22"/>
  <c r="AB121" i="22"/>
  <c r="AB114" i="22"/>
  <c r="AB65" i="22"/>
  <c r="AB37" i="22"/>
  <c r="AB156" i="22"/>
  <c r="AB107" i="22"/>
  <c r="AB128" i="22"/>
  <c r="AB79" i="22"/>
  <c r="AB86" i="22"/>
  <c r="AB72" i="22"/>
  <c r="AB58" i="22"/>
  <c r="AB51" i="22"/>
  <c r="AB100" i="22"/>
  <c r="AB93" i="22"/>
  <c r="AB44" i="22"/>
  <c r="AB30" i="22"/>
  <c r="AB23" i="22"/>
  <c r="AI164" i="22"/>
  <c r="AI166" i="22" s="1"/>
  <c r="AI167" i="22" s="1"/>
  <c r="AI213" i="22"/>
  <c r="AI215" i="22" s="1"/>
  <c r="AI216" i="22" s="1"/>
  <c r="AI220" i="22"/>
  <c r="AI222" i="22" s="1"/>
  <c r="AI223" i="22" s="1"/>
  <c r="AI199" i="22"/>
  <c r="AI201" i="22" s="1"/>
  <c r="AI202" i="22" s="1"/>
  <c r="AI192" i="22"/>
  <c r="AI194" i="22" s="1"/>
  <c r="AI195" i="22" s="1"/>
  <c r="AI206" i="22"/>
  <c r="AI208" i="22" s="1"/>
  <c r="AI209" i="22" s="1"/>
  <c r="AI185" i="22"/>
  <c r="AI187" i="22" s="1"/>
  <c r="AI188" i="22" s="1"/>
  <c r="AI171" i="22"/>
  <c r="AI173" i="22" s="1"/>
  <c r="AI174" i="22" s="1"/>
  <c r="AI157" i="22"/>
  <c r="AI159" i="22" s="1"/>
  <c r="AI160" i="22" s="1"/>
  <c r="AI178" i="22"/>
  <c r="AI180" i="22" s="1"/>
  <c r="AI181" i="22" s="1"/>
  <c r="AI143" i="22"/>
  <c r="AI145" i="22" s="1"/>
  <c r="AI146" i="22" s="1"/>
  <c r="AI150" i="22"/>
  <c r="AI152" i="22" s="1"/>
  <c r="AI153" i="22" s="1"/>
  <c r="AJ129" i="22"/>
  <c r="AJ131" i="22" s="1"/>
  <c r="AJ132" i="22" s="1"/>
  <c r="AI101" i="22"/>
  <c r="AI103" i="22" s="1"/>
  <c r="AI104" i="22" s="1"/>
  <c r="AJ115" i="22"/>
  <c r="AJ117" i="22" s="1"/>
  <c r="AJ118" i="22" s="1"/>
  <c r="AI108" i="22"/>
  <c r="AI110" i="22" s="1"/>
  <c r="AI111" i="22" s="1"/>
  <c r="AI122" i="22"/>
  <c r="AI124" i="22" s="1"/>
  <c r="AI125" i="22" s="1"/>
  <c r="AI87" i="22"/>
  <c r="AI89" i="22" s="1"/>
  <c r="AI90" i="22" s="1"/>
  <c r="AJ80" i="22"/>
  <c r="AJ82" i="22" s="1"/>
  <c r="AJ83" i="22" s="1"/>
  <c r="AI73" i="22"/>
  <c r="AI75" i="22" s="1"/>
  <c r="AI76" i="22" s="1"/>
  <c r="AI94" i="22"/>
  <c r="AI96" i="22" s="1"/>
  <c r="AI97" i="22" s="1"/>
  <c r="AI66" i="22"/>
  <c r="AI68" i="22" s="1"/>
  <c r="AI69" i="22" s="1"/>
  <c r="AI59" i="22"/>
  <c r="AI61" i="22" s="1"/>
  <c r="AI62" i="22" s="1"/>
  <c r="AI52" i="22"/>
  <c r="AI54" i="22" s="1"/>
  <c r="AI55" i="22" s="1"/>
  <c r="AI45" i="22"/>
  <c r="AI47" i="22" s="1"/>
  <c r="AI48" i="22" s="1"/>
  <c r="AI38" i="22"/>
  <c r="AI40" i="22" s="1"/>
  <c r="AI41" i="22" s="1"/>
  <c r="AJ31" i="22"/>
  <c r="AJ33" i="22" s="1"/>
  <c r="AJ34" i="22" s="1"/>
  <c r="AI24" i="22"/>
  <c r="AI26" i="22" s="1"/>
  <c r="AI27" i="22" s="1"/>
  <c r="AB23" i="10"/>
  <c r="AC9" i="22"/>
  <c r="AC16" i="22" s="1"/>
  <c r="AA15" i="10"/>
  <c r="AA27" i="10" s="1"/>
  <c r="AA31" i="21"/>
  <c r="AD17" i="10"/>
  <c r="AC7" i="10"/>
  <c r="AB7" i="21"/>
  <c r="AB105" i="10"/>
  <c r="AB71" i="10"/>
  <c r="AB88" i="10"/>
  <c r="AB54" i="10"/>
  <c r="AB37" i="10"/>
  <c r="AA18" i="21"/>
  <c r="AA36" i="21"/>
  <c r="AG42" i="21"/>
  <c r="D39" i="10"/>
  <c r="E39" i="10" s="1"/>
  <c r="O99" i="10" l="1"/>
  <c r="O102" i="10" s="1"/>
  <c r="O101" i="10"/>
  <c r="P92" i="10" s="1"/>
  <c r="P93" i="10" s="1"/>
  <c r="P76" i="10"/>
  <c r="H37" i="21"/>
  <c r="H22" i="21"/>
  <c r="H19" i="21"/>
  <c r="J8" i="21"/>
  <c r="J10" i="21" s="1"/>
  <c r="I12" i="21"/>
  <c r="I14" i="21" s="1"/>
  <c r="W20" i="22"/>
  <c r="W12" i="22"/>
  <c r="V11" i="21" s="1"/>
  <c r="X17" i="22"/>
  <c r="AJ164" i="22"/>
  <c r="AJ166" i="22" s="1"/>
  <c r="AJ167" i="22" s="1"/>
  <c r="AC205" i="22"/>
  <c r="AC198" i="22"/>
  <c r="AC191" i="22"/>
  <c r="AC212" i="22"/>
  <c r="AC170" i="22"/>
  <c r="AC128" i="22"/>
  <c r="AC184" i="22"/>
  <c r="AC219" i="22"/>
  <c r="AC156" i="22"/>
  <c r="AC107" i="22"/>
  <c r="AC100" i="22"/>
  <c r="AC58" i="22"/>
  <c r="AC30" i="22"/>
  <c r="AC163" i="22"/>
  <c r="AC177" i="22"/>
  <c r="AC135" i="22"/>
  <c r="AC86" i="22"/>
  <c r="AC72" i="22"/>
  <c r="AC51" i="22"/>
  <c r="AC114" i="22"/>
  <c r="AC93" i="22"/>
  <c r="AC65" i="22"/>
  <c r="AC44" i="22"/>
  <c r="AC149" i="22"/>
  <c r="AC142" i="22"/>
  <c r="AC121" i="22"/>
  <c r="AC37" i="22"/>
  <c r="AC79" i="22"/>
  <c r="AC23" i="22"/>
  <c r="AJ136" i="22"/>
  <c r="AJ138" i="22" s="1"/>
  <c r="AJ139" i="22" s="1"/>
  <c r="AJ220" i="22"/>
  <c r="AJ222" i="22" s="1"/>
  <c r="AJ223" i="22" s="1"/>
  <c r="AJ213" i="22"/>
  <c r="AJ215" i="22" s="1"/>
  <c r="AJ216" i="22" s="1"/>
  <c r="AJ185" i="22"/>
  <c r="AJ187" i="22" s="1"/>
  <c r="AJ188" i="22" s="1"/>
  <c r="AJ192" i="22"/>
  <c r="AJ194" i="22" s="1"/>
  <c r="AJ195" i="22" s="1"/>
  <c r="AJ206" i="22"/>
  <c r="AJ208" i="22" s="1"/>
  <c r="AJ209" i="22" s="1"/>
  <c r="AJ199" i="22"/>
  <c r="AJ201" i="22" s="1"/>
  <c r="AJ202" i="22" s="1"/>
  <c r="AJ178" i="22"/>
  <c r="AJ180" i="22" s="1"/>
  <c r="AJ181" i="22" s="1"/>
  <c r="AJ171" i="22"/>
  <c r="AJ173" i="22" s="1"/>
  <c r="AJ174" i="22" s="1"/>
  <c r="AJ157" i="22"/>
  <c r="AJ159" i="22" s="1"/>
  <c r="AJ160" i="22" s="1"/>
  <c r="AK129" i="22"/>
  <c r="AK131" i="22" s="1"/>
  <c r="AK132" i="22" s="1"/>
  <c r="AJ150" i="22"/>
  <c r="AJ152" i="22" s="1"/>
  <c r="AJ153" i="22" s="1"/>
  <c r="AJ143" i="22"/>
  <c r="AJ145" i="22" s="1"/>
  <c r="AJ146" i="22" s="1"/>
  <c r="AJ122" i="22"/>
  <c r="AJ124" i="22" s="1"/>
  <c r="AJ125" i="22" s="1"/>
  <c r="AK115" i="22"/>
  <c r="AK117" i="22" s="1"/>
  <c r="AK118" i="22" s="1"/>
  <c r="AJ108" i="22"/>
  <c r="AJ110" i="22" s="1"/>
  <c r="AJ111" i="22" s="1"/>
  <c r="AJ101" i="22"/>
  <c r="AJ103" i="22" s="1"/>
  <c r="AJ104" i="22" s="1"/>
  <c r="AJ94" i="22"/>
  <c r="AJ96" i="22" s="1"/>
  <c r="AJ97" i="22" s="1"/>
  <c r="AJ87" i="22"/>
  <c r="AJ89" i="22" s="1"/>
  <c r="AJ90" i="22" s="1"/>
  <c r="AK80" i="22"/>
  <c r="AK82" i="22" s="1"/>
  <c r="AK83" i="22" s="1"/>
  <c r="AJ73" i="22"/>
  <c r="AJ75" i="22" s="1"/>
  <c r="AJ76" i="22" s="1"/>
  <c r="AJ66" i="22"/>
  <c r="AJ68" i="22" s="1"/>
  <c r="AJ69" i="22" s="1"/>
  <c r="AJ59" i="22"/>
  <c r="AJ61" i="22" s="1"/>
  <c r="AJ62" i="22" s="1"/>
  <c r="AJ52" i="22"/>
  <c r="AJ54" i="22" s="1"/>
  <c r="AJ55" i="22" s="1"/>
  <c r="AJ45" i="22"/>
  <c r="AJ47" i="22" s="1"/>
  <c r="AJ48" i="22" s="1"/>
  <c r="AJ38" i="22"/>
  <c r="AJ40" i="22" s="1"/>
  <c r="AJ41" i="22" s="1"/>
  <c r="AK31" i="22"/>
  <c r="AK33" i="22" s="1"/>
  <c r="AK34" i="22" s="1"/>
  <c r="AJ24" i="22"/>
  <c r="AJ26" i="22" s="1"/>
  <c r="AJ27" i="22" s="1"/>
  <c r="AC23" i="10"/>
  <c r="AD9" i="22"/>
  <c r="AD16" i="22" s="1"/>
  <c r="N12" i="10"/>
  <c r="O8" i="10" s="1"/>
  <c r="O11" i="10" s="1"/>
  <c r="AB15" i="10"/>
  <c r="AB27" i="10" s="1"/>
  <c r="AB31" i="21"/>
  <c r="AE17" i="10"/>
  <c r="AB18" i="21"/>
  <c r="AB36" i="21"/>
  <c r="AD7" i="10"/>
  <c r="AC7" i="21"/>
  <c r="AC88" i="10"/>
  <c r="AC54" i="10"/>
  <c r="AC105" i="10"/>
  <c r="AC71" i="10"/>
  <c r="AC37" i="10"/>
  <c r="AH42" i="21"/>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AO39" i="10" s="1"/>
  <c r="AP39" i="10" s="1"/>
  <c r="AQ39" i="10" s="1"/>
  <c r="AR39" i="10" s="1"/>
  <c r="AS39" i="10" s="1"/>
  <c r="AT39" i="10" s="1"/>
  <c r="AU39" i="10" s="1"/>
  <c r="AV39" i="10" s="1"/>
  <c r="AW39" i="10" s="1"/>
  <c r="AX39" i="10" s="1"/>
  <c r="AY39" i="10" s="1"/>
  <c r="AZ39" i="10" s="1"/>
  <c r="BA39" i="10" s="1"/>
  <c r="D108" i="10"/>
  <c r="P96" i="10" l="1"/>
  <c r="P79" i="10"/>
  <c r="K8" i="21"/>
  <c r="K10" i="21" s="1"/>
  <c r="J12" i="21"/>
  <c r="J14" i="21" s="1"/>
  <c r="I37" i="21"/>
  <c r="I19" i="21"/>
  <c r="I22" i="21"/>
  <c r="W13" i="22"/>
  <c r="W11" i="22"/>
  <c r="X19" i="22"/>
  <c r="X10" i="22"/>
  <c r="AK136" i="22"/>
  <c r="AK138" i="22" s="1"/>
  <c r="AK139" i="22" s="1"/>
  <c r="AD184" i="22"/>
  <c r="AD212" i="22"/>
  <c r="AD205" i="22"/>
  <c r="AD163" i="22"/>
  <c r="AD156" i="22"/>
  <c r="AD121" i="22"/>
  <c r="AD219" i="22"/>
  <c r="AD191" i="22"/>
  <c r="AD177" i="22"/>
  <c r="AD135" i="22"/>
  <c r="AD170" i="22"/>
  <c r="AD93" i="22"/>
  <c r="AD86" i="22"/>
  <c r="AD79" i="22"/>
  <c r="AD51" i="22"/>
  <c r="AD149" i="22"/>
  <c r="AD198" i="22"/>
  <c r="AD114" i="22"/>
  <c r="AD107" i="22"/>
  <c r="AD65" i="22"/>
  <c r="AD58" i="22"/>
  <c r="AD44" i="22"/>
  <c r="AD100" i="22"/>
  <c r="AD37" i="22"/>
  <c r="AD30" i="22"/>
  <c r="AD142" i="22"/>
  <c r="AD23" i="22"/>
  <c r="AD128" i="22"/>
  <c r="AD72" i="22"/>
  <c r="AK164" i="22"/>
  <c r="AK166" i="22" s="1"/>
  <c r="AK167" i="22" s="1"/>
  <c r="AK213" i="22"/>
  <c r="AK215" i="22" s="1"/>
  <c r="AK216" i="22" s="1"/>
  <c r="AK220" i="22"/>
  <c r="AK222" i="22" s="1"/>
  <c r="AK223" i="22" s="1"/>
  <c r="AK192" i="22"/>
  <c r="AK194" i="22" s="1"/>
  <c r="AK195" i="22" s="1"/>
  <c r="AK185" i="22"/>
  <c r="AK187" i="22" s="1"/>
  <c r="AK188" i="22" s="1"/>
  <c r="AK199" i="22"/>
  <c r="AK201" i="22" s="1"/>
  <c r="AK202" i="22" s="1"/>
  <c r="AK206" i="22"/>
  <c r="AK208" i="22" s="1"/>
  <c r="AK209" i="22" s="1"/>
  <c r="AK157" i="22"/>
  <c r="AK159" i="22" s="1"/>
  <c r="AK160" i="22" s="1"/>
  <c r="AK171" i="22"/>
  <c r="AK173" i="22" s="1"/>
  <c r="AK174" i="22" s="1"/>
  <c r="AK178" i="22"/>
  <c r="AK180" i="22" s="1"/>
  <c r="AK181" i="22" s="1"/>
  <c r="AK143" i="22"/>
  <c r="AK145" i="22" s="1"/>
  <c r="AK146" i="22" s="1"/>
  <c r="AL129" i="22"/>
  <c r="AL131" i="22" s="1"/>
  <c r="AL132" i="22" s="1"/>
  <c r="AK150" i="22"/>
  <c r="AK152" i="22" s="1"/>
  <c r="AK153" i="22" s="1"/>
  <c r="AK101" i="22"/>
  <c r="AK103" i="22" s="1"/>
  <c r="AK104" i="22" s="1"/>
  <c r="AL115" i="22"/>
  <c r="AL117" i="22" s="1"/>
  <c r="AL118" i="22" s="1"/>
  <c r="AK108" i="22"/>
  <c r="AK110" i="22" s="1"/>
  <c r="AK111" i="22" s="1"/>
  <c r="AK122" i="22"/>
  <c r="AK124" i="22" s="1"/>
  <c r="AK125" i="22" s="1"/>
  <c r="AK87" i="22"/>
  <c r="AK89" i="22" s="1"/>
  <c r="AK90" i="22" s="1"/>
  <c r="AK73" i="22"/>
  <c r="AK75" i="22" s="1"/>
  <c r="AK76" i="22" s="1"/>
  <c r="AL80" i="22"/>
  <c r="AL82" i="22" s="1"/>
  <c r="AL83" i="22" s="1"/>
  <c r="AK94" i="22"/>
  <c r="AK96" i="22" s="1"/>
  <c r="AK97" i="22" s="1"/>
  <c r="AK66" i="22"/>
  <c r="AK68" i="22" s="1"/>
  <c r="AK69" i="22" s="1"/>
  <c r="AK59" i="22"/>
  <c r="AK61" i="22" s="1"/>
  <c r="AK62" i="22" s="1"/>
  <c r="AK52" i="22"/>
  <c r="AK54" i="22" s="1"/>
  <c r="AK55" i="22" s="1"/>
  <c r="AK45" i="22"/>
  <c r="AK47" i="22" s="1"/>
  <c r="AK48" i="22" s="1"/>
  <c r="AK38" i="22"/>
  <c r="AK40" i="22" s="1"/>
  <c r="AK41" i="22" s="1"/>
  <c r="AL31" i="22"/>
  <c r="AL33" i="22" s="1"/>
  <c r="AL34" i="22" s="1"/>
  <c r="AK24" i="22"/>
  <c r="AK26" i="22" s="1"/>
  <c r="AK27" i="22" s="1"/>
  <c r="AD23" i="10"/>
  <c r="AE9" i="22"/>
  <c r="AE16" i="22" s="1"/>
  <c r="AC15" i="10"/>
  <c r="AC27" i="10" s="1"/>
  <c r="AC31" i="21"/>
  <c r="AF17" i="10"/>
  <c r="AC36" i="21"/>
  <c r="AC18" i="21"/>
  <c r="AE7" i="10"/>
  <c r="AD88" i="10"/>
  <c r="AD54" i="10"/>
  <c r="AD37" i="10"/>
  <c r="AD7" i="21"/>
  <c r="AD105" i="10"/>
  <c r="AD71" i="10"/>
  <c r="AI42" i="21"/>
  <c r="P97" i="10" l="1"/>
  <c r="P101" i="10"/>
  <c r="Q92" i="10" s="1"/>
  <c r="Q93" i="10" s="1"/>
  <c r="P80" i="10"/>
  <c r="P84" i="10"/>
  <c r="Q75" i="10" s="1"/>
  <c r="Q76" i="10" s="1"/>
  <c r="P99" i="10"/>
  <c r="P102" i="10" s="1"/>
  <c r="P82" i="10"/>
  <c r="P85" i="10" s="1"/>
  <c r="J37" i="21"/>
  <c r="J22" i="21"/>
  <c r="J19" i="21"/>
  <c r="L8" i="21"/>
  <c r="L10" i="21" s="1"/>
  <c r="K12" i="21"/>
  <c r="K14" i="21" s="1"/>
  <c r="X20" i="22"/>
  <c r="X12" i="22"/>
  <c r="W11" i="21" s="1"/>
  <c r="Y17" i="22"/>
  <c r="AE219" i="22"/>
  <c r="AE177" i="22"/>
  <c r="AE191" i="22"/>
  <c r="AE184" i="22"/>
  <c r="AE149" i="22"/>
  <c r="AE142" i="22"/>
  <c r="AE135" i="22"/>
  <c r="AE198" i="22"/>
  <c r="AE170" i="22"/>
  <c r="AE156" i="22"/>
  <c r="AE205" i="22"/>
  <c r="AE212" i="22"/>
  <c r="AE163" i="22"/>
  <c r="AE72" i="22"/>
  <c r="AE44" i="22"/>
  <c r="AE23" i="22"/>
  <c r="AE128" i="22"/>
  <c r="AE114" i="22"/>
  <c r="AE100" i="22"/>
  <c r="AE93" i="22"/>
  <c r="AE37" i="22"/>
  <c r="AE30" i="22"/>
  <c r="AE121" i="22"/>
  <c r="AE79" i="22"/>
  <c r="AE107" i="22"/>
  <c r="AE65" i="22"/>
  <c r="AE58" i="22"/>
  <c r="AE51" i="22"/>
  <c r="AE86" i="22"/>
  <c r="AL164" i="22"/>
  <c r="AL166" i="22" s="1"/>
  <c r="AL167" i="22" s="1"/>
  <c r="AL136" i="22"/>
  <c r="AL138" i="22" s="1"/>
  <c r="AL139" i="22" s="1"/>
  <c r="AL220" i="22"/>
  <c r="AL222" i="22" s="1"/>
  <c r="AL223" i="22" s="1"/>
  <c r="AL213" i="22"/>
  <c r="AL215" i="22" s="1"/>
  <c r="AL216" i="22" s="1"/>
  <c r="AL185" i="22"/>
  <c r="AL187" i="22" s="1"/>
  <c r="AL188" i="22" s="1"/>
  <c r="AL192" i="22"/>
  <c r="AL194" i="22" s="1"/>
  <c r="AL195" i="22" s="1"/>
  <c r="AL206" i="22"/>
  <c r="AL208" i="22" s="1"/>
  <c r="AL209" i="22" s="1"/>
  <c r="AL199" i="22"/>
  <c r="AL201" i="22" s="1"/>
  <c r="AL202" i="22" s="1"/>
  <c r="AL157" i="22"/>
  <c r="AL159" i="22" s="1"/>
  <c r="AL160" i="22" s="1"/>
  <c r="AL178" i="22"/>
  <c r="AL180" i="22" s="1"/>
  <c r="AL181" i="22" s="1"/>
  <c r="AL171" i="22"/>
  <c r="AL173" i="22" s="1"/>
  <c r="AL174" i="22" s="1"/>
  <c r="AL150" i="22"/>
  <c r="AL152" i="22" s="1"/>
  <c r="AL153" i="22" s="1"/>
  <c r="AM129" i="22"/>
  <c r="AM131" i="22" s="1"/>
  <c r="AM132" i="22" s="1"/>
  <c r="AL143" i="22"/>
  <c r="AL145" i="22" s="1"/>
  <c r="AL146" i="22" s="1"/>
  <c r="AL122" i="22"/>
  <c r="AL124" i="22" s="1"/>
  <c r="AL125" i="22" s="1"/>
  <c r="AM115" i="22"/>
  <c r="AM117" i="22" s="1"/>
  <c r="AM118" i="22" s="1"/>
  <c r="AL108" i="22"/>
  <c r="AL110" i="22" s="1"/>
  <c r="AL111" i="22" s="1"/>
  <c r="AL101" i="22"/>
  <c r="AL103" i="22" s="1"/>
  <c r="AL104" i="22" s="1"/>
  <c r="AL94" i="22"/>
  <c r="AL96" i="22" s="1"/>
  <c r="AL97" i="22" s="1"/>
  <c r="AL73" i="22"/>
  <c r="AL75" i="22" s="1"/>
  <c r="AL76" i="22" s="1"/>
  <c r="AM80" i="22"/>
  <c r="AM82" i="22" s="1"/>
  <c r="AM83" i="22" s="1"/>
  <c r="AL87" i="22"/>
  <c r="AL89" i="22" s="1"/>
  <c r="AL90" i="22" s="1"/>
  <c r="AL66" i="22"/>
  <c r="AL68" i="22" s="1"/>
  <c r="AL69" i="22" s="1"/>
  <c r="AL59" i="22"/>
  <c r="AL61" i="22" s="1"/>
  <c r="AL62" i="22" s="1"/>
  <c r="AL52" i="22"/>
  <c r="AL54" i="22" s="1"/>
  <c r="AL55" i="22" s="1"/>
  <c r="AL45" i="22"/>
  <c r="AL47" i="22" s="1"/>
  <c r="AL48" i="22" s="1"/>
  <c r="AL38" i="22"/>
  <c r="AL40" i="22" s="1"/>
  <c r="AL41" i="22" s="1"/>
  <c r="AM31" i="22"/>
  <c r="AM33" i="22" s="1"/>
  <c r="AM34" i="22" s="1"/>
  <c r="AL24" i="22"/>
  <c r="AL26" i="22" s="1"/>
  <c r="AL27" i="22" s="1"/>
  <c r="AE23" i="10"/>
  <c r="AF9" i="22"/>
  <c r="AF16" i="22" s="1"/>
  <c r="O12" i="10"/>
  <c r="P8" i="10" s="1"/>
  <c r="P11" i="10" s="1"/>
  <c r="AD15" i="10"/>
  <c r="AD27" i="10" s="1"/>
  <c r="AD31" i="21"/>
  <c r="AG17" i="10"/>
  <c r="AF7" i="10"/>
  <c r="AE105" i="10"/>
  <c r="AE71" i="10"/>
  <c r="AE37" i="10"/>
  <c r="AE7" i="21"/>
  <c r="AE88" i="10"/>
  <c r="AE54" i="10"/>
  <c r="AD36" i="21"/>
  <c r="AD18" i="21"/>
  <c r="AJ42" i="21"/>
  <c r="E58" i="10"/>
  <c r="C30" i="9"/>
  <c r="D12" i="11" s="1"/>
  <c r="K27" i="9"/>
  <c r="E20" i="9"/>
  <c r="E19" i="9"/>
  <c r="N28" i="9"/>
  <c r="E18" i="9"/>
  <c r="E17" i="9"/>
  <c r="Q13" i="9"/>
  <c r="D15" i="9"/>
  <c r="E22" i="9" l="1"/>
  <c r="Q79" i="10"/>
  <c r="Q84" i="10" s="1"/>
  <c r="R75" i="10" s="1"/>
  <c r="R76" i="10" s="1"/>
  <c r="Q96" i="10"/>
  <c r="Q99" i="10" s="1"/>
  <c r="Q102" i="10" s="1"/>
  <c r="E59" i="10"/>
  <c r="D21" i="21"/>
  <c r="E21" i="21" s="1"/>
  <c r="F21" i="21" s="1"/>
  <c r="G21" i="21" s="1"/>
  <c r="H21" i="21" s="1"/>
  <c r="I21" i="21" s="1"/>
  <c r="J21" i="21" s="1"/>
  <c r="K21" i="21" s="1"/>
  <c r="L21" i="21" s="1"/>
  <c r="M21" i="21" s="1"/>
  <c r="N21" i="21" s="1"/>
  <c r="O21" i="21" s="1"/>
  <c r="P21" i="21" s="1"/>
  <c r="Q21" i="21" s="1"/>
  <c r="R21" i="21" s="1"/>
  <c r="S21" i="21" s="1"/>
  <c r="T21" i="21" s="1"/>
  <c r="U21" i="21" s="1"/>
  <c r="V21" i="21" s="1"/>
  <c r="W21" i="21" s="1"/>
  <c r="X21" i="21" s="1"/>
  <c r="Y21" i="21" s="1"/>
  <c r="Z21" i="21" s="1"/>
  <c r="AA21" i="21" s="1"/>
  <c r="AB21" i="21" s="1"/>
  <c r="AC21" i="21" s="1"/>
  <c r="AD21" i="21" s="1"/>
  <c r="AE21" i="21" s="1"/>
  <c r="AF21" i="21" s="1"/>
  <c r="AG21" i="21" s="1"/>
  <c r="AH21" i="21" s="1"/>
  <c r="AI21" i="21" s="1"/>
  <c r="AJ21" i="21" s="1"/>
  <c r="AK21" i="21" s="1"/>
  <c r="AL21" i="21" s="1"/>
  <c r="AM21" i="21" s="1"/>
  <c r="AN21" i="21" s="1"/>
  <c r="AO21" i="21" s="1"/>
  <c r="AP21" i="21" s="1"/>
  <c r="AQ21" i="21" s="1"/>
  <c r="AR21" i="21" s="1"/>
  <c r="AS21" i="21" s="1"/>
  <c r="AT21" i="21" s="1"/>
  <c r="AU21" i="21" s="1"/>
  <c r="AV21" i="21" s="1"/>
  <c r="AW21" i="21" s="1"/>
  <c r="AX21" i="21" s="1"/>
  <c r="AY21" i="21" s="1"/>
  <c r="AZ21" i="21" s="1"/>
  <c r="BA21" i="21" s="1"/>
  <c r="M8" i="21"/>
  <c r="M10" i="21" s="1"/>
  <c r="L12" i="21"/>
  <c r="L14" i="21" s="1"/>
  <c r="K37" i="21"/>
  <c r="K22" i="21"/>
  <c r="K19" i="21"/>
  <c r="X13" i="22"/>
  <c r="X11" i="22"/>
  <c r="Y19" i="22"/>
  <c r="Y10" i="22"/>
  <c r="AF219" i="22"/>
  <c r="AF212" i="22"/>
  <c r="AF191" i="22"/>
  <c r="AF198" i="22"/>
  <c r="AF177" i="22"/>
  <c r="AF205" i="22"/>
  <c r="AF170" i="22"/>
  <c r="AF184" i="22"/>
  <c r="AF156" i="22"/>
  <c r="AF128" i="22"/>
  <c r="AF163" i="22"/>
  <c r="AF149" i="22"/>
  <c r="AF114" i="22"/>
  <c r="AF65" i="22"/>
  <c r="AF37" i="22"/>
  <c r="AF142" i="22"/>
  <c r="AF121" i="22"/>
  <c r="AF107" i="22"/>
  <c r="AF79" i="22"/>
  <c r="AF23" i="22"/>
  <c r="AF86" i="22"/>
  <c r="AF72" i="22"/>
  <c r="AF58" i="22"/>
  <c r="AF51" i="22"/>
  <c r="AF135" i="22"/>
  <c r="AF100" i="22"/>
  <c r="AF44" i="22"/>
  <c r="AF93" i="22"/>
  <c r="AF30" i="22"/>
  <c r="AM164" i="22"/>
  <c r="AM166" i="22" s="1"/>
  <c r="AM167" i="22" s="1"/>
  <c r="AM136" i="22"/>
  <c r="AM138" i="22" s="1"/>
  <c r="AM139" i="22" s="1"/>
  <c r="AM220" i="22"/>
  <c r="AM222" i="22" s="1"/>
  <c r="AM223" i="22" s="1"/>
  <c r="AM213" i="22"/>
  <c r="AM215" i="22" s="1"/>
  <c r="AM216" i="22" s="1"/>
  <c r="AM199" i="22"/>
  <c r="AM201" i="22" s="1"/>
  <c r="AM202" i="22" s="1"/>
  <c r="AM192" i="22"/>
  <c r="AM194" i="22" s="1"/>
  <c r="AM195" i="22" s="1"/>
  <c r="AM206" i="22"/>
  <c r="AM208" i="22" s="1"/>
  <c r="AM209" i="22" s="1"/>
  <c r="AM185" i="22"/>
  <c r="AM187" i="22" s="1"/>
  <c r="AM188" i="22" s="1"/>
  <c r="AM171" i="22"/>
  <c r="AM173" i="22" s="1"/>
  <c r="AM174" i="22" s="1"/>
  <c r="AM157" i="22"/>
  <c r="AM159" i="22" s="1"/>
  <c r="AM160" i="22" s="1"/>
  <c r="AM178" i="22"/>
  <c r="AM180" i="22" s="1"/>
  <c r="AM181" i="22" s="1"/>
  <c r="AM150" i="22"/>
  <c r="AM152" i="22" s="1"/>
  <c r="AM153" i="22" s="1"/>
  <c r="AN129" i="22"/>
  <c r="AN131" i="22" s="1"/>
  <c r="AN132" i="22" s="1"/>
  <c r="AM143" i="22"/>
  <c r="AM145" i="22" s="1"/>
  <c r="AM146" i="22" s="1"/>
  <c r="AM101" i="22"/>
  <c r="AM103" i="22" s="1"/>
  <c r="AM104" i="22" s="1"/>
  <c r="AN115" i="22"/>
  <c r="AN117" i="22" s="1"/>
  <c r="AN118" i="22" s="1"/>
  <c r="AM108" i="22"/>
  <c r="AM110" i="22" s="1"/>
  <c r="AM111" i="22" s="1"/>
  <c r="AM122" i="22"/>
  <c r="AM124" i="22" s="1"/>
  <c r="AM125" i="22" s="1"/>
  <c r="AM73" i="22"/>
  <c r="AM75" i="22" s="1"/>
  <c r="AM76" i="22" s="1"/>
  <c r="AN80" i="22"/>
  <c r="AN82" i="22" s="1"/>
  <c r="AN83" i="22" s="1"/>
  <c r="AM94" i="22"/>
  <c r="AM96" i="22" s="1"/>
  <c r="AM97" i="22" s="1"/>
  <c r="AM87" i="22"/>
  <c r="AM89" i="22" s="1"/>
  <c r="AM90" i="22" s="1"/>
  <c r="AM66" i="22"/>
  <c r="AM68" i="22" s="1"/>
  <c r="AM69" i="22" s="1"/>
  <c r="AM59" i="22"/>
  <c r="AM61" i="22" s="1"/>
  <c r="AM62" i="22" s="1"/>
  <c r="AM52" i="22"/>
  <c r="AM54" i="22" s="1"/>
  <c r="AM55" i="22" s="1"/>
  <c r="AM45" i="22"/>
  <c r="AM47" i="22" s="1"/>
  <c r="AM48" i="22" s="1"/>
  <c r="AM38" i="22"/>
  <c r="AM40" i="22" s="1"/>
  <c r="AM41" i="22" s="1"/>
  <c r="AN31" i="22"/>
  <c r="AN33" i="22" s="1"/>
  <c r="AN34" i="22" s="1"/>
  <c r="AM24" i="22"/>
  <c r="AM26" i="22" s="1"/>
  <c r="AM27" i="22" s="1"/>
  <c r="AF23" i="10"/>
  <c r="AG9" i="22"/>
  <c r="AG16" i="22" s="1"/>
  <c r="AE15" i="10"/>
  <c r="AE27" i="10" s="1"/>
  <c r="AE31" i="21"/>
  <c r="AH17" i="10"/>
  <c r="AE36" i="21"/>
  <c r="AE18" i="21"/>
  <c r="AG7" i="10"/>
  <c r="AF7" i="21"/>
  <c r="AF105" i="10"/>
  <c r="AF71" i="10"/>
  <c r="AF88" i="10"/>
  <c r="AF54" i="10"/>
  <c r="AF37" i="10"/>
  <c r="AK42" i="21"/>
  <c r="Q15" i="9"/>
  <c r="Q14" i="9"/>
  <c r="E108" i="10"/>
  <c r="H17" i="9"/>
  <c r="K28" i="9" s="1"/>
  <c r="D35" i="15"/>
  <c r="J28" i="15"/>
  <c r="I43" i="15"/>
  <c r="J33" i="15"/>
  <c r="D41" i="10"/>
  <c r="N20" i="9"/>
  <c r="N13" i="9" s="1"/>
  <c r="D22" i="21" l="1"/>
  <c r="K30" i="9"/>
  <c r="K10" i="9" s="1"/>
  <c r="D11" i="11"/>
  <c r="H22" i="9"/>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6" i="10" s="1"/>
  <c r="AD16" i="10" s="1"/>
  <c r="AE16" i="10" s="1"/>
  <c r="AF16" i="10" s="1"/>
  <c r="AG16" i="10" s="1"/>
  <c r="AH16" i="10" s="1"/>
  <c r="AI16" i="10" s="1"/>
  <c r="AJ16" i="10" s="1"/>
  <c r="AK16" i="10" s="1"/>
  <c r="AL16" i="10" s="1"/>
  <c r="AM16" i="10" s="1"/>
  <c r="AN16" i="10" s="1"/>
  <c r="AO16" i="10" s="1"/>
  <c r="AP16" i="10" s="1"/>
  <c r="AQ16" i="10" s="1"/>
  <c r="AR16" i="10" s="1"/>
  <c r="AS16" i="10" s="1"/>
  <c r="AT16" i="10" s="1"/>
  <c r="AU16" i="10" s="1"/>
  <c r="AV16" i="10" s="1"/>
  <c r="AW16" i="10" s="1"/>
  <c r="AX16" i="10" s="1"/>
  <c r="AY16" i="10" s="1"/>
  <c r="AZ16" i="10" s="1"/>
  <c r="BA16" i="10" s="1"/>
  <c r="Q80" i="10"/>
  <c r="Q82" i="10"/>
  <c r="Q85" i="10" s="1"/>
  <c r="Q101" i="10"/>
  <c r="R92" i="10" s="1"/>
  <c r="R93" i="10" s="1"/>
  <c r="Q97" i="10"/>
  <c r="E62" i="10"/>
  <c r="L19" i="21"/>
  <c r="L22" i="21"/>
  <c r="L37" i="21"/>
  <c r="N8" i="21"/>
  <c r="N10" i="21" s="1"/>
  <c r="M12" i="21"/>
  <c r="M14" i="21" s="1"/>
  <c r="Y20" i="22"/>
  <c r="Y12" i="22"/>
  <c r="X11" i="21" s="1"/>
  <c r="Z17" i="22"/>
  <c r="AN136" i="22"/>
  <c r="AN138" i="22" s="1"/>
  <c r="AN139" i="22" s="1"/>
  <c r="AN164" i="22"/>
  <c r="AN166" i="22" s="1"/>
  <c r="AN167" i="22" s="1"/>
  <c r="AG205" i="22"/>
  <c r="AG198" i="22"/>
  <c r="AG191" i="22"/>
  <c r="AG219" i="22"/>
  <c r="AG170" i="22"/>
  <c r="AG128" i="22"/>
  <c r="AG212" i="22"/>
  <c r="AG163" i="22"/>
  <c r="AG149" i="22"/>
  <c r="AG142" i="22"/>
  <c r="AG184" i="22"/>
  <c r="AG121" i="22"/>
  <c r="AG107" i="22"/>
  <c r="AG100" i="22"/>
  <c r="AG58" i="22"/>
  <c r="AG30" i="22"/>
  <c r="AG177" i="22"/>
  <c r="AG135" i="22"/>
  <c r="AG79" i="22"/>
  <c r="AG86" i="22"/>
  <c r="AG72" i="22"/>
  <c r="AG51" i="22"/>
  <c r="AG156" i="22"/>
  <c r="AG93" i="22"/>
  <c r="AG65" i="22"/>
  <c r="AG44" i="22"/>
  <c r="AG114" i="22"/>
  <c r="AG37" i="22"/>
  <c r="AG23" i="22"/>
  <c r="AN220" i="22"/>
  <c r="AN222" i="22" s="1"/>
  <c r="AN223" i="22" s="1"/>
  <c r="AN213" i="22"/>
  <c r="AN215" i="22" s="1"/>
  <c r="AN216" i="22" s="1"/>
  <c r="AN185" i="22"/>
  <c r="AN187" i="22" s="1"/>
  <c r="AN188" i="22" s="1"/>
  <c r="AN192" i="22"/>
  <c r="AN194" i="22" s="1"/>
  <c r="AN195" i="22" s="1"/>
  <c r="AN206" i="22"/>
  <c r="AN208" i="22" s="1"/>
  <c r="AN209" i="22" s="1"/>
  <c r="AN199" i="22"/>
  <c r="AN201" i="22" s="1"/>
  <c r="AN202" i="22" s="1"/>
  <c r="AN157" i="22"/>
  <c r="AN159" i="22" s="1"/>
  <c r="AN160" i="22" s="1"/>
  <c r="AN178" i="22"/>
  <c r="AN180" i="22" s="1"/>
  <c r="AN181" i="22" s="1"/>
  <c r="AN171" i="22"/>
  <c r="AN173" i="22" s="1"/>
  <c r="AN174" i="22" s="1"/>
  <c r="AN143" i="22"/>
  <c r="AN145" i="22" s="1"/>
  <c r="AN146" i="22" s="1"/>
  <c r="AO129" i="22"/>
  <c r="AO131" i="22" s="1"/>
  <c r="AO132" i="22" s="1"/>
  <c r="AN150" i="22"/>
  <c r="AN152" i="22" s="1"/>
  <c r="AN153" i="22" s="1"/>
  <c r="AN122" i="22"/>
  <c r="AN124" i="22" s="1"/>
  <c r="AN125" i="22" s="1"/>
  <c r="AO115" i="22"/>
  <c r="AO117" i="22" s="1"/>
  <c r="AO118" i="22" s="1"/>
  <c r="AN108" i="22"/>
  <c r="AN110" i="22" s="1"/>
  <c r="AN111" i="22" s="1"/>
  <c r="AN101" i="22"/>
  <c r="AN103" i="22" s="1"/>
  <c r="AN104" i="22" s="1"/>
  <c r="AN87" i="22"/>
  <c r="AN89" i="22" s="1"/>
  <c r="AN90" i="22" s="1"/>
  <c r="AN94" i="22"/>
  <c r="AN96" i="22" s="1"/>
  <c r="AN97" i="22" s="1"/>
  <c r="AO80" i="22"/>
  <c r="AO82" i="22" s="1"/>
  <c r="AO83" i="22" s="1"/>
  <c r="AN73" i="22"/>
  <c r="AN75" i="22" s="1"/>
  <c r="AN76" i="22" s="1"/>
  <c r="AN66" i="22"/>
  <c r="AN68" i="22" s="1"/>
  <c r="AN69" i="22" s="1"/>
  <c r="AN59" i="22"/>
  <c r="AN61" i="22" s="1"/>
  <c r="AN62" i="22" s="1"/>
  <c r="AN52" i="22"/>
  <c r="AN54" i="22" s="1"/>
  <c r="AN55" i="22" s="1"/>
  <c r="AN45" i="22"/>
  <c r="AN47" i="22" s="1"/>
  <c r="AN48" i="22" s="1"/>
  <c r="AN38" i="22"/>
  <c r="AN40" i="22" s="1"/>
  <c r="AN41" i="22" s="1"/>
  <c r="AO31" i="22"/>
  <c r="AO33" i="22" s="1"/>
  <c r="AO34" i="22" s="1"/>
  <c r="AN24" i="22"/>
  <c r="AN26" i="22" s="1"/>
  <c r="AN27" i="22" s="1"/>
  <c r="AG23" i="10"/>
  <c r="AH9" i="22"/>
  <c r="AH16" i="22" s="1"/>
  <c r="P12" i="10"/>
  <c r="Q8" i="10" s="1"/>
  <c r="Q11" i="10" s="1"/>
  <c r="AF15" i="10"/>
  <c r="AF27" i="10" s="1"/>
  <c r="AF31" i="21"/>
  <c r="AI17" i="10"/>
  <c r="AH7" i="10"/>
  <c r="AG7" i="21"/>
  <c r="AG88" i="10"/>
  <c r="AG54" i="10"/>
  <c r="AG71" i="10"/>
  <c r="AG105" i="10"/>
  <c r="AG37" i="10"/>
  <c r="D106" i="10"/>
  <c r="D9" i="10" s="1"/>
  <c r="D107" i="10"/>
  <c r="AF18" i="21"/>
  <c r="AF36" i="21"/>
  <c r="AL42" i="21"/>
  <c r="D42" i="10"/>
  <c r="D110" i="10" s="1"/>
  <c r="D34" i="15"/>
  <c r="D36" i="15" s="1"/>
  <c r="D45" i="10"/>
  <c r="E35" i="9"/>
  <c r="Q19" i="9"/>
  <c r="M10" i="11" s="1"/>
  <c r="J30" i="15"/>
  <c r="J29" i="15"/>
  <c r="R79" i="10" l="1"/>
  <c r="R80" i="10" s="1"/>
  <c r="E63" i="10"/>
  <c r="E67" i="10"/>
  <c r="F58" i="10" s="1"/>
  <c r="R96" i="10"/>
  <c r="R97" i="10" s="1"/>
  <c r="E65" i="10"/>
  <c r="E68" i="10" s="1"/>
  <c r="O8" i="21"/>
  <c r="O10" i="21" s="1"/>
  <c r="N12" i="21"/>
  <c r="N14" i="21" s="1"/>
  <c r="M19" i="21"/>
  <c r="M22" i="21"/>
  <c r="M37" i="21"/>
  <c r="Y13" i="22"/>
  <c r="Y11" i="22"/>
  <c r="Z19" i="22"/>
  <c r="Z10" i="22"/>
  <c r="AO164" i="22"/>
  <c r="AO166" i="22" s="1"/>
  <c r="AO167" i="22" s="1"/>
  <c r="AO136" i="22"/>
  <c r="AO138" i="22" s="1"/>
  <c r="AO139" i="22" s="1"/>
  <c r="AH184" i="22"/>
  <c r="AH219" i="22"/>
  <c r="AH198" i="22"/>
  <c r="AH212" i="22"/>
  <c r="AH205" i="22"/>
  <c r="AH163" i="22"/>
  <c r="AH156" i="22"/>
  <c r="AH121" i="22"/>
  <c r="AH191" i="22"/>
  <c r="AH177" i="22"/>
  <c r="AH170" i="22"/>
  <c r="AH149" i="22"/>
  <c r="AH142" i="22"/>
  <c r="AH135" i="22"/>
  <c r="AH128" i="22"/>
  <c r="AH93" i="22"/>
  <c r="AH86" i="22"/>
  <c r="AH79" i="22"/>
  <c r="AH51" i="22"/>
  <c r="AH72" i="22"/>
  <c r="AH65" i="22"/>
  <c r="AH58" i="22"/>
  <c r="AH44" i="22"/>
  <c r="AH114" i="22"/>
  <c r="AH107" i="22"/>
  <c r="AH100" i="22"/>
  <c r="AH37" i="22"/>
  <c r="AH30" i="22"/>
  <c r="AH23" i="22"/>
  <c r="AO220" i="22"/>
  <c r="AO222" i="22" s="1"/>
  <c r="AO223" i="22" s="1"/>
  <c r="AO213" i="22"/>
  <c r="AO215" i="22" s="1"/>
  <c r="AO216" i="22" s="1"/>
  <c r="AO192" i="22"/>
  <c r="AO194" i="22" s="1"/>
  <c r="AO195" i="22" s="1"/>
  <c r="AO185" i="22"/>
  <c r="AO187" i="22" s="1"/>
  <c r="AO188" i="22" s="1"/>
  <c r="AO199" i="22"/>
  <c r="AO201" i="22" s="1"/>
  <c r="AO202" i="22" s="1"/>
  <c r="AO206" i="22"/>
  <c r="AO208" i="22" s="1"/>
  <c r="AO209" i="22" s="1"/>
  <c r="AO157" i="22"/>
  <c r="AO159" i="22" s="1"/>
  <c r="AO160" i="22" s="1"/>
  <c r="AO171" i="22"/>
  <c r="AO173" i="22" s="1"/>
  <c r="AO174" i="22" s="1"/>
  <c r="AO178" i="22"/>
  <c r="AO180" i="22" s="1"/>
  <c r="AO181" i="22" s="1"/>
  <c r="AP129" i="22"/>
  <c r="AP131" i="22" s="1"/>
  <c r="AP132" i="22" s="1"/>
  <c r="AO150" i="22"/>
  <c r="AO152" i="22" s="1"/>
  <c r="AO153" i="22" s="1"/>
  <c r="AO143" i="22"/>
  <c r="AO145" i="22" s="1"/>
  <c r="AO146" i="22" s="1"/>
  <c r="AO101" i="22"/>
  <c r="AO103" i="22" s="1"/>
  <c r="AO104" i="22" s="1"/>
  <c r="AP115" i="22"/>
  <c r="AP117" i="22" s="1"/>
  <c r="AP118" i="22" s="1"/>
  <c r="AO108" i="22"/>
  <c r="AO110" i="22" s="1"/>
  <c r="AO111" i="22" s="1"/>
  <c r="AO122" i="22"/>
  <c r="AO124" i="22" s="1"/>
  <c r="AO125" i="22" s="1"/>
  <c r="AO73" i="22"/>
  <c r="AO75" i="22" s="1"/>
  <c r="AO76" i="22" s="1"/>
  <c r="AP80" i="22"/>
  <c r="AP82" i="22" s="1"/>
  <c r="AP83" i="22" s="1"/>
  <c r="AO87" i="22"/>
  <c r="AO89" i="22" s="1"/>
  <c r="AO90" i="22" s="1"/>
  <c r="AO94" i="22"/>
  <c r="AO96" i="22" s="1"/>
  <c r="AO97" i="22" s="1"/>
  <c r="AO66" i="22"/>
  <c r="AO68" i="22" s="1"/>
  <c r="AO69" i="22" s="1"/>
  <c r="AO59" i="22"/>
  <c r="AO61" i="22" s="1"/>
  <c r="AO62" i="22" s="1"/>
  <c r="AO52" i="22"/>
  <c r="AO54" i="22" s="1"/>
  <c r="AO55" i="22" s="1"/>
  <c r="AO45" i="22"/>
  <c r="AO47" i="22" s="1"/>
  <c r="AO48" i="22" s="1"/>
  <c r="AO38" i="22"/>
  <c r="AO40" i="22" s="1"/>
  <c r="AO41" i="22" s="1"/>
  <c r="AP31" i="22"/>
  <c r="AP33" i="22" s="1"/>
  <c r="AP34" i="22" s="1"/>
  <c r="AO24" i="22"/>
  <c r="AO26" i="22" s="1"/>
  <c r="AO27" i="22" s="1"/>
  <c r="AH23" i="10"/>
  <c r="AI9" i="22"/>
  <c r="AI16" i="22" s="1"/>
  <c r="AG15" i="10"/>
  <c r="AG27" i="10" s="1"/>
  <c r="AG31" i="21"/>
  <c r="D18" i="10"/>
  <c r="AJ17" i="10"/>
  <c r="D24" i="21"/>
  <c r="D39" i="21"/>
  <c r="AG18" i="21"/>
  <c r="AG36" i="21"/>
  <c r="AI7" i="10"/>
  <c r="AH88" i="10"/>
  <c r="AH54" i="10"/>
  <c r="AH37" i="10"/>
  <c r="AH7" i="21"/>
  <c r="AH105" i="10"/>
  <c r="AH71" i="10"/>
  <c r="AM42" i="21"/>
  <c r="D50" i="10"/>
  <c r="D114" i="10"/>
  <c r="D25" i="21" s="1"/>
  <c r="Q30" i="9"/>
  <c r="J45" i="15"/>
  <c r="J35" i="15"/>
  <c r="Q16" i="9"/>
  <c r="Q28" i="9"/>
  <c r="J36" i="15"/>
  <c r="J46" i="15"/>
  <c r="D48" i="10"/>
  <c r="D46" i="10"/>
  <c r="N10" i="9"/>
  <c r="W27" i="9" s="1"/>
  <c r="W37" i="9" s="1"/>
  <c r="D112" i="10"/>
  <c r="D111" i="10"/>
  <c r="R84" i="10" l="1"/>
  <c r="S75" i="10" s="1"/>
  <c r="S76" i="10" s="1"/>
  <c r="R82" i="10"/>
  <c r="R85" i="10" s="1"/>
  <c r="R101" i="10"/>
  <c r="S92" i="10" s="1"/>
  <c r="R99" i="10"/>
  <c r="R102" i="10" s="1"/>
  <c r="F59" i="10"/>
  <c r="N22" i="21"/>
  <c r="N19" i="21"/>
  <c r="N37" i="21"/>
  <c r="P8" i="21"/>
  <c r="P10" i="21" s="1"/>
  <c r="O12" i="21"/>
  <c r="O14" i="21" s="1"/>
  <c r="Z20" i="22"/>
  <c r="Z12" i="22"/>
  <c r="Y11" i="21" s="1"/>
  <c r="AA17" i="22"/>
  <c r="AP136" i="22"/>
  <c r="AP138" i="22" s="1"/>
  <c r="AP139" i="22" s="1"/>
  <c r="AI219" i="22"/>
  <c r="AI177" i="22"/>
  <c r="AI212" i="22"/>
  <c r="AI205" i="22"/>
  <c r="AI149" i="22"/>
  <c r="AI142" i="22"/>
  <c r="AI135" i="22"/>
  <c r="AI191" i="22"/>
  <c r="AI184" i="22"/>
  <c r="AI198" i="22"/>
  <c r="AI163" i="22"/>
  <c r="AI72" i="22"/>
  <c r="AI44" i="22"/>
  <c r="AI23" i="22"/>
  <c r="AI114" i="22"/>
  <c r="AI86" i="22"/>
  <c r="AI65" i="22"/>
  <c r="AI58" i="22"/>
  <c r="AI51" i="22"/>
  <c r="AI170" i="22"/>
  <c r="AI121" i="22"/>
  <c r="AI107" i="22"/>
  <c r="AI100" i="22"/>
  <c r="AI93" i="22"/>
  <c r="AI37" i="22"/>
  <c r="AI30" i="22"/>
  <c r="AI156" i="22"/>
  <c r="AI128" i="22"/>
  <c r="AI79" i="22"/>
  <c r="AP164" i="22"/>
  <c r="AP166" i="22" s="1"/>
  <c r="AP167" i="22" s="1"/>
  <c r="AP213" i="22"/>
  <c r="AP215" i="22" s="1"/>
  <c r="AP216" i="22" s="1"/>
  <c r="AP220" i="22"/>
  <c r="AP222" i="22" s="1"/>
  <c r="AP223" i="22" s="1"/>
  <c r="AP185" i="22"/>
  <c r="AP187" i="22" s="1"/>
  <c r="AP188" i="22" s="1"/>
  <c r="AP192" i="22"/>
  <c r="AP194" i="22" s="1"/>
  <c r="AP195" i="22" s="1"/>
  <c r="AP206" i="22"/>
  <c r="AP208" i="22" s="1"/>
  <c r="AP209" i="22" s="1"/>
  <c r="AP199" i="22"/>
  <c r="AP201" i="22" s="1"/>
  <c r="AP202" i="22" s="1"/>
  <c r="AP171" i="22"/>
  <c r="AP173" i="22" s="1"/>
  <c r="AP174" i="22" s="1"/>
  <c r="AP178" i="22"/>
  <c r="AP180" i="22" s="1"/>
  <c r="AP181" i="22" s="1"/>
  <c r="AP157" i="22"/>
  <c r="AP159" i="22" s="1"/>
  <c r="AP160" i="22" s="1"/>
  <c r="AQ129" i="22"/>
  <c r="AQ131" i="22" s="1"/>
  <c r="AQ132" i="22" s="1"/>
  <c r="AP150" i="22"/>
  <c r="AP152" i="22" s="1"/>
  <c r="AP153" i="22" s="1"/>
  <c r="AP143" i="22"/>
  <c r="AP145" i="22" s="1"/>
  <c r="AP146" i="22" s="1"/>
  <c r="AP122" i="22"/>
  <c r="AP124" i="22" s="1"/>
  <c r="AP125" i="22" s="1"/>
  <c r="AQ115" i="22"/>
  <c r="AQ117" i="22" s="1"/>
  <c r="AQ118" i="22" s="1"/>
  <c r="AP108" i="22"/>
  <c r="AP110" i="22" s="1"/>
  <c r="AP111" i="22" s="1"/>
  <c r="AP101" i="22"/>
  <c r="AP103" i="22" s="1"/>
  <c r="AP104" i="22" s="1"/>
  <c r="AP73" i="22"/>
  <c r="AP75" i="22" s="1"/>
  <c r="AP76" i="22" s="1"/>
  <c r="AP94" i="22"/>
  <c r="AP96" i="22" s="1"/>
  <c r="AP97" i="22" s="1"/>
  <c r="AQ80" i="22"/>
  <c r="AQ82" i="22" s="1"/>
  <c r="AQ83" i="22" s="1"/>
  <c r="AP87" i="22"/>
  <c r="AP89" i="22" s="1"/>
  <c r="AP90" i="22" s="1"/>
  <c r="AP66" i="22"/>
  <c r="AP68" i="22" s="1"/>
  <c r="AP69" i="22" s="1"/>
  <c r="AP59" i="22"/>
  <c r="AP61" i="22" s="1"/>
  <c r="AP62" i="22" s="1"/>
  <c r="AP52" i="22"/>
  <c r="AP54" i="22" s="1"/>
  <c r="AP55" i="22" s="1"/>
  <c r="AP45" i="22"/>
  <c r="AP47" i="22" s="1"/>
  <c r="AP48" i="22" s="1"/>
  <c r="AP38" i="22"/>
  <c r="AP40" i="22" s="1"/>
  <c r="AP41" i="22" s="1"/>
  <c r="AQ31" i="22"/>
  <c r="AQ33" i="22" s="1"/>
  <c r="AQ34" i="22" s="1"/>
  <c r="AP24" i="22"/>
  <c r="AP26" i="22" s="1"/>
  <c r="AP27" i="22" s="1"/>
  <c r="AI23" i="10"/>
  <c r="AJ9" i="22"/>
  <c r="AJ16" i="22" s="1"/>
  <c r="E41" i="10"/>
  <c r="E107" i="10" s="1"/>
  <c r="Q12" i="10"/>
  <c r="R8" i="10" s="1"/>
  <c r="R11" i="10" s="1"/>
  <c r="AH15" i="10"/>
  <c r="AH27" i="10" s="1"/>
  <c r="AH31" i="21"/>
  <c r="D19" i="10"/>
  <c r="D20" i="10"/>
  <c r="D115" i="10"/>
  <c r="AK17" i="10"/>
  <c r="AH36" i="21"/>
  <c r="AH18" i="21"/>
  <c r="AJ7" i="10"/>
  <c r="AI105" i="10"/>
  <c r="AI71" i="10"/>
  <c r="AI37" i="10"/>
  <c r="AI54" i="10"/>
  <c r="AI7" i="21"/>
  <c r="AI88" i="10"/>
  <c r="AN42" i="21"/>
  <c r="D118" i="10"/>
  <c r="D51" i="10"/>
  <c r="D119" i="10" s="1"/>
  <c r="D117" i="10"/>
  <c r="F108" i="10"/>
  <c r="K12" i="9"/>
  <c r="I12" i="11"/>
  <c r="G38" i="15"/>
  <c r="Q31" i="9" l="1"/>
  <c r="D40" i="21"/>
  <c r="S79" i="10"/>
  <c r="S80" i="10" s="1"/>
  <c r="S93" i="10"/>
  <c r="S96" i="10" s="1"/>
  <c r="S97" i="10" s="1"/>
  <c r="F62" i="10"/>
  <c r="Q29" i="9"/>
  <c r="Q8" i="21"/>
  <c r="Q10" i="21" s="1"/>
  <c r="P12" i="21"/>
  <c r="P14" i="21" s="1"/>
  <c r="O22" i="21"/>
  <c r="O37" i="21"/>
  <c r="O19" i="21"/>
  <c r="Z13" i="22"/>
  <c r="Z11" i="22"/>
  <c r="AA19" i="22"/>
  <c r="AA10" i="22"/>
  <c r="AQ164" i="22"/>
  <c r="AQ166" i="22" s="1"/>
  <c r="AQ167" i="22" s="1"/>
  <c r="AJ219" i="22"/>
  <c r="AJ212" i="22"/>
  <c r="AJ191" i="22"/>
  <c r="AJ184" i="22"/>
  <c r="AJ198" i="22"/>
  <c r="AJ177" i="22"/>
  <c r="AJ170" i="22"/>
  <c r="AJ135" i="22"/>
  <c r="AJ156" i="22"/>
  <c r="AJ114" i="22"/>
  <c r="AJ65" i="22"/>
  <c r="AJ37" i="22"/>
  <c r="AJ107" i="22"/>
  <c r="AJ121" i="22"/>
  <c r="AJ100" i="22"/>
  <c r="AJ93" i="22"/>
  <c r="AJ44" i="22"/>
  <c r="AJ30" i="22"/>
  <c r="AJ205" i="22"/>
  <c r="AJ142" i="22"/>
  <c r="AJ128" i="22"/>
  <c r="AJ163" i="22"/>
  <c r="AJ149" i="22"/>
  <c r="AJ79" i="22"/>
  <c r="AJ23" i="22"/>
  <c r="AJ86" i="22"/>
  <c r="AJ72" i="22"/>
  <c r="AJ58" i="22"/>
  <c r="AJ51" i="22"/>
  <c r="AQ136" i="22"/>
  <c r="AQ138" i="22" s="1"/>
  <c r="AQ139" i="22" s="1"/>
  <c r="AQ220" i="22"/>
  <c r="AQ222" i="22" s="1"/>
  <c r="AQ223" i="22" s="1"/>
  <c r="AQ213" i="22"/>
  <c r="AQ215" i="22" s="1"/>
  <c r="AQ216" i="22" s="1"/>
  <c r="AQ199" i="22"/>
  <c r="AQ201" i="22" s="1"/>
  <c r="AQ202" i="22" s="1"/>
  <c r="AQ192" i="22"/>
  <c r="AQ194" i="22" s="1"/>
  <c r="AQ195" i="22" s="1"/>
  <c r="AQ206" i="22"/>
  <c r="AQ208" i="22" s="1"/>
  <c r="AQ209" i="22" s="1"/>
  <c r="AQ185" i="22"/>
  <c r="AQ187" i="22" s="1"/>
  <c r="AQ188" i="22" s="1"/>
  <c r="AQ157" i="22"/>
  <c r="AQ159" i="22" s="1"/>
  <c r="AQ160" i="22" s="1"/>
  <c r="AQ171" i="22"/>
  <c r="AQ173" i="22" s="1"/>
  <c r="AQ174" i="22" s="1"/>
  <c r="AQ178" i="22"/>
  <c r="AQ180" i="22" s="1"/>
  <c r="AQ181" i="22" s="1"/>
  <c r="AQ143" i="22"/>
  <c r="AQ145" i="22" s="1"/>
  <c r="AQ146" i="22" s="1"/>
  <c r="AR129" i="22"/>
  <c r="AR131" i="22" s="1"/>
  <c r="AR132" i="22" s="1"/>
  <c r="AQ150" i="22"/>
  <c r="AQ152" i="22" s="1"/>
  <c r="AQ153" i="22" s="1"/>
  <c r="AQ101" i="22"/>
  <c r="AQ103" i="22" s="1"/>
  <c r="AQ104" i="22" s="1"/>
  <c r="AR115" i="22"/>
  <c r="AR117" i="22" s="1"/>
  <c r="AR118" i="22" s="1"/>
  <c r="AQ108" i="22"/>
  <c r="AQ110" i="22" s="1"/>
  <c r="AQ111" i="22" s="1"/>
  <c r="AQ122" i="22"/>
  <c r="AQ124" i="22" s="1"/>
  <c r="AQ125" i="22" s="1"/>
  <c r="AQ87" i="22"/>
  <c r="AQ89" i="22" s="1"/>
  <c r="AQ90" i="22" s="1"/>
  <c r="AR80" i="22"/>
  <c r="AR82" i="22" s="1"/>
  <c r="AR83" i="22" s="1"/>
  <c r="AQ73" i="22"/>
  <c r="AQ75" i="22" s="1"/>
  <c r="AQ76" i="22" s="1"/>
  <c r="AQ94" i="22"/>
  <c r="AQ96" i="22" s="1"/>
  <c r="AQ97" i="22" s="1"/>
  <c r="AQ66" i="22"/>
  <c r="AQ68" i="22" s="1"/>
  <c r="AQ69" i="22" s="1"/>
  <c r="AQ59" i="22"/>
  <c r="AQ61" i="22" s="1"/>
  <c r="AQ62" i="22" s="1"/>
  <c r="AQ52" i="22"/>
  <c r="AQ54" i="22" s="1"/>
  <c r="AQ55" i="22" s="1"/>
  <c r="AQ45" i="22"/>
  <c r="AQ47" i="22" s="1"/>
  <c r="AQ48" i="22" s="1"/>
  <c r="AQ38" i="22"/>
  <c r="AQ40" i="22" s="1"/>
  <c r="AQ41" i="22" s="1"/>
  <c r="AR31" i="22"/>
  <c r="AR33" i="22" s="1"/>
  <c r="AR34" i="22" s="1"/>
  <c r="AQ24" i="22"/>
  <c r="AQ26" i="22" s="1"/>
  <c r="AQ27" i="22" s="1"/>
  <c r="AJ23" i="10"/>
  <c r="AK9" i="22"/>
  <c r="AK16" i="22" s="1"/>
  <c r="E42" i="10"/>
  <c r="E110" i="10" s="1"/>
  <c r="E24" i="21" s="1"/>
  <c r="AO26" i="20"/>
  <c r="AR26" i="20" s="1"/>
  <c r="Y17" i="20"/>
  <c r="AB17" i="20" s="1"/>
  <c r="Y16" i="20"/>
  <c r="AB16" i="20" s="1"/>
  <c r="AO28" i="20"/>
  <c r="AR28" i="20" s="1"/>
  <c r="Y28" i="20"/>
  <c r="AB28" i="20" s="1"/>
  <c r="Y12" i="20"/>
  <c r="AB12" i="20" s="1"/>
  <c r="AO27" i="20"/>
  <c r="AR27" i="20" s="1"/>
  <c r="Y25" i="20"/>
  <c r="AB25" i="20" s="1"/>
  <c r="AO25" i="20"/>
  <c r="AR25" i="20" s="1"/>
  <c r="Y13" i="20"/>
  <c r="AB13" i="20" s="1"/>
  <c r="AO29" i="20"/>
  <c r="AR29" i="20" s="1"/>
  <c r="Y29" i="20"/>
  <c r="AB29" i="20" s="1"/>
  <c r="Y24" i="20"/>
  <c r="AB24" i="20" s="1"/>
  <c r="Y9" i="20"/>
  <c r="AB9" i="20" s="1"/>
  <c r="AO30" i="20"/>
  <c r="AR30" i="20" s="1"/>
  <c r="AO24" i="20"/>
  <c r="AR24" i="20" s="1"/>
  <c r="AO23" i="20"/>
  <c r="AR23" i="20" s="1"/>
  <c r="AO31" i="20"/>
  <c r="AR31" i="20" s="1"/>
  <c r="Y26" i="20"/>
  <c r="AB26" i="20" s="1"/>
  <c r="Y27" i="20"/>
  <c r="AB27" i="20" s="1"/>
  <c r="Y31" i="20"/>
  <c r="AB31" i="20" s="1"/>
  <c r="I31" i="20"/>
  <c r="L31" i="20" s="1"/>
  <c r="Y10" i="20"/>
  <c r="AB10" i="20" s="1"/>
  <c r="Y14" i="20"/>
  <c r="AB14" i="20" s="1"/>
  <c r="I23" i="20"/>
  <c r="L23" i="20" s="1"/>
  <c r="I29" i="20"/>
  <c r="L29" i="20" s="1"/>
  <c r="I26" i="20"/>
  <c r="L26" i="20" s="1"/>
  <c r="I24" i="20"/>
  <c r="L24" i="20" s="1"/>
  <c r="Y23" i="20"/>
  <c r="AB23" i="20" s="1"/>
  <c r="I27" i="20"/>
  <c r="L27" i="20" s="1"/>
  <c r="I30" i="20"/>
  <c r="L30" i="20" s="1"/>
  <c r="I25" i="20"/>
  <c r="L25" i="20" s="1"/>
  <c r="Y15" i="20"/>
  <c r="AB15" i="20" s="1"/>
  <c r="Y11" i="20"/>
  <c r="AB11" i="20" s="1"/>
  <c r="Y30" i="20"/>
  <c r="AB30" i="20" s="1"/>
  <c r="I28" i="20"/>
  <c r="L28" i="20" s="1"/>
  <c r="E106" i="10"/>
  <c r="E9" i="10" s="1"/>
  <c r="I16" i="20"/>
  <c r="L16" i="20" s="1"/>
  <c r="I11" i="20"/>
  <c r="L11" i="20" s="1"/>
  <c r="I15" i="20"/>
  <c r="L15" i="20" s="1"/>
  <c r="I10" i="20"/>
  <c r="L10" i="20" s="1"/>
  <c r="I14" i="20"/>
  <c r="L14" i="20" s="1"/>
  <c r="I9" i="20"/>
  <c r="I17" i="20"/>
  <c r="L17" i="20" s="1"/>
  <c r="I12" i="20"/>
  <c r="L12" i="20" s="1"/>
  <c r="D20" i="21"/>
  <c r="D23" i="21" s="1"/>
  <c r="I13" i="20"/>
  <c r="L13" i="20" s="1"/>
  <c r="AI15" i="10"/>
  <c r="AI27" i="10" s="1"/>
  <c r="AI31" i="21"/>
  <c r="E18" i="10"/>
  <c r="E19" i="10" s="1"/>
  <c r="E40" i="21" s="1"/>
  <c r="AL17" i="10"/>
  <c r="AK7" i="10"/>
  <c r="AJ7" i="21"/>
  <c r="AJ105" i="10"/>
  <c r="AJ71" i="10"/>
  <c r="AJ88" i="10"/>
  <c r="AJ54" i="10"/>
  <c r="AJ37" i="10"/>
  <c r="AI18" i="21"/>
  <c r="AI36" i="21"/>
  <c r="AO42" i="21"/>
  <c r="Q20" i="9"/>
  <c r="N11" i="11" s="1"/>
  <c r="D38" i="21" l="1"/>
  <c r="D41" i="21" s="1"/>
  <c r="D43" i="21" s="1"/>
  <c r="D27" i="21" s="1"/>
  <c r="S82" i="10"/>
  <c r="S85" i="10" s="1"/>
  <c r="S84" i="10"/>
  <c r="T75" i="10" s="1"/>
  <c r="T76" i="10" s="1"/>
  <c r="S101" i="10"/>
  <c r="T92" i="10" s="1"/>
  <c r="T93" i="10" s="1"/>
  <c r="F63" i="10"/>
  <c r="F67" i="10"/>
  <c r="S99" i="10"/>
  <c r="S102" i="10" s="1"/>
  <c r="F65" i="10"/>
  <c r="F68" i="10" s="1"/>
  <c r="AS30" i="20"/>
  <c r="AC23" i="20"/>
  <c r="M26" i="20"/>
  <c r="AS28" i="20"/>
  <c r="AC16" i="20"/>
  <c r="M15" i="20"/>
  <c r="AC11" i="20"/>
  <c r="AS25" i="20"/>
  <c r="AC13" i="20"/>
  <c r="M16" i="20"/>
  <c r="AC24" i="20"/>
  <c r="AC31" i="20"/>
  <c r="AC10" i="20"/>
  <c r="M13" i="20"/>
  <c r="AC29" i="20"/>
  <c r="M28" i="20"/>
  <c r="AS31" i="20"/>
  <c r="M10" i="20"/>
  <c r="AC26" i="20"/>
  <c r="M29" i="20"/>
  <c r="AS27" i="20"/>
  <c r="M27" i="20"/>
  <c r="AC15" i="20"/>
  <c r="AC27" i="20"/>
  <c r="M30" i="20"/>
  <c r="M9" i="20"/>
  <c r="AC25" i="20"/>
  <c r="M24" i="20"/>
  <c r="AC28" i="20"/>
  <c r="AS29" i="20"/>
  <c r="AC17" i="20"/>
  <c r="M25" i="20"/>
  <c r="AS23" i="20"/>
  <c r="M14" i="20"/>
  <c r="AS26" i="20"/>
  <c r="AC14" i="20"/>
  <c r="M17" i="20"/>
  <c r="AS24" i="20"/>
  <c r="AC12" i="20"/>
  <c r="M11" i="20"/>
  <c r="M23" i="20"/>
  <c r="AC30" i="20"/>
  <c r="AC9" i="20"/>
  <c r="M12" i="20"/>
  <c r="M31" i="20"/>
  <c r="E45" i="10"/>
  <c r="E46" i="10" s="1"/>
  <c r="E39" i="21"/>
  <c r="P37" i="21"/>
  <c r="P19" i="21"/>
  <c r="P22" i="21"/>
  <c r="R8" i="21"/>
  <c r="R10" i="21" s="1"/>
  <c r="Q12" i="21"/>
  <c r="Q14" i="21" s="1"/>
  <c r="AA20" i="22"/>
  <c r="AA12" i="22"/>
  <c r="Z11" i="21" s="1"/>
  <c r="AB17" i="22"/>
  <c r="AR136" i="22"/>
  <c r="AR138" i="22" s="1"/>
  <c r="AR139" i="22" s="1"/>
  <c r="AK205" i="22"/>
  <c r="AK198" i="22"/>
  <c r="AK191" i="22"/>
  <c r="AK177" i="22"/>
  <c r="AK170" i="22"/>
  <c r="AK128" i="22"/>
  <c r="AK219" i="22"/>
  <c r="AK156" i="22"/>
  <c r="AK163" i="22"/>
  <c r="AK149" i="22"/>
  <c r="AK212" i="22"/>
  <c r="AK184" i="22"/>
  <c r="AK107" i="22"/>
  <c r="AK100" i="22"/>
  <c r="AK58" i="22"/>
  <c r="AK30" i="22"/>
  <c r="AK121" i="22"/>
  <c r="AK142" i="22"/>
  <c r="AK37" i="22"/>
  <c r="AK114" i="22"/>
  <c r="AK79" i="22"/>
  <c r="AK23" i="22"/>
  <c r="AK135" i="22"/>
  <c r="AK86" i="22"/>
  <c r="AK72" i="22"/>
  <c r="AK51" i="22"/>
  <c r="AK93" i="22"/>
  <c r="AK44" i="22"/>
  <c r="AK65" i="22"/>
  <c r="AR164" i="22"/>
  <c r="AR166" i="22" s="1"/>
  <c r="AR167" i="22" s="1"/>
  <c r="AR220" i="22"/>
  <c r="AR222" i="22" s="1"/>
  <c r="AR223" i="22" s="1"/>
  <c r="AR213" i="22"/>
  <c r="AR215" i="22" s="1"/>
  <c r="AR216" i="22" s="1"/>
  <c r="AR192" i="22"/>
  <c r="AR194" i="22" s="1"/>
  <c r="AR195" i="22" s="1"/>
  <c r="AR206" i="22"/>
  <c r="AR208" i="22" s="1"/>
  <c r="AR209" i="22" s="1"/>
  <c r="AR199" i="22"/>
  <c r="AR201" i="22" s="1"/>
  <c r="AR202" i="22" s="1"/>
  <c r="AR185" i="22"/>
  <c r="AR187" i="22" s="1"/>
  <c r="AR188" i="22" s="1"/>
  <c r="AR171" i="22"/>
  <c r="AR173" i="22" s="1"/>
  <c r="AR174" i="22" s="1"/>
  <c r="AR178" i="22"/>
  <c r="AR180" i="22" s="1"/>
  <c r="AR181" i="22" s="1"/>
  <c r="AR157" i="22"/>
  <c r="AR159" i="22" s="1"/>
  <c r="AR160" i="22" s="1"/>
  <c r="AS129" i="22"/>
  <c r="AS131" i="22" s="1"/>
  <c r="AS132" i="22" s="1"/>
  <c r="AR150" i="22"/>
  <c r="AR152" i="22" s="1"/>
  <c r="AR153" i="22" s="1"/>
  <c r="AR143" i="22"/>
  <c r="AR145" i="22" s="1"/>
  <c r="AR146" i="22" s="1"/>
  <c r="AR122" i="22"/>
  <c r="AR124" i="22" s="1"/>
  <c r="AR125" i="22" s="1"/>
  <c r="AS115" i="22"/>
  <c r="AS117" i="22" s="1"/>
  <c r="AS118" i="22" s="1"/>
  <c r="AR108" i="22"/>
  <c r="AR110" i="22" s="1"/>
  <c r="AR111" i="22" s="1"/>
  <c r="AR101" i="22"/>
  <c r="AR103" i="22" s="1"/>
  <c r="AR104" i="22" s="1"/>
  <c r="AR94" i="22"/>
  <c r="AR96" i="22" s="1"/>
  <c r="AR97" i="22" s="1"/>
  <c r="AR87" i="22"/>
  <c r="AR89" i="22" s="1"/>
  <c r="AR90" i="22" s="1"/>
  <c r="AS80" i="22"/>
  <c r="AS82" i="22" s="1"/>
  <c r="AS83" i="22" s="1"/>
  <c r="AR73" i="22"/>
  <c r="AR75" i="22" s="1"/>
  <c r="AR76" i="22" s="1"/>
  <c r="AR66" i="22"/>
  <c r="AR68" i="22" s="1"/>
  <c r="AR69" i="22" s="1"/>
  <c r="AR59" i="22"/>
  <c r="AR61" i="22" s="1"/>
  <c r="AR62" i="22" s="1"/>
  <c r="AR52" i="22"/>
  <c r="AR54" i="22" s="1"/>
  <c r="AR55" i="22" s="1"/>
  <c r="AR45" i="22"/>
  <c r="AR47" i="22" s="1"/>
  <c r="AR48" i="22" s="1"/>
  <c r="AR38" i="22"/>
  <c r="AR40" i="22" s="1"/>
  <c r="AR41" i="22" s="1"/>
  <c r="AS31" i="22"/>
  <c r="AS33" i="22" s="1"/>
  <c r="AS34" i="22" s="1"/>
  <c r="AR24" i="22"/>
  <c r="AR26" i="22" s="1"/>
  <c r="AR27" i="22" s="1"/>
  <c r="N13" i="20"/>
  <c r="AT27" i="20"/>
  <c r="AD13" i="20"/>
  <c r="AD28" i="20"/>
  <c r="AD12" i="20"/>
  <c r="AD25" i="20"/>
  <c r="AT23" i="20"/>
  <c r="AT30" i="20"/>
  <c r="AT31" i="20"/>
  <c r="AD31" i="20"/>
  <c r="AT29" i="20"/>
  <c r="AD14" i="20"/>
  <c r="N25" i="20"/>
  <c r="N28" i="20"/>
  <c r="AT26" i="20"/>
  <c r="AD27" i="20"/>
  <c r="AD11" i="20"/>
  <c r="AT25" i="20"/>
  <c r="AD30" i="20"/>
  <c r="N12" i="20"/>
  <c r="N29" i="20"/>
  <c r="AD15" i="20"/>
  <c r="AT28" i="20"/>
  <c r="N14" i="20"/>
  <c r="AD26" i="20"/>
  <c r="AT24" i="20"/>
  <c r="AD23" i="20"/>
  <c r="N26" i="20"/>
  <c r="AD10" i="20"/>
  <c r="N27" i="20"/>
  <c r="AD24" i="20"/>
  <c r="AD29" i="20"/>
  <c r="AD16" i="20"/>
  <c r="AD9" i="20"/>
  <c r="N15" i="20"/>
  <c r="N11" i="20"/>
  <c r="N30" i="20"/>
  <c r="AD17" i="20"/>
  <c r="N24" i="20"/>
  <c r="N16" i="20"/>
  <c r="N31" i="20"/>
  <c r="N10" i="20"/>
  <c r="N23" i="20"/>
  <c r="N17" i="20"/>
  <c r="N9" i="20"/>
  <c r="AK23" i="10"/>
  <c r="AL9" i="22"/>
  <c r="AL16" i="22" s="1"/>
  <c r="L9" i="20"/>
  <c r="E20" i="21"/>
  <c r="Q32" i="9"/>
  <c r="Q34" i="9" s="1"/>
  <c r="Q24" i="9" s="1"/>
  <c r="N14" i="11" s="1"/>
  <c r="R12" i="10"/>
  <c r="S8" i="10" s="1"/>
  <c r="S11" i="10" s="1"/>
  <c r="AJ15" i="10"/>
  <c r="AJ27" i="10" s="1"/>
  <c r="AJ31" i="21"/>
  <c r="E20" i="10"/>
  <c r="F18" i="10" s="1"/>
  <c r="F19" i="10" s="1"/>
  <c r="F40" i="21" s="1"/>
  <c r="AM17" i="10"/>
  <c r="AL7" i="10"/>
  <c r="AK7" i="21"/>
  <c r="AK88" i="10"/>
  <c r="AK54" i="10"/>
  <c r="AK37" i="10"/>
  <c r="AK105" i="10"/>
  <c r="AK71" i="10"/>
  <c r="AJ36" i="21"/>
  <c r="AJ18" i="21"/>
  <c r="AP42" i="21"/>
  <c r="Q23" i="9"/>
  <c r="E112" i="10"/>
  <c r="E111" i="10"/>
  <c r="E23" i="21" l="1"/>
  <c r="E38" i="21" s="1"/>
  <c r="E41" i="21" s="1"/>
  <c r="E43" i="21" s="1"/>
  <c r="E27" i="21" s="1"/>
  <c r="O16" i="20"/>
  <c r="P16" i="20" s="1"/>
  <c r="D26" i="21"/>
  <c r="D28" i="21" s="1"/>
  <c r="D32" i="21" s="1"/>
  <c r="D33" i="21" s="1"/>
  <c r="O15" i="20"/>
  <c r="P15" i="20" s="1"/>
  <c r="AE23" i="20"/>
  <c r="AF23" i="20" s="1"/>
  <c r="AE30" i="20"/>
  <c r="AF30" i="20" s="1"/>
  <c r="AU29" i="20"/>
  <c r="AV29" i="20" s="1"/>
  <c r="AU27" i="20"/>
  <c r="AV27" i="20" s="1"/>
  <c r="O29" i="20"/>
  <c r="P29" i="20" s="1"/>
  <c r="O25" i="20"/>
  <c r="P25" i="20" s="1"/>
  <c r="AE29" i="20"/>
  <c r="AF29" i="20" s="1"/>
  <c r="O26" i="20"/>
  <c r="P26" i="20" s="1"/>
  <c r="T79" i="10"/>
  <c r="T84" i="10" s="1"/>
  <c r="U75" i="10" s="1"/>
  <c r="O9" i="20"/>
  <c r="P9" i="20" s="1"/>
  <c r="O13" i="20"/>
  <c r="P13" i="20" s="1"/>
  <c r="O14" i="20"/>
  <c r="P14" i="20" s="1"/>
  <c r="AE26" i="20"/>
  <c r="AF26" i="20" s="1"/>
  <c r="AE11" i="20"/>
  <c r="AF11" i="20" s="1"/>
  <c r="O10" i="20"/>
  <c r="P10" i="20" s="1"/>
  <c r="O27" i="20"/>
  <c r="P27" i="20" s="1"/>
  <c r="AU24" i="20"/>
  <c r="AV24" i="20" s="1"/>
  <c r="O30" i="20"/>
  <c r="P30" i="20" s="1"/>
  <c r="AE10" i="20"/>
  <c r="AF10" i="20" s="1"/>
  <c r="AU31" i="20"/>
  <c r="AV31" i="20" s="1"/>
  <c r="O31" i="20"/>
  <c r="P31" i="20" s="1"/>
  <c r="O17" i="20"/>
  <c r="P17" i="20" s="1"/>
  <c r="AU30" i="20"/>
  <c r="AV30" i="20" s="1"/>
  <c r="AE28" i="20"/>
  <c r="AF28" i="20" s="1"/>
  <c r="AE16" i="20"/>
  <c r="AF16" i="20" s="1"/>
  <c r="T96" i="10"/>
  <c r="T101" i="10" s="1"/>
  <c r="U92" i="10" s="1"/>
  <c r="U93" i="10" s="1"/>
  <c r="E50" i="10"/>
  <c r="E118" i="10" s="1"/>
  <c r="E114" i="10"/>
  <c r="E25" i="21" s="1"/>
  <c r="E48" i="10"/>
  <c r="E117" i="10" s="1"/>
  <c r="O23" i="20"/>
  <c r="P23" i="20" s="1"/>
  <c r="AU23" i="20"/>
  <c r="AV23" i="20" s="1"/>
  <c r="AE13" i="20"/>
  <c r="AF13" i="20" s="1"/>
  <c r="O12" i="20"/>
  <c r="P12" i="20" s="1"/>
  <c r="O11" i="20"/>
  <c r="P11" i="20" s="1"/>
  <c r="AE12" i="20"/>
  <c r="AF12" i="20" s="1"/>
  <c r="AE14" i="20"/>
  <c r="AF14" i="20" s="1"/>
  <c r="AU26" i="20"/>
  <c r="AV26" i="20" s="1"/>
  <c r="AE27" i="20"/>
  <c r="AF27" i="20" s="1"/>
  <c r="O24" i="20"/>
  <c r="P24" i="20" s="1"/>
  <c r="AE24" i="20"/>
  <c r="AF24" i="20" s="1"/>
  <c r="AU28" i="20"/>
  <c r="AV28" i="20" s="1"/>
  <c r="AE17" i="20"/>
  <c r="AF17" i="20" s="1"/>
  <c r="AE9" i="20"/>
  <c r="AF9" i="20" s="1"/>
  <c r="AE15" i="20"/>
  <c r="AF15" i="20" s="1"/>
  <c r="AU25" i="20"/>
  <c r="AV25" i="20" s="1"/>
  <c r="O28" i="20"/>
  <c r="P28" i="20" s="1"/>
  <c r="AE31" i="20"/>
  <c r="AF31" i="20" s="1"/>
  <c r="AE25" i="20"/>
  <c r="AF25" i="20" s="1"/>
  <c r="S8" i="21"/>
  <c r="S10" i="21" s="1"/>
  <c r="R12" i="21"/>
  <c r="R14" i="21" s="1"/>
  <c r="Q19" i="21"/>
  <c r="Q37" i="21"/>
  <c r="Q22" i="21"/>
  <c r="AA13" i="22"/>
  <c r="AA11" i="22"/>
  <c r="AB19" i="22"/>
  <c r="AB10" i="22"/>
  <c r="AL184" i="22"/>
  <c r="AL191" i="22"/>
  <c r="AL198" i="22"/>
  <c r="AL163" i="22"/>
  <c r="AL156" i="22"/>
  <c r="AL121" i="22"/>
  <c r="AL219" i="22"/>
  <c r="AL212" i="22"/>
  <c r="AL205" i="22"/>
  <c r="AL177" i="22"/>
  <c r="AL149" i="22"/>
  <c r="AL142" i="22"/>
  <c r="AL128" i="22"/>
  <c r="AL170" i="22"/>
  <c r="AL93" i="22"/>
  <c r="AL86" i="22"/>
  <c r="AL79" i="22"/>
  <c r="AL51" i="22"/>
  <c r="AL114" i="22"/>
  <c r="AL107" i="22"/>
  <c r="AL135" i="22"/>
  <c r="AL72" i="22"/>
  <c r="AL65" i="22"/>
  <c r="AL58" i="22"/>
  <c r="AL44" i="22"/>
  <c r="AL37" i="22"/>
  <c r="AL30" i="22"/>
  <c r="AL23" i="22"/>
  <c r="AL100" i="22"/>
  <c r="AS136" i="22"/>
  <c r="AS138" i="22" s="1"/>
  <c r="AS139" i="22" s="1"/>
  <c r="AS164" i="22"/>
  <c r="AS166" i="22" s="1"/>
  <c r="AS167" i="22" s="1"/>
  <c r="AS220" i="22"/>
  <c r="AS222" i="22" s="1"/>
  <c r="AS223" i="22" s="1"/>
  <c r="AS213" i="22"/>
  <c r="AS215" i="22" s="1"/>
  <c r="AS216" i="22" s="1"/>
  <c r="AS185" i="22"/>
  <c r="AS187" i="22" s="1"/>
  <c r="AS188" i="22" s="1"/>
  <c r="AS199" i="22"/>
  <c r="AS201" i="22" s="1"/>
  <c r="AS202" i="22" s="1"/>
  <c r="AS192" i="22"/>
  <c r="AS194" i="22" s="1"/>
  <c r="AS195" i="22" s="1"/>
  <c r="AS206" i="22"/>
  <c r="AS208" i="22" s="1"/>
  <c r="AS209" i="22" s="1"/>
  <c r="AS171" i="22"/>
  <c r="AS173" i="22" s="1"/>
  <c r="AS174" i="22" s="1"/>
  <c r="AS157" i="22"/>
  <c r="AS159" i="22" s="1"/>
  <c r="AS160" i="22" s="1"/>
  <c r="AS178" i="22"/>
  <c r="AS180" i="22" s="1"/>
  <c r="AS181" i="22" s="1"/>
  <c r="AT129" i="22"/>
  <c r="AT131" i="22" s="1"/>
  <c r="AT132" i="22" s="1"/>
  <c r="AS143" i="22"/>
  <c r="AS145" i="22" s="1"/>
  <c r="AS146" i="22" s="1"/>
  <c r="AS150" i="22"/>
  <c r="AS152" i="22" s="1"/>
  <c r="AS153" i="22" s="1"/>
  <c r="AS101" i="22"/>
  <c r="AS103" i="22" s="1"/>
  <c r="AS104" i="22" s="1"/>
  <c r="AT115" i="22"/>
  <c r="AT117" i="22" s="1"/>
  <c r="AT118" i="22" s="1"/>
  <c r="AS108" i="22"/>
  <c r="AS110" i="22" s="1"/>
  <c r="AS111" i="22" s="1"/>
  <c r="AS122" i="22"/>
  <c r="AS124" i="22" s="1"/>
  <c r="AS125" i="22" s="1"/>
  <c r="AS73" i="22"/>
  <c r="AS75" i="22" s="1"/>
  <c r="AS76" i="22" s="1"/>
  <c r="AS87" i="22"/>
  <c r="AS89" i="22" s="1"/>
  <c r="AS90" i="22" s="1"/>
  <c r="AT80" i="22"/>
  <c r="AT82" i="22" s="1"/>
  <c r="AT83" i="22" s="1"/>
  <c r="AS94" i="22"/>
  <c r="AS96" i="22" s="1"/>
  <c r="AS97" i="22" s="1"/>
  <c r="AS66" i="22"/>
  <c r="AS68" i="22" s="1"/>
  <c r="AS69" i="22" s="1"/>
  <c r="AS59" i="22"/>
  <c r="AS61" i="22" s="1"/>
  <c r="AS62" i="22" s="1"/>
  <c r="AS52" i="22"/>
  <c r="AS54" i="22" s="1"/>
  <c r="AS55" i="22" s="1"/>
  <c r="AS45" i="22"/>
  <c r="AS47" i="22" s="1"/>
  <c r="AS48" i="22" s="1"/>
  <c r="AS38" i="22"/>
  <c r="AS40" i="22" s="1"/>
  <c r="AS41" i="22" s="1"/>
  <c r="AT31" i="22"/>
  <c r="AT33" i="22" s="1"/>
  <c r="AT34" i="22" s="1"/>
  <c r="AS24" i="22"/>
  <c r="AS26" i="22" s="1"/>
  <c r="AS27" i="22" s="1"/>
  <c r="AL23" i="10"/>
  <c r="AM9" i="22"/>
  <c r="AM16" i="22" s="1"/>
  <c r="F20" i="21"/>
  <c r="AK15" i="10"/>
  <c r="AK27" i="10" s="1"/>
  <c r="AK31" i="21"/>
  <c r="F20" i="10"/>
  <c r="G18" i="10" s="1"/>
  <c r="G19" i="10" s="1"/>
  <c r="G40" i="21" s="1"/>
  <c r="AN17" i="10"/>
  <c r="AK36" i="21"/>
  <c r="AK18" i="21"/>
  <c r="AM7" i="10"/>
  <c r="AL88" i="10"/>
  <c r="AL54" i="10"/>
  <c r="AL37" i="10"/>
  <c r="AL7" i="21"/>
  <c r="AL105" i="10"/>
  <c r="AL71" i="10"/>
  <c r="AQ42" i="21"/>
  <c r="Q25" i="9"/>
  <c r="G58" i="10"/>
  <c r="E26" i="21" l="1"/>
  <c r="E28" i="21" s="1"/>
  <c r="F23" i="21"/>
  <c r="F38" i="21" s="1"/>
  <c r="T80" i="10"/>
  <c r="T82" i="10"/>
  <c r="T85" i="10" s="1"/>
  <c r="F41" i="10"/>
  <c r="F106" i="10" s="1"/>
  <c r="F9" i="10" s="1"/>
  <c r="E51" i="10"/>
  <c r="E119" i="10" s="1"/>
  <c r="T99" i="10"/>
  <c r="T102" i="10" s="1"/>
  <c r="T97" i="10"/>
  <c r="U76" i="10"/>
  <c r="G59" i="10"/>
  <c r="E115" i="10"/>
  <c r="R19" i="21"/>
  <c r="R22" i="21"/>
  <c r="R37" i="21"/>
  <c r="T8" i="21"/>
  <c r="T10" i="21" s="1"/>
  <c r="S12" i="21"/>
  <c r="AB20" i="22"/>
  <c r="AB12" i="22"/>
  <c r="AA11" i="21" s="1"/>
  <c r="AC17" i="22"/>
  <c r="AT164" i="22"/>
  <c r="AT166" i="22" s="1"/>
  <c r="AT167" i="22" s="1"/>
  <c r="AT136" i="22"/>
  <c r="AT138" i="22" s="1"/>
  <c r="AT139" i="22" s="1"/>
  <c r="AM219" i="22"/>
  <c r="AM177" i="22"/>
  <c r="AM198" i="22"/>
  <c r="AM212" i="22"/>
  <c r="AM205" i="22"/>
  <c r="AM149" i="22"/>
  <c r="AM142" i="22"/>
  <c r="AM135" i="22"/>
  <c r="AM170" i="22"/>
  <c r="AM163" i="22"/>
  <c r="AM184" i="22"/>
  <c r="AM191" i="22"/>
  <c r="AM121" i="22"/>
  <c r="AM72" i="22"/>
  <c r="AM44" i="22"/>
  <c r="AM23" i="22"/>
  <c r="AM156" i="22"/>
  <c r="AM128" i="22"/>
  <c r="AM114" i="22"/>
  <c r="AM79" i="22"/>
  <c r="AM86" i="22"/>
  <c r="AM65" i="22"/>
  <c r="AM58" i="22"/>
  <c r="AM51" i="22"/>
  <c r="AM100" i="22"/>
  <c r="AM93" i="22"/>
  <c r="AM37" i="22"/>
  <c r="AM30" i="22"/>
  <c r="AM107" i="22"/>
  <c r="AT220" i="22"/>
  <c r="AT222" i="22" s="1"/>
  <c r="AT223" i="22" s="1"/>
  <c r="AT213" i="22"/>
  <c r="AT215" i="22" s="1"/>
  <c r="AT216" i="22" s="1"/>
  <c r="AT192" i="22"/>
  <c r="AT194" i="22" s="1"/>
  <c r="AT195" i="22" s="1"/>
  <c r="AT185" i="22"/>
  <c r="AT187" i="22" s="1"/>
  <c r="AT188" i="22" s="1"/>
  <c r="AT206" i="22"/>
  <c r="AT208" i="22" s="1"/>
  <c r="AT209" i="22" s="1"/>
  <c r="AT199" i="22"/>
  <c r="AT201" i="22" s="1"/>
  <c r="AT202" i="22" s="1"/>
  <c r="AT157" i="22"/>
  <c r="AT159" i="22" s="1"/>
  <c r="AT160" i="22" s="1"/>
  <c r="AT178" i="22"/>
  <c r="AT180" i="22" s="1"/>
  <c r="AT181" i="22" s="1"/>
  <c r="AT171" i="22"/>
  <c r="AT173" i="22" s="1"/>
  <c r="AT174" i="22" s="1"/>
  <c r="AT150" i="22"/>
  <c r="AT152" i="22" s="1"/>
  <c r="AT153" i="22" s="1"/>
  <c r="AT143" i="22"/>
  <c r="AT145" i="22" s="1"/>
  <c r="AT146" i="22" s="1"/>
  <c r="AU129" i="22"/>
  <c r="AU131" i="22" s="1"/>
  <c r="AU132" i="22" s="1"/>
  <c r="AT122" i="22"/>
  <c r="AT124" i="22" s="1"/>
  <c r="AT125" i="22" s="1"/>
  <c r="AU115" i="22"/>
  <c r="AU117" i="22" s="1"/>
  <c r="AU118" i="22" s="1"/>
  <c r="AT108" i="22"/>
  <c r="AT110" i="22" s="1"/>
  <c r="AT111" i="22" s="1"/>
  <c r="AT101" i="22"/>
  <c r="AT103" i="22" s="1"/>
  <c r="AT104" i="22" s="1"/>
  <c r="AT94" i="22"/>
  <c r="AT96" i="22" s="1"/>
  <c r="AT97" i="22" s="1"/>
  <c r="AT87" i="22"/>
  <c r="AT89" i="22" s="1"/>
  <c r="AT90" i="22" s="1"/>
  <c r="AU80" i="22"/>
  <c r="AU82" i="22" s="1"/>
  <c r="AU83" i="22" s="1"/>
  <c r="AT73" i="22"/>
  <c r="AT75" i="22" s="1"/>
  <c r="AT76" i="22" s="1"/>
  <c r="AT66" i="22"/>
  <c r="AT68" i="22" s="1"/>
  <c r="AT69" i="22" s="1"/>
  <c r="AT59" i="22"/>
  <c r="AT61" i="22" s="1"/>
  <c r="AT62" i="22" s="1"/>
  <c r="AT52" i="22"/>
  <c r="AT54" i="22" s="1"/>
  <c r="AT55" i="22" s="1"/>
  <c r="AT45" i="22"/>
  <c r="AT47" i="22" s="1"/>
  <c r="AT48" i="22" s="1"/>
  <c r="AT38" i="22"/>
  <c r="AT40" i="22" s="1"/>
  <c r="AT41" i="22" s="1"/>
  <c r="AU31" i="22"/>
  <c r="AU33" i="22" s="1"/>
  <c r="AU34" i="22" s="1"/>
  <c r="AT24" i="22"/>
  <c r="AT26" i="22" s="1"/>
  <c r="AT27" i="22" s="1"/>
  <c r="AM23" i="10"/>
  <c r="AN9" i="22"/>
  <c r="AN16" i="22" s="1"/>
  <c r="G20" i="21"/>
  <c r="Q9" i="9"/>
  <c r="Q10" i="9" s="1"/>
  <c r="Q38" i="9" s="1"/>
  <c r="S12" i="10"/>
  <c r="T8" i="10" s="1"/>
  <c r="AL15" i="10"/>
  <c r="AL27" i="10" s="1"/>
  <c r="AL31" i="21"/>
  <c r="G20" i="10"/>
  <c r="AO17" i="10"/>
  <c r="AP17" i="10" s="1"/>
  <c r="AL18" i="21"/>
  <c r="AL36" i="21"/>
  <c r="AN7" i="10"/>
  <c r="AM105" i="10"/>
  <c r="AM71" i="10"/>
  <c r="AM37" i="10"/>
  <c r="AM7" i="21"/>
  <c r="AM88" i="10"/>
  <c r="AM54" i="10"/>
  <c r="AR42" i="21"/>
  <c r="G108" i="10"/>
  <c r="T11" i="10" l="1"/>
  <c r="G23" i="21"/>
  <c r="G38" i="21" s="1"/>
  <c r="F42" i="10"/>
  <c r="F110" i="10" s="1"/>
  <c r="F24" i="21" s="1"/>
  <c r="F107" i="10"/>
  <c r="U79" i="10"/>
  <c r="S14" i="21"/>
  <c r="S19" i="21" s="1"/>
  <c r="U96" i="10"/>
  <c r="U97" i="10" s="1"/>
  <c r="G62" i="10"/>
  <c r="U8" i="21"/>
  <c r="U10" i="21" s="1"/>
  <c r="T12" i="21"/>
  <c r="T14" i="21" s="1"/>
  <c r="H20" i="21"/>
  <c r="AB13" i="22"/>
  <c r="AB11" i="22"/>
  <c r="AC19" i="22"/>
  <c r="AC10" i="22"/>
  <c r="AU136" i="22"/>
  <c r="AU138" i="22" s="1"/>
  <c r="AU139" i="22" s="1"/>
  <c r="AN219" i="22"/>
  <c r="AN212" i="22"/>
  <c r="AN205" i="22"/>
  <c r="AN191" i="22"/>
  <c r="AN184" i="22"/>
  <c r="AN170" i="22"/>
  <c r="AN198" i="22"/>
  <c r="AN177" i="22"/>
  <c r="AN156" i="22"/>
  <c r="AN128" i="22"/>
  <c r="AN114" i="22"/>
  <c r="AN65" i="22"/>
  <c r="AN37" i="22"/>
  <c r="AN163" i="22"/>
  <c r="AN142" i="22"/>
  <c r="AN135" i="22"/>
  <c r="AN107" i="22"/>
  <c r="AN86" i="22"/>
  <c r="AN72" i="22"/>
  <c r="AN58" i="22"/>
  <c r="AN51" i="22"/>
  <c r="AN149" i="22"/>
  <c r="AN100" i="22"/>
  <c r="AN93" i="22"/>
  <c r="AN44" i="22"/>
  <c r="AN30" i="22"/>
  <c r="AN121" i="22"/>
  <c r="AN23" i="22"/>
  <c r="AN79" i="22"/>
  <c r="AU164" i="22"/>
  <c r="AU166" i="22" s="1"/>
  <c r="AU167" i="22" s="1"/>
  <c r="AU220" i="22"/>
  <c r="AU222" i="22" s="1"/>
  <c r="AU223" i="22" s="1"/>
  <c r="AU213" i="22"/>
  <c r="AU215" i="22" s="1"/>
  <c r="AU216" i="22" s="1"/>
  <c r="AU185" i="22"/>
  <c r="AU187" i="22" s="1"/>
  <c r="AU188" i="22" s="1"/>
  <c r="AU206" i="22"/>
  <c r="AU208" i="22" s="1"/>
  <c r="AU209" i="22" s="1"/>
  <c r="AU192" i="22"/>
  <c r="AU194" i="22" s="1"/>
  <c r="AU195" i="22" s="1"/>
  <c r="AU199" i="22"/>
  <c r="AU201" i="22" s="1"/>
  <c r="AU202" i="22" s="1"/>
  <c r="AU171" i="22"/>
  <c r="AU173" i="22" s="1"/>
  <c r="AU174" i="22" s="1"/>
  <c r="AU157" i="22"/>
  <c r="AU159" i="22" s="1"/>
  <c r="AU160" i="22" s="1"/>
  <c r="AU178" i="22"/>
  <c r="AU180" i="22" s="1"/>
  <c r="AU181" i="22" s="1"/>
  <c r="AV129" i="22"/>
  <c r="AV131" i="22" s="1"/>
  <c r="AV132" i="22" s="1"/>
  <c r="AU150" i="22"/>
  <c r="AU152" i="22" s="1"/>
  <c r="AU153" i="22" s="1"/>
  <c r="AU143" i="22"/>
  <c r="AU145" i="22" s="1"/>
  <c r="AU146" i="22" s="1"/>
  <c r="AU101" i="22"/>
  <c r="AU103" i="22" s="1"/>
  <c r="AU104" i="22" s="1"/>
  <c r="AV115" i="22"/>
  <c r="AV117" i="22" s="1"/>
  <c r="AV118" i="22" s="1"/>
  <c r="AU122" i="22"/>
  <c r="AU124" i="22" s="1"/>
  <c r="AU125" i="22" s="1"/>
  <c r="AU108" i="22"/>
  <c r="AU110" i="22" s="1"/>
  <c r="AU111" i="22" s="1"/>
  <c r="AU87" i="22"/>
  <c r="AU89" i="22" s="1"/>
  <c r="AU90" i="22" s="1"/>
  <c r="AV80" i="22"/>
  <c r="AV82" i="22" s="1"/>
  <c r="AV83" i="22" s="1"/>
  <c r="AU94" i="22"/>
  <c r="AU96" i="22" s="1"/>
  <c r="AU97" i="22" s="1"/>
  <c r="AU73" i="22"/>
  <c r="AU75" i="22" s="1"/>
  <c r="AU76" i="22" s="1"/>
  <c r="AU66" i="22"/>
  <c r="AU68" i="22" s="1"/>
  <c r="AU69" i="22" s="1"/>
  <c r="AU59" i="22"/>
  <c r="AU61" i="22" s="1"/>
  <c r="AU62" i="22" s="1"/>
  <c r="AU52" i="22"/>
  <c r="AU54" i="22" s="1"/>
  <c r="AU55" i="22" s="1"/>
  <c r="AU45" i="22"/>
  <c r="AU47" i="22" s="1"/>
  <c r="AU48" i="22" s="1"/>
  <c r="AU38" i="22"/>
  <c r="AU40" i="22" s="1"/>
  <c r="AU41" i="22" s="1"/>
  <c r="AV31" i="22"/>
  <c r="AV33" i="22" s="1"/>
  <c r="AV34" i="22" s="1"/>
  <c r="AU24" i="22"/>
  <c r="AU26" i="22" s="1"/>
  <c r="AU27" i="22" s="1"/>
  <c r="AN23" i="10"/>
  <c r="AO9" i="22"/>
  <c r="AO16" i="22" s="1"/>
  <c r="E32" i="21"/>
  <c r="E33" i="21" s="1"/>
  <c r="AM15" i="10"/>
  <c r="AM27" i="10" s="1"/>
  <c r="AM31" i="21"/>
  <c r="H18" i="10"/>
  <c r="H19" i="10" s="1"/>
  <c r="H40" i="21" s="1"/>
  <c r="AM36" i="21"/>
  <c r="AM18" i="21"/>
  <c r="AO7" i="10"/>
  <c r="AN7" i="21"/>
  <c r="AN105" i="10"/>
  <c r="AN71" i="10"/>
  <c r="AN88" i="10"/>
  <c r="AN54" i="10"/>
  <c r="AN37" i="10"/>
  <c r="AS42" i="21"/>
  <c r="W15" i="9" l="1"/>
  <c r="W17" i="9" s="1"/>
  <c r="W18" i="9" s="1"/>
  <c r="T13" i="9"/>
  <c r="T14" i="9" s="1"/>
  <c r="H23" i="21"/>
  <c r="H38" i="21" s="1"/>
  <c r="F39" i="21"/>
  <c r="F41" i="21" s="1"/>
  <c r="F43" i="21" s="1"/>
  <c r="F27" i="21" s="1"/>
  <c r="F45" i="10"/>
  <c r="F114" i="10" s="1"/>
  <c r="U82" i="10"/>
  <c r="U85" i="10" s="1"/>
  <c r="U80" i="10"/>
  <c r="U84" i="10"/>
  <c r="V75" i="10" s="1"/>
  <c r="V76" i="10" s="1"/>
  <c r="S22" i="21"/>
  <c r="S37" i="21"/>
  <c r="U99" i="10"/>
  <c r="U102" i="10" s="1"/>
  <c r="U101" i="10"/>
  <c r="V92" i="10" s="1"/>
  <c r="V93" i="10" s="1"/>
  <c r="G63" i="10"/>
  <c r="G67" i="10"/>
  <c r="G65" i="10"/>
  <c r="G68" i="10" s="1"/>
  <c r="T19" i="21"/>
  <c r="T22" i="21"/>
  <c r="T37" i="21"/>
  <c r="V8" i="21"/>
  <c r="V10" i="21" s="1"/>
  <c r="U12" i="21"/>
  <c r="U14" i="21" s="1"/>
  <c r="I20" i="21"/>
  <c r="AC20" i="22"/>
  <c r="AC12" i="22"/>
  <c r="AB11" i="21" s="1"/>
  <c r="AD17" i="22"/>
  <c r="AV164" i="22"/>
  <c r="AV166" i="22" s="1"/>
  <c r="AV167" i="22" s="1"/>
  <c r="AV136" i="22"/>
  <c r="AV138" i="22" s="1"/>
  <c r="AV139" i="22" s="1"/>
  <c r="AO205" i="22"/>
  <c r="AO198" i="22"/>
  <c r="AO191" i="22"/>
  <c r="AO212" i="22"/>
  <c r="AO219" i="22"/>
  <c r="AO184" i="22"/>
  <c r="AO170" i="22"/>
  <c r="AO128" i="22"/>
  <c r="AO177" i="22"/>
  <c r="AO135" i="22"/>
  <c r="AO156" i="22"/>
  <c r="AO163" i="22"/>
  <c r="AO142" i="22"/>
  <c r="AO107" i="22"/>
  <c r="AO100" i="22"/>
  <c r="AO58" i="22"/>
  <c r="AO30" i="22"/>
  <c r="AO149" i="22"/>
  <c r="AO93" i="22"/>
  <c r="AO65" i="22"/>
  <c r="AO44" i="22"/>
  <c r="AO37" i="22"/>
  <c r="AO114" i="22"/>
  <c r="AO121" i="22"/>
  <c r="AO79" i="22"/>
  <c r="AO23" i="22"/>
  <c r="AO86" i="22"/>
  <c r="AO72" i="22"/>
  <c r="AO51" i="22"/>
  <c r="AV220" i="22"/>
  <c r="AV222" i="22" s="1"/>
  <c r="AV223" i="22" s="1"/>
  <c r="AV213" i="22"/>
  <c r="AV215" i="22" s="1"/>
  <c r="AV216" i="22" s="1"/>
  <c r="AV199" i="22"/>
  <c r="AV201" i="22" s="1"/>
  <c r="AV202" i="22" s="1"/>
  <c r="AV192" i="22"/>
  <c r="AV194" i="22" s="1"/>
  <c r="AV195" i="22" s="1"/>
  <c r="AV185" i="22"/>
  <c r="AV187" i="22" s="1"/>
  <c r="AV188" i="22" s="1"/>
  <c r="AV206" i="22"/>
  <c r="AV208" i="22" s="1"/>
  <c r="AV209" i="22" s="1"/>
  <c r="AV157" i="22"/>
  <c r="AV159" i="22" s="1"/>
  <c r="AV160" i="22" s="1"/>
  <c r="AV178" i="22"/>
  <c r="AV180" i="22" s="1"/>
  <c r="AV181" i="22" s="1"/>
  <c r="AV171" i="22"/>
  <c r="AV173" i="22" s="1"/>
  <c r="AV174" i="22" s="1"/>
  <c r="AV143" i="22"/>
  <c r="AV145" i="22" s="1"/>
  <c r="AV146" i="22" s="1"/>
  <c r="AW129" i="22"/>
  <c r="AW131" i="22" s="1"/>
  <c r="AW132" i="22" s="1"/>
  <c r="AV150" i="22"/>
  <c r="AV152" i="22" s="1"/>
  <c r="AV153" i="22" s="1"/>
  <c r="AV108" i="22"/>
  <c r="AV110" i="22" s="1"/>
  <c r="AV111" i="22" s="1"/>
  <c r="AW115" i="22"/>
  <c r="AW117" i="22" s="1"/>
  <c r="AW118" i="22" s="1"/>
  <c r="AV122" i="22"/>
  <c r="AV124" i="22" s="1"/>
  <c r="AV125" i="22" s="1"/>
  <c r="AV101" i="22"/>
  <c r="AV103" i="22" s="1"/>
  <c r="AV104" i="22" s="1"/>
  <c r="AW80" i="22"/>
  <c r="AW82" i="22" s="1"/>
  <c r="AW83" i="22" s="1"/>
  <c r="AV94" i="22"/>
  <c r="AV96" i="22" s="1"/>
  <c r="AV97" i="22" s="1"/>
  <c r="AV87" i="22"/>
  <c r="AV89" i="22" s="1"/>
  <c r="AV90" i="22" s="1"/>
  <c r="AV73" i="22"/>
  <c r="AV75" i="22" s="1"/>
  <c r="AV76" i="22" s="1"/>
  <c r="AV66" i="22"/>
  <c r="AV68" i="22" s="1"/>
  <c r="AV69" i="22" s="1"/>
  <c r="AV59" i="22"/>
  <c r="AV61" i="22" s="1"/>
  <c r="AV62" i="22" s="1"/>
  <c r="AV52" i="22"/>
  <c r="AV54" i="22" s="1"/>
  <c r="AV55" i="22" s="1"/>
  <c r="AV45" i="22"/>
  <c r="AV47" i="22" s="1"/>
  <c r="AV48" i="22" s="1"/>
  <c r="AV38" i="22"/>
  <c r="AV40" i="22" s="1"/>
  <c r="AV41" i="22" s="1"/>
  <c r="AW31" i="22"/>
  <c r="AW33" i="22" s="1"/>
  <c r="AW34" i="22" s="1"/>
  <c r="AV24" i="22"/>
  <c r="AV26" i="22" s="1"/>
  <c r="AV27" i="22" s="1"/>
  <c r="AO23" i="10"/>
  <c r="AP9" i="22"/>
  <c r="AP16" i="22" s="1"/>
  <c r="T12" i="10"/>
  <c r="U8" i="10" s="1"/>
  <c r="U11" i="10" s="1"/>
  <c r="AN15" i="10"/>
  <c r="AN27" i="10" s="1"/>
  <c r="AN31" i="21"/>
  <c r="H20" i="10"/>
  <c r="AQ17" i="10"/>
  <c r="AN36" i="21"/>
  <c r="AN18" i="21"/>
  <c r="AP7" i="10"/>
  <c r="AO7" i="21"/>
  <c r="AO88" i="10"/>
  <c r="AO54" i="10"/>
  <c r="AO105" i="10"/>
  <c r="AO37" i="10"/>
  <c r="AO71" i="10"/>
  <c r="AT42" i="21"/>
  <c r="F112" i="10"/>
  <c r="F111" i="10"/>
  <c r="F48" i="10" l="1"/>
  <c r="F117" i="10" s="1"/>
  <c r="F46" i="10"/>
  <c r="F50" i="10"/>
  <c r="I23" i="21"/>
  <c r="I38" i="21" s="1"/>
  <c r="V79" i="10"/>
  <c r="V80" i="10" s="1"/>
  <c r="V96" i="10"/>
  <c r="V99" i="10" s="1"/>
  <c r="V102" i="10" s="1"/>
  <c r="W8" i="21"/>
  <c r="W10" i="21" s="1"/>
  <c r="V12" i="21"/>
  <c r="V14" i="21" s="1"/>
  <c r="U19" i="21"/>
  <c r="U37" i="21"/>
  <c r="U22" i="21"/>
  <c r="J20" i="21"/>
  <c r="AC13" i="22"/>
  <c r="AC11" i="22"/>
  <c r="AD19" i="22"/>
  <c r="AD10" i="22"/>
  <c r="AW136" i="22"/>
  <c r="AW138" i="22" s="1"/>
  <c r="AW139" i="22" s="1"/>
  <c r="AW164" i="22"/>
  <c r="AW166" i="22" s="1"/>
  <c r="AW167" i="22" s="1"/>
  <c r="AP184" i="22"/>
  <c r="AP219" i="22"/>
  <c r="AP191" i="22"/>
  <c r="AP177" i="22"/>
  <c r="AP163" i="22"/>
  <c r="AP156" i="22"/>
  <c r="AP121" i="22"/>
  <c r="AP198" i="22"/>
  <c r="AP212" i="22"/>
  <c r="AP205" i="22"/>
  <c r="AP149" i="22"/>
  <c r="AP135" i="22"/>
  <c r="AP93" i="22"/>
  <c r="AP86" i="22"/>
  <c r="AP79" i="22"/>
  <c r="AP51" i="22"/>
  <c r="AP170" i="22"/>
  <c r="AP128" i="22"/>
  <c r="AP100" i="22"/>
  <c r="AP37" i="22"/>
  <c r="AP30" i="22"/>
  <c r="AP23" i="22"/>
  <c r="AP114" i="22"/>
  <c r="AP107" i="22"/>
  <c r="AP72" i="22"/>
  <c r="AP142" i="22"/>
  <c r="AP65" i="22"/>
  <c r="AP58" i="22"/>
  <c r="AP44" i="22"/>
  <c r="AW213" i="22"/>
  <c r="AW215" i="22" s="1"/>
  <c r="AW216" i="22" s="1"/>
  <c r="AW220" i="22"/>
  <c r="AW222" i="22" s="1"/>
  <c r="AW223" i="22" s="1"/>
  <c r="AW192" i="22"/>
  <c r="AW194" i="22" s="1"/>
  <c r="AW195" i="22" s="1"/>
  <c r="AW185" i="22"/>
  <c r="AW187" i="22" s="1"/>
  <c r="AW188" i="22" s="1"/>
  <c r="AW199" i="22"/>
  <c r="AW201" i="22" s="1"/>
  <c r="AW202" i="22" s="1"/>
  <c r="AW206" i="22"/>
  <c r="AW208" i="22" s="1"/>
  <c r="AW209" i="22" s="1"/>
  <c r="AW157" i="22"/>
  <c r="AW159" i="22" s="1"/>
  <c r="AW160" i="22" s="1"/>
  <c r="AW171" i="22"/>
  <c r="AW173" i="22" s="1"/>
  <c r="AW174" i="22" s="1"/>
  <c r="AW178" i="22"/>
  <c r="AW180" i="22" s="1"/>
  <c r="AW181" i="22" s="1"/>
  <c r="AW150" i="22"/>
  <c r="AW152" i="22" s="1"/>
  <c r="AW153" i="22" s="1"/>
  <c r="AX129" i="22"/>
  <c r="AX131" i="22" s="1"/>
  <c r="AX132" i="22" s="1"/>
  <c r="AW143" i="22"/>
  <c r="AW145" i="22" s="1"/>
  <c r="AW146" i="22" s="1"/>
  <c r="AW101" i="22"/>
  <c r="AW103" i="22" s="1"/>
  <c r="AW104" i="22" s="1"/>
  <c r="AX115" i="22"/>
  <c r="AX117" i="22" s="1"/>
  <c r="AX118" i="22" s="1"/>
  <c r="AW122" i="22"/>
  <c r="AW124" i="22" s="1"/>
  <c r="AW125" i="22" s="1"/>
  <c r="AW108" i="22"/>
  <c r="AW110" i="22" s="1"/>
  <c r="AW111" i="22" s="1"/>
  <c r="AW94" i="22"/>
  <c r="AW96" i="22" s="1"/>
  <c r="AW97" i="22" s="1"/>
  <c r="AW87" i="22"/>
  <c r="AW89" i="22" s="1"/>
  <c r="AW90" i="22" s="1"/>
  <c r="AX80" i="22"/>
  <c r="AX82" i="22" s="1"/>
  <c r="AX83" i="22" s="1"/>
  <c r="AW73" i="22"/>
  <c r="AW75" i="22" s="1"/>
  <c r="AW76" i="22" s="1"/>
  <c r="AW66" i="22"/>
  <c r="AW68" i="22" s="1"/>
  <c r="AW69" i="22" s="1"/>
  <c r="AW59" i="22"/>
  <c r="AW61" i="22" s="1"/>
  <c r="AW62" i="22" s="1"/>
  <c r="AW52" i="22"/>
  <c r="AW54" i="22" s="1"/>
  <c r="AW55" i="22" s="1"/>
  <c r="AW45" i="22"/>
  <c r="AW47" i="22" s="1"/>
  <c r="AW48" i="22" s="1"/>
  <c r="AW38" i="22"/>
  <c r="AW40" i="22" s="1"/>
  <c r="AW41" i="22" s="1"/>
  <c r="AX31" i="22"/>
  <c r="AX33" i="22" s="1"/>
  <c r="AX34" i="22" s="1"/>
  <c r="AW24" i="22"/>
  <c r="AW26" i="22" s="1"/>
  <c r="AW27" i="22" s="1"/>
  <c r="AP23" i="10"/>
  <c r="AQ9" i="22"/>
  <c r="AQ16" i="22" s="1"/>
  <c r="AO15" i="10"/>
  <c r="AO27" i="10" s="1"/>
  <c r="AO31" i="21"/>
  <c r="I18" i="10"/>
  <c r="I19" i="10" s="1"/>
  <c r="I40" i="21" s="1"/>
  <c r="AR17" i="10"/>
  <c r="AO36" i="21"/>
  <c r="AO18" i="21"/>
  <c r="AQ7" i="10"/>
  <c r="AP88" i="10"/>
  <c r="AP54" i="10"/>
  <c r="AP37" i="10"/>
  <c r="AP7" i="21"/>
  <c r="AP105" i="10"/>
  <c r="AP71" i="10"/>
  <c r="F115" i="10"/>
  <c r="F25" i="21"/>
  <c r="F26" i="21" s="1"/>
  <c r="AU42" i="21"/>
  <c r="F118" i="10"/>
  <c r="H58" i="10"/>
  <c r="G41" i="10"/>
  <c r="F51" i="10"/>
  <c r="F119" i="10" s="1"/>
  <c r="J23" i="21" l="1"/>
  <c r="J38" i="21" s="1"/>
  <c r="V82" i="10"/>
  <c r="V84" i="10"/>
  <c r="W75" i="10" s="1"/>
  <c r="V97" i="10"/>
  <c r="V101" i="10"/>
  <c r="W92" i="10" s="1"/>
  <c r="W93" i="10" s="1"/>
  <c r="V85" i="10"/>
  <c r="W76" i="10"/>
  <c r="H59" i="10"/>
  <c r="V37" i="21"/>
  <c r="V22" i="21"/>
  <c r="V19" i="21"/>
  <c r="X8" i="21"/>
  <c r="X10" i="21" s="1"/>
  <c r="W12" i="21"/>
  <c r="W14" i="21" s="1"/>
  <c r="K20" i="21"/>
  <c r="AD20" i="22"/>
  <c r="AD12" i="22"/>
  <c r="AC11" i="21" s="1"/>
  <c r="AE17" i="22"/>
  <c r="AQ219" i="22"/>
  <c r="AQ177" i="22"/>
  <c r="AQ191" i="22"/>
  <c r="AQ198" i="22"/>
  <c r="AQ149" i="22"/>
  <c r="AQ142" i="22"/>
  <c r="AQ135" i="22"/>
  <c r="AQ212" i="22"/>
  <c r="AQ205" i="22"/>
  <c r="AQ184" i="22"/>
  <c r="AQ156" i="22"/>
  <c r="AQ128" i="22"/>
  <c r="AQ163" i="22"/>
  <c r="AQ170" i="22"/>
  <c r="AQ72" i="22"/>
  <c r="AQ44" i="22"/>
  <c r="AQ23" i="22"/>
  <c r="AQ121" i="22"/>
  <c r="AQ114" i="22"/>
  <c r="AQ107" i="22"/>
  <c r="AQ79" i="22"/>
  <c r="AQ100" i="22"/>
  <c r="AQ86" i="22"/>
  <c r="AQ65" i="22"/>
  <c r="AQ58" i="22"/>
  <c r="AQ51" i="22"/>
  <c r="AQ30" i="22"/>
  <c r="AQ93" i="22"/>
  <c r="AQ37" i="22"/>
  <c r="AX164" i="22"/>
  <c r="AX166" i="22" s="1"/>
  <c r="AX167" i="22" s="1"/>
  <c r="AX136" i="22"/>
  <c r="AX138" i="22" s="1"/>
  <c r="AX139" i="22" s="1"/>
  <c r="AX220" i="22"/>
  <c r="AX222" i="22" s="1"/>
  <c r="AX223" i="22" s="1"/>
  <c r="AX213" i="22"/>
  <c r="AX215" i="22" s="1"/>
  <c r="AX216" i="22" s="1"/>
  <c r="AX206" i="22"/>
  <c r="AX208" i="22" s="1"/>
  <c r="AX209" i="22" s="1"/>
  <c r="AX192" i="22"/>
  <c r="AX194" i="22" s="1"/>
  <c r="AX195" i="22" s="1"/>
  <c r="AX185" i="22"/>
  <c r="AX187" i="22" s="1"/>
  <c r="AX188" i="22" s="1"/>
  <c r="AX199" i="22"/>
  <c r="AX201" i="22" s="1"/>
  <c r="AX202" i="22" s="1"/>
  <c r="AX178" i="22"/>
  <c r="AX180" i="22" s="1"/>
  <c r="AX181" i="22" s="1"/>
  <c r="AX157" i="22"/>
  <c r="AX159" i="22" s="1"/>
  <c r="AX160" i="22" s="1"/>
  <c r="AX171" i="22"/>
  <c r="AX173" i="22" s="1"/>
  <c r="AX174" i="22" s="1"/>
  <c r="AX150" i="22"/>
  <c r="AX152" i="22" s="1"/>
  <c r="AX153" i="22" s="1"/>
  <c r="AY129" i="22"/>
  <c r="AY131" i="22" s="1"/>
  <c r="AY132" i="22" s="1"/>
  <c r="AX143" i="22"/>
  <c r="AX145" i="22" s="1"/>
  <c r="AX146" i="22" s="1"/>
  <c r="AX108" i="22"/>
  <c r="AX110" i="22" s="1"/>
  <c r="AX111" i="22" s="1"/>
  <c r="AY115" i="22"/>
  <c r="AY117" i="22" s="1"/>
  <c r="AY118" i="22" s="1"/>
  <c r="AX122" i="22"/>
  <c r="AX124" i="22" s="1"/>
  <c r="AX125" i="22" s="1"/>
  <c r="AX101" i="22"/>
  <c r="AX103" i="22" s="1"/>
  <c r="AX104" i="22" s="1"/>
  <c r="AX94" i="22"/>
  <c r="AX96" i="22" s="1"/>
  <c r="AX97" i="22" s="1"/>
  <c r="AX73" i="22"/>
  <c r="AX75" i="22" s="1"/>
  <c r="AX76" i="22" s="1"/>
  <c r="AX87" i="22"/>
  <c r="AX89" i="22" s="1"/>
  <c r="AX90" i="22" s="1"/>
  <c r="AY80" i="22"/>
  <c r="AY82" i="22" s="1"/>
  <c r="AY83" i="22" s="1"/>
  <c r="AX66" i="22"/>
  <c r="AX68" i="22" s="1"/>
  <c r="AX69" i="22" s="1"/>
  <c r="AX59" i="22"/>
  <c r="AX61" i="22" s="1"/>
  <c r="AX62" i="22" s="1"/>
  <c r="AX52" i="22"/>
  <c r="AX54" i="22" s="1"/>
  <c r="AX55" i="22" s="1"/>
  <c r="AX45" i="22"/>
  <c r="AX47" i="22" s="1"/>
  <c r="AX48" i="22" s="1"/>
  <c r="AX38" i="22"/>
  <c r="AX40" i="22" s="1"/>
  <c r="AX41" i="22" s="1"/>
  <c r="AY31" i="22"/>
  <c r="AY33" i="22" s="1"/>
  <c r="AY34" i="22" s="1"/>
  <c r="AX24" i="22"/>
  <c r="AX26" i="22" s="1"/>
  <c r="AX27" i="22" s="1"/>
  <c r="AQ23" i="10"/>
  <c r="AR9" i="22"/>
  <c r="AR16" i="22" s="1"/>
  <c r="U12" i="10"/>
  <c r="V8" i="10" s="1"/>
  <c r="V11" i="10" s="1"/>
  <c r="AP15" i="10"/>
  <c r="AP27" i="10" s="1"/>
  <c r="AP31" i="21"/>
  <c r="F28" i="21"/>
  <c r="I20" i="10"/>
  <c r="J18" i="10" s="1"/>
  <c r="J19" i="10" s="1"/>
  <c r="J40" i="21" s="1"/>
  <c r="AS17" i="10"/>
  <c r="AP36" i="21"/>
  <c r="AP18" i="21"/>
  <c r="AR7" i="10"/>
  <c r="AQ105" i="10"/>
  <c r="AQ71" i="10"/>
  <c r="AQ37" i="10"/>
  <c r="AQ88" i="10"/>
  <c r="AQ54" i="10"/>
  <c r="AQ7" i="21"/>
  <c r="G106" i="10"/>
  <c r="G9" i="10" s="1"/>
  <c r="G107" i="10"/>
  <c r="L20" i="21"/>
  <c r="AV42" i="21"/>
  <c r="H108" i="10"/>
  <c r="G42" i="10"/>
  <c r="G110" i="10" s="1"/>
  <c r="K23" i="21" l="1"/>
  <c r="K38" i="21" s="1"/>
  <c r="L23" i="21"/>
  <c r="L38" i="21" s="1"/>
  <c r="W80" i="10"/>
  <c r="W79" i="10"/>
  <c r="W82" i="10" s="1"/>
  <c r="W85" i="10" s="1"/>
  <c r="W96" i="10"/>
  <c r="W97" i="10" s="1"/>
  <c r="H62" i="10"/>
  <c r="Y8" i="21"/>
  <c r="Y10" i="21" s="1"/>
  <c r="X12" i="21"/>
  <c r="X14" i="21" s="1"/>
  <c r="W19" i="21"/>
  <c r="W37" i="21"/>
  <c r="W22" i="21"/>
  <c r="AD13" i="22"/>
  <c r="AD11" i="22"/>
  <c r="AE19" i="22"/>
  <c r="AE10" i="22"/>
  <c r="AY136" i="22"/>
  <c r="AY138" i="22" s="1"/>
  <c r="AY139" i="22" s="1"/>
  <c r="AY164" i="22"/>
  <c r="AY166" i="22" s="1"/>
  <c r="AY167" i="22" s="1"/>
  <c r="AR219" i="22"/>
  <c r="AR212" i="22"/>
  <c r="AR198" i="22"/>
  <c r="AR205" i="22"/>
  <c r="AR170" i="22"/>
  <c r="AR163" i="22"/>
  <c r="AR149" i="22"/>
  <c r="AR142" i="22"/>
  <c r="AR191" i="22"/>
  <c r="AR177" i="22"/>
  <c r="AR121" i="22"/>
  <c r="AR114" i="22"/>
  <c r="AR65" i="22"/>
  <c r="AR37" i="22"/>
  <c r="AR107" i="22"/>
  <c r="AR135" i="22"/>
  <c r="AR79" i="22"/>
  <c r="AR156" i="22"/>
  <c r="AR86" i="22"/>
  <c r="AR72" i="22"/>
  <c r="AR58" i="22"/>
  <c r="AR51" i="22"/>
  <c r="AR128" i="22"/>
  <c r="AR184" i="22"/>
  <c r="AR100" i="22"/>
  <c r="AR93" i="22"/>
  <c r="AR44" i="22"/>
  <c r="AR30" i="22"/>
  <c r="AR23" i="22"/>
  <c r="AY213" i="22"/>
  <c r="AY215" i="22" s="1"/>
  <c r="AY216" i="22" s="1"/>
  <c r="AY220" i="22"/>
  <c r="AY222" i="22" s="1"/>
  <c r="AY223" i="22" s="1"/>
  <c r="AY199" i="22"/>
  <c r="AY201" i="22" s="1"/>
  <c r="AY202" i="22" s="1"/>
  <c r="AY185" i="22"/>
  <c r="AY187" i="22" s="1"/>
  <c r="AY188" i="22" s="1"/>
  <c r="AY206" i="22"/>
  <c r="AY208" i="22" s="1"/>
  <c r="AY209" i="22" s="1"/>
  <c r="AY192" i="22"/>
  <c r="AY194" i="22" s="1"/>
  <c r="AY195" i="22" s="1"/>
  <c r="AY171" i="22"/>
  <c r="AY173" i="22" s="1"/>
  <c r="AY174" i="22" s="1"/>
  <c r="AY157" i="22"/>
  <c r="AY159" i="22" s="1"/>
  <c r="AY160" i="22" s="1"/>
  <c r="AY178" i="22"/>
  <c r="AY180" i="22" s="1"/>
  <c r="AY181" i="22" s="1"/>
  <c r="AY143" i="22"/>
  <c r="AY145" i="22" s="1"/>
  <c r="AY146" i="22" s="1"/>
  <c r="AY150" i="22"/>
  <c r="AY152" i="22" s="1"/>
  <c r="AY153" i="22" s="1"/>
  <c r="AZ129" i="22"/>
  <c r="AZ131" i="22" s="1"/>
  <c r="AZ132" i="22" s="1"/>
  <c r="AY101" i="22"/>
  <c r="AY103" i="22" s="1"/>
  <c r="AY104" i="22" s="1"/>
  <c r="AZ115" i="22"/>
  <c r="AZ117" i="22" s="1"/>
  <c r="AZ118" i="22" s="1"/>
  <c r="AY122" i="22"/>
  <c r="AY124" i="22" s="1"/>
  <c r="AY125" i="22" s="1"/>
  <c r="AY108" i="22"/>
  <c r="AY110" i="22" s="1"/>
  <c r="AY111" i="22" s="1"/>
  <c r="AZ80" i="22"/>
  <c r="AZ82" i="22" s="1"/>
  <c r="AZ83" i="22" s="1"/>
  <c r="AY73" i="22"/>
  <c r="AY75" i="22" s="1"/>
  <c r="AY76" i="22" s="1"/>
  <c r="AY87" i="22"/>
  <c r="AY89" i="22" s="1"/>
  <c r="AY90" i="22" s="1"/>
  <c r="AY94" i="22"/>
  <c r="AY96" i="22" s="1"/>
  <c r="AY97" i="22" s="1"/>
  <c r="AY66" i="22"/>
  <c r="AY68" i="22" s="1"/>
  <c r="AY69" i="22" s="1"/>
  <c r="AY59" i="22"/>
  <c r="AY61" i="22" s="1"/>
  <c r="AY62" i="22" s="1"/>
  <c r="AY52" i="22"/>
  <c r="AY54" i="22" s="1"/>
  <c r="AY55" i="22" s="1"/>
  <c r="AY45" i="22"/>
  <c r="AY47" i="22" s="1"/>
  <c r="AY48" i="22" s="1"/>
  <c r="AY38" i="22"/>
  <c r="AY40" i="22" s="1"/>
  <c r="AY41" i="22" s="1"/>
  <c r="AZ31" i="22"/>
  <c r="AZ33" i="22" s="1"/>
  <c r="AZ34" i="22" s="1"/>
  <c r="AY24" i="22"/>
  <c r="AY26" i="22" s="1"/>
  <c r="AY27" i="22" s="1"/>
  <c r="AR23" i="10"/>
  <c r="AS9" i="22"/>
  <c r="AS16" i="22" s="1"/>
  <c r="F32" i="21"/>
  <c r="F33" i="21" s="1"/>
  <c r="AQ15" i="10"/>
  <c r="AQ27" i="10" s="1"/>
  <c r="AQ31" i="21"/>
  <c r="J20" i="10"/>
  <c r="AT17" i="10"/>
  <c r="G24" i="21"/>
  <c r="G39" i="21"/>
  <c r="G41" i="21" s="1"/>
  <c r="G43" i="21" s="1"/>
  <c r="G27" i="21" s="1"/>
  <c r="AQ18" i="21"/>
  <c r="AQ36" i="21"/>
  <c r="AS7" i="10"/>
  <c r="AR7" i="21"/>
  <c r="AR105" i="10"/>
  <c r="AR71" i="10"/>
  <c r="AR88" i="10"/>
  <c r="AR54" i="10"/>
  <c r="AR37" i="10"/>
  <c r="M20" i="21"/>
  <c r="AW42" i="21"/>
  <c r="G45" i="10"/>
  <c r="M23" i="21" l="1"/>
  <c r="M38" i="21" s="1"/>
  <c r="W84" i="10"/>
  <c r="X75" i="10" s="1"/>
  <c r="W99" i="10"/>
  <c r="W102" i="10" s="1"/>
  <c r="W101" i="10"/>
  <c r="X92" i="10" s="1"/>
  <c r="H63" i="10"/>
  <c r="H67" i="10"/>
  <c r="H65" i="10"/>
  <c r="H68" i="10" s="1"/>
  <c r="X19" i="21"/>
  <c r="X22" i="21"/>
  <c r="X37" i="21"/>
  <c r="Z8" i="21"/>
  <c r="Z10" i="21" s="1"/>
  <c r="Y12" i="21"/>
  <c r="Y14" i="21" s="1"/>
  <c r="AE20" i="22"/>
  <c r="AE12" i="22"/>
  <c r="AD11" i="21" s="1"/>
  <c r="AF17" i="22"/>
  <c r="AS205" i="22"/>
  <c r="AS198" i="22"/>
  <c r="AS191" i="22"/>
  <c r="AS212" i="22"/>
  <c r="AS170" i="22"/>
  <c r="AS128" i="22"/>
  <c r="AS184" i="22"/>
  <c r="AS177" i="22"/>
  <c r="AS163" i="22"/>
  <c r="AS149" i="22"/>
  <c r="AS107" i="22"/>
  <c r="AS100" i="22"/>
  <c r="AS58" i="22"/>
  <c r="AS30" i="22"/>
  <c r="AS219" i="22"/>
  <c r="AS156" i="22"/>
  <c r="AS86" i="22"/>
  <c r="AS72" i="22"/>
  <c r="AS51" i="22"/>
  <c r="AS121" i="22"/>
  <c r="AS114" i="22"/>
  <c r="AS93" i="22"/>
  <c r="AS65" i="22"/>
  <c r="AS44" i="22"/>
  <c r="AS135" i="22"/>
  <c r="AS142" i="22"/>
  <c r="AS37" i="22"/>
  <c r="AS23" i="22"/>
  <c r="AS79" i="22"/>
  <c r="AZ164" i="22"/>
  <c r="AZ166" i="22" s="1"/>
  <c r="AZ167" i="22" s="1"/>
  <c r="AZ136" i="22"/>
  <c r="AZ138" i="22" s="1"/>
  <c r="AZ139" i="22" s="1"/>
  <c r="AZ220" i="22"/>
  <c r="AZ222" i="22" s="1"/>
  <c r="AZ223" i="22" s="1"/>
  <c r="AZ213" i="22"/>
  <c r="AZ215" i="22" s="1"/>
  <c r="AZ216" i="22" s="1"/>
  <c r="AZ185" i="22"/>
  <c r="AZ187" i="22" s="1"/>
  <c r="AZ188" i="22" s="1"/>
  <c r="AZ206" i="22"/>
  <c r="AZ208" i="22" s="1"/>
  <c r="AZ209" i="22" s="1"/>
  <c r="AZ199" i="22"/>
  <c r="AZ201" i="22" s="1"/>
  <c r="AZ202" i="22" s="1"/>
  <c r="AZ192" i="22"/>
  <c r="AZ194" i="22" s="1"/>
  <c r="AZ195" i="22" s="1"/>
  <c r="AZ178" i="22"/>
  <c r="AZ180" i="22" s="1"/>
  <c r="AZ181" i="22" s="1"/>
  <c r="AZ171" i="22"/>
  <c r="AZ173" i="22" s="1"/>
  <c r="AZ174" i="22" s="1"/>
  <c r="AZ157" i="22"/>
  <c r="AZ159" i="22" s="1"/>
  <c r="AZ160" i="22" s="1"/>
  <c r="AZ150" i="22"/>
  <c r="AZ152" i="22" s="1"/>
  <c r="AZ153" i="22" s="1"/>
  <c r="AZ143" i="22"/>
  <c r="AZ145" i="22" s="1"/>
  <c r="AZ146" i="22" s="1"/>
  <c r="BA129" i="22"/>
  <c r="BA131" i="22" s="1"/>
  <c r="BA132" i="22" s="1"/>
  <c r="AZ108" i="22"/>
  <c r="AZ110" i="22" s="1"/>
  <c r="AZ111" i="22" s="1"/>
  <c r="AZ122" i="22"/>
  <c r="AZ124" i="22" s="1"/>
  <c r="AZ125" i="22" s="1"/>
  <c r="AZ101" i="22"/>
  <c r="AZ103" i="22" s="1"/>
  <c r="AZ104" i="22" s="1"/>
  <c r="BA115" i="22"/>
  <c r="BA117" i="22" s="1"/>
  <c r="BA118" i="22" s="1"/>
  <c r="AZ73" i="22"/>
  <c r="AZ75" i="22" s="1"/>
  <c r="AZ76" i="22" s="1"/>
  <c r="AZ87" i="22"/>
  <c r="AZ89" i="22" s="1"/>
  <c r="AZ90" i="22" s="1"/>
  <c r="BA80" i="22"/>
  <c r="BA82" i="22" s="1"/>
  <c r="BA83" i="22" s="1"/>
  <c r="AZ94" i="22"/>
  <c r="AZ96" i="22" s="1"/>
  <c r="AZ97" i="22" s="1"/>
  <c r="AZ66" i="22"/>
  <c r="AZ68" i="22" s="1"/>
  <c r="AZ69" i="22" s="1"/>
  <c r="AZ59" i="22"/>
  <c r="AZ61" i="22" s="1"/>
  <c r="AZ62" i="22" s="1"/>
  <c r="AZ52" i="22"/>
  <c r="AZ54" i="22" s="1"/>
  <c r="AZ55" i="22" s="1"/>
  <c r="AZ45" i="22"/>
  <c r="AZ47" i="22" s="1"/>
  <c r="AZ48" i="22" s="1"/>
  <c r="AZ38" i="22"/>
  <c r="AZ40" i="22" s="1"/>
  <c r="AZ41" i="22" s="1"/>
  <c r="BA31" i="22"/>
  <c r="BA33" i="22" s="1"/>
  <c r="BA34" i="22" s="1"/>
  <c r="AZ24" i="22"/>
  <c r="AZ26" i="22" s="1"/>
  <c r="AZ27" i="22" s="1"/>
  <c r="AS23" i="10"/>
  <c r="AT9" i="22"/>
  <c r="AT16" i="22" s="1"/>
  <c r="V12" i="10"/>
  <c r="W8" i="10" s="1"/>
  <c r="W11" i="10" s="1"/>
  <c r="AR15" i="10"/>
  <c r="AR27" i="10" s="1"/>
  <c r="AR31" i="21"/>
  <c r="K18" i="10"/>
  <c r="K19" i="10" s="1"/>
  <c r="K40" i="21" s="1"/>
  <c r="AU17" i="10"/>
  <c r="AT7" i="10"/>
  <c r="AS7" i="21"/>
  <c r="AS88" i="10"/>
  <c r="AS54" i="10"/>
  <c r="AS105" i="10"/>
  <c r="AS71" i="10"/>
  <c r="AS37" i="10"/>
  <c r="AR18" i="21"/>
  <c r="AR36" i="21"/>
  <c r="N20" i="21"/>
  <c r="AX42" i="21"/>
  <c r="G50" i="10"/>
  <c r="G114" i="10"/>
  <c r="G46" i="10"/>
  <c r="G112" i="10"/>
  <c r="G111" i="10"/>
  <c r="G48" i="10"/>
  <c r="G117" i="10" s="1"/>
  <c r="N23" i="21" l="1"/>
  <c r="N38" i="21" s="1"/>
  <c r="X80" i="10"/>
  <c r="X76" i="10"/>
  <c r="X79" i="10" s="1"/>
  <c r="X84" i="10" s="1"/>
  <c r="Y75" i="10" s="1"/>
  <c r="X93" i="10"/>
  <c r="X96" i="10" s="1"/>
  <c r="X99" i="10" s="1"/>
  <c r="X102" i="10" s="1"/>
  <c r="AA8" i="21"/>
  <c r="AA10" i="21" s="1"/>
  <c r="Z12" i="21"/>
  <c r="Z14" i="21" s="1"/>
  <c r="Y37" i="21"/>
  <c r="Y22" i="21"/>
  <c r="Y19" i="21"/>
  <c r="AE13" i="22"/>
  <c r="AE11" i="22"/>
  <c r="AF19" i="22"/>
  <c r="AF10" i="22"/>
  <c r="BA164" i="22"/>
  <c r="BA166" i="22" s="1"/>
  <c r="BA167" i="22" s="1"/>
  <c r="AT184" i="22"/>
  <c r="AT212" i="22"/>
  <c r="AT205" i="22"/>
  <c r="AT163" i="22"/>
  <c r="AT156" i="22"/>
  <c r="AT121" i="22"/>
  <c r="AT219" i="22"/>
  <c r="AT191" i="22"/>
  <c r="AT177" i="22"/>
  <c r="AT135" i="22"/>
  <c r="AT170" i="22"/>
  <c r="AT93" i="22"/>
  <c r="AT86" i="22"/>
  <c r="AT79" i="22"/>
  <c r="AT51" i="22"/>
  <c r="AT198" i="22"/>
  <c r="AT142" i="22"/>
  <c r="AT128" i="22"/>
  <c r="AT149" i="22"/>
  <c r="AT114" i="22"/>
  <c r="AT107" i="22"/>
  <c r="AT65" i="22"/>
  <c r="AT58" i="22"/>
  <c r="AT44" i="22"/>
  <c r="AT100" i="22"/>
  <c r="AT37" i="22"/>
  <c r="AT30" i="22"/>
  <c r="AT23" i="22"/>
  <c r="AT72" i="22"/>
  <c r="BA136" i="22"/>
  <c r="BA138" i="22" s="1"/>
  <c r="BA139" i="22" s="1"/>
  <c r="BA213" i="22"/>
  <c r="BA215" i="22" s="1"/>
  <c r="BA216" i="22" s="1"/>
  <c r="BA220" i="22"/>
  <c r="BA222" i="22" s="1"/>
  <c r="BA223" i="22" s="1"/>
  <c r="BA192" i="22"/>
  <c r="BA194" i="22" s="1"/>
  <c r="BA195" i="22" s="1"/>
  <c r="BA206" i="22"/>
  <c r="BA208" i="22" s="1"/>
  <c r="BA209" i="22" s="1"/>
  <c r="BA199" i="22"/>
  <c r="BA201" i="22" s="1"/>
  <c r="BA202" i="22" s="1"/>
  <c r="BA185" i="22"/>
  <c r="BA187" i="22" s="1"/>
  <c r="BA188" i="22" s="1"/>
  <c r="BA157" i="22"/>
  <c r="BA159" i="22" s="1"/>
  <c r="BA160" i="22" s="1"/>
  <c r="BA171" i="22"/>
  <c r="BA173" i="22" s="1"/>
  <c r="BA174" i="22" s="1"/>
  <c r="BA178" i="22"/>
  <c r="BA180" i="22" s="1"/>
  <c r="BA181" i="22" s="1"/>
  <c r="BB129" i="22"/>
  <c r="BB131" i="22" s="1"/>
  <c r="BB132" i="22" s="1"/>
  <c r="BA150" i="22"/>
  <c r="BA152" i="22" s="1"/>
  <c r="BA153" i="22" s="1"/>
  <c r="BA143" i="22"/>
  <c r="BA145" i="22" s="1"/>
  <c r="BA146" i="22" s="1"/>
  <c r="BB115" i="22"/>
  <c r="BB117" i="22" s="1"/>
  <c r="BB118" i="22" s="1"/>
  <c r="BA122" i="22"/>
  <c r="BA124" i="22" s="1"/>
  <c r="BA125" i="22" s="1"/>
  <c r="BA101" i="22"/>
  <c r="BA103" i="22" s="1"/>
  <c r="BA104" i="22" s="1"/>
  <c r="BA108" i="22"/>
  <c r="BA110" i="22" s="1"/>
  <c r="BA111" i="22" s="1"/>
  <c r="BA87" i="22"/>
  <c r="BA89" i="22" s="1"/>
  <c r="BA90" i="22" s="1"/>
  <c r="BB80" i="22"/>
  <c r="BB82" i="22" s="1"/>
  <c r="BB83" i="22" s="1"/>
  <c r="BA73" i="22"/>
  <c r="BA75" i="22" s="1"/>
  <c r="BA76" i="22" s="1"/>
  <c r="BA94" i="22"/>
  <c r="BA96" i="22" s="1"/>
  <c r="BA97" i="22" s="1"/>
  <c r="BA66" i="22"/>
  <c r="BA68" i="22" s="1"/>
  <c r="BA69" i="22" s="1"/>
  <c r="BA59" i="22"/>
  <c r="BA61" i="22" s="1"/>
  <c r="BA62" i="22" s="1"/>
  <c r="BA52" i="22"/>
  <c r="BA54" i="22" s="1"/>
  <c r="BA55" i="22" s="1"/>
  <c r="BA45" i="22"/>
  <c r="BA47" i="22" s="1"/>
  <c r="BA48" i="22" s="1"/>
  <c r="BA38" i="22"/>
  <c r="BA40" i="22" s="1"/>
  <c r="BA41" i="22" s="1"/>
  <c r="BB31" i="22"/>
  <c r="BB33" i="22" s="1"/>
  <c r="BB34" i="22" s="1"/>
  <c r="BA24" i="22"/>
  <c r="BA26" i="22" s="1"/>
  <c r="BA27" i="22" s="1"/>
  <c r="AT23" i="10"/>
  <c r="AU9" i="22"/>
  <c r="AU16" i="22" s="1"/>
  <c r="W12" i="10"/>
  <c r="X8" i="10" s="1"/>
  <c r="X11" i="10" s="1"/>
  <c r="AS15" i="10"/>
  <c r="AS27" i="10" s="1"/>
  <c r="AS31" i="21"/>
  <c r="K20" i="10"/>
  <c r="AV17" i="10"/>
  <c r="AS36" i="21"/>
  <c r="AS18" i="21"/>
  <c r="AU7" i="10"/>
  <c r="AT88" i="10"/>
  <c r="AT54" i="10"/>
  <c r="AT37" i="10"/>
  <c r="AT7" i="21"/>
  <c r="AT105" i="10"/>
  <c r="AT71" i="10"/>
  <c r="G115" i="10"/>
  <c r="G25" i="21"/>
  <c r="G26" i="21" s="1"/>
  <c r="O20" i="21"/>
  <c r="AY42" i="21"/>
  <c r="G118" i="10"/>
  <c r="I58" i="10"/>
  <c r="H41" i="10"/>
  <c r="G51" i="10"/>
  <c r="G119" i="10" s="1"/>
  <c r="O23" i="21" l="1"/>
  <c r="O38" i="21" s="1"/>
  <c r="X82" i="10"/>
  <c r="X85" i="10" s="1"/>
  <c r="X97" i="10"/>
  <c r="X101" i="10"/>
  <c r="Y92" i="10" s="1"/>
  <c r="Y93" i="10" s="1"/>
  <c r="Y76" i="10"/>
  <c r="Y80" i="10"/>
  <c r="I59" i="10"/>
  <c r="T19" i="9"/>
  <c r="T28" i="9" s="1"/>
  <c r="Z37" i="21"/>
  <c r="Z22" i="21"/>
  <c r="Z19" i="21"/>
  <c r="AB8" i="21"/>
  <c r="AB10" i="21" s="1"/>
  <c r="AA12" i="21"/>
  <c r="AA14" i="21" s="1"/>
  <c r="AF20" i="22"/>
  <c r="AF12" i="22"/>
  <c r="AE11" i="21" s="1"/>
  <c r="AG17" i="22"/>
  <c r="AU219" i="22"/>
  <c r="AU177" i="22"/>
  <c r="AU191" i="22"/>
  <c r="AU184" i="22"/>
  <c r="AU149" i="22"/>
  <c r="AU142" i="22"/>
  <c r="AU135" i="22"/>
  <c r="AU114" i="22"/>
  <c r="AU198" i="22"/>
  <c r="AU212" i="22"/>
  <c r="AU205" i="22"/>
  <c r="AU170" i="22"/>
  <c r="AU156" i="22"/>
  <c r="AU128" i="22"/>
  <c r="AU72" i="22"/>
  <c r="AU44" i="22"/>
  <c r="AU23" i="22"/>
  <c r="AU121" i="22"/>
  <c r="AU100" i="22"/>
  <c r="AU93" i="22"/>
  <c r="AU37" i="22"/>
  <c r="AU30" i="22"/>
  <c r="AU163" i="22"/>
  <c r="AU79" i="22"/>
  <c r="AU107" i="22"/>
  <c r="AU51" i="22"/>
  <c r="AU65" i="22"/>
  <c r="AU58" i="22"/>
  <c r="AU86" i="22"/>
  <c r="BB164" i="22"/>
  <c r="BB166" i="22" s="1"/>
  <c r="BB167" i="22" s="1"/>
  <c r="BB136" i="22"/>
  <c r="BB138" i="22" s="1"/>
  <c r="BB139" i="22" s="1"/>
  <c r="BB220" i="22"/>
  <c r="BB222" i="22" s="1"/>
  <c r="BB223" i="22" s="1"/>
  <c r="BB213" i="22"/>
  <c r="BB215" i="22" s="1"/>
  <c r="BB216" i="22" s="1"/>
  <c r="BB185" i="22"/>
  <c r="BB187" i="22" s="1"/>
  <c r="BB188" i="22" s="1"/>
  <c r="BB192" i="22"/>
  <c r="BB194" i="22" s="1"/>
  <c r="BB195" i="22" s="1"/>
  <c r="BB206" i="22"/>
  <c r="BB208" i="22" s="1"/>
  <c r="BB209" i="22" s="1"/>
  <c r="BB199" i="22"/>
  <c r="BB201" i="22" s="1"/>
  <c r="BB202" i="22" s="1"/>
  <c r="BB171" i="22"/>
  <c r="BB173" i="22" s="1"/>
  <c r="BB174" i="22" s="1"/>
  <c r="BB178" i="22"/>
  <c r="BB180" i="22" s="1"/>
  <c r="BB181" i="22" s="1"/>
  <c r="BB157" i="22"/>
  <c r="BB159" i="22" s="1"/>
  <c r="BB160" i="22" s="1"/>
  <c r="BB150" i="22"/>
  <c r="BB152" i="22" s="1"/>
  <c r="BB153" i="22" s="1"/>
  <c r="BB143" i="22"/>
  <c r="BB145" i="22" s="1"/>
  <c r="BB146" i="22" s="1"/>
  <c r="BB108" i="22"/>
  <c r="BB110" i="22" s="1"/>
  <c r="BB111" i="22" s="1"/>
  <c r="BB122" i="22"/>
  <c r="BB124" i="22" s="1"/>
  <c r="BB125" i="22" s="1"/>
  <c r="BB101" i="22"/>
  <c r="BB103" i="22" s="1"/>
  <c r="BB104" i="22" s="1"/>
  <c r="BB73" i="22"/>
  <c r="BB75" i="22" s="1"/>
  <c r="BB76" i="22" s="1"/>
  <c r="BB94" i="22"/>
  <c r="BB96" i="22" s="1"/>
  <c r="BB97" i="22" s="1"/>
  <c r="BB87" i="22"/>
  <c r="BB89" i="22" s="1"/>
  <c r="BB90" i="22" s="1"/>
  <c r="BB66" i="22"/>
  <c r="BB68" i="22" s="1"/>
  <c r="BB69" i="22" s="1"/>
  <c r="BB59" i="22"/>
  <c r="BB61" i="22" s="1"/>
  <c r="BB62" i="22" s="1"/>
  <c r="BB52" i="22"/>
  <c r="BB54" i="22" s="1"/>
  <c r="BB55" i="22" s="1"/>
  <c r="BB45" i="22"/>
  <c r="BB47" i="22" s="1"/>
  <c r="BB48" i="22" s="1"/>
  <c r="BB38" i="22"/>
  <c r="BB40" i="22" s="1"/>
  <c r="BB41" i="22" s="1"/>
  <c r="BB24" i="22"/>
  <c r="BB26" i="22" s="1"/>
  <c r="BB27" i="22" s="1"/>
  <c r="AU23" i="10"/>
  <c r="AV9" i="22"/>
  <c r="AV16" i="22" s="1"/>
  <c r="AT15" i="10"/>
  <c r="AT27" i="10" s="1"/>
  <c r="AT31" i="21"/>
  <c r="G28" i="21"/>
  <c r="L18" i="10"/>
  <c r="L19" i="10" s="1"/>
  <c r="L40" i="21" s="1"/>
  <c r="AW17" i="10"/>
  <c r="AX17" i="10" s="1"/>
  <c r="AT36" i="21"/>
  <c r="AT18" i="21"/>
  <c r="AV7" i="10"/>
  <c r="AU105" i="10"/>
  <c r="AU71" i="10"/>
  <c r="AU37" i="10"/>
  <c r="AU7" i="21"/>
  <c r="AU88" i="10"/>
  <c r="AU54" i="10"/>
  <c r="H106" i="10"/>
  <c r="H9" i="10" s="1"/>
  <c r="H107" i="10"/>
  <c r="P20" i="21"/>
  <c r="AZ42" i="21"/>
  <c r="I108" i="10"/>
  <c r="H42" i="10"/>
  <c r="H110" i="10" s="1"/>
  <c r="P23" i="21" l="1"/>
  <c r="P38" i="21" s="1"/>
  <c r="Y79" i="10"/>
  <c r="Y82" i="10" s="1"/>
  <c r="Y85" i="10" s="1"/>
  <c r="Y96" i="10"/>
  <c r="Y97" i="10" s="1"/>
  <c r="I62" i="10"/>
  <c r="AA22" i="21"/>
  <c r="AA37" i="21"/>
  <c r="AA19" i="21"/>
  <c r="AC8" i="21"/>
  <c r="AC10" i="21" s="1"/>
  <c r="AB12" i="21"/>
  <c r="AB14" i="21" s="1"/>
  <c r="AF13" i="22"/>
  <c r="AF11" i="22"/>
  <c r="AG19" i="22"/>
  <c r="AG10" i="22"/>
  <c r="AV219" i="22"/>
  <c r="AV212" i="22"/>
  <c r="AV191" i="22"/>
  <c r="AV198" i="22"/>
  <c r="AV177" i="22"/>
  <c r="AV205" i="22"/>
  <c r="AV170" i="22"/>
  <c r="AV156" i="22"/>
  <c r="AV128" i="22"/>
  <c r="AV163" i="22"/>
  <c r="AV149" i="22"/>
  <c r="AV142" i="22"/>
  <c r="AV65" i="22"/>
  <c r="AV37" i="22"/>
  <c r="AV184" i="22"/>
  <c r="AV135" i="22"/>
  <c r="AV121" i="22"/>
  <c r="AV114" i="22"/>
  <c r="AV107" i="22"/>
  <c r="AV79" i="22"/>
  <c r="AV23" i="22"/>
  <c r="AV86" i="22"/>
  <c r="AV72" i="22"/>
  <c r="AV58" i="22"/>
  <c r="AV51" i="22"/>
  <c r="AV100" i="22"/>
  <c r="AV44" i="22"/>
  <c r="AV93" i="22"/>
  <c r="AV30" i="22"/>
  <c r="AV23" i="10"/>
  <c r="AW9" i="22"/>
  <c r="AW16" i="22" s="1"/>
  <c r="X12" i="10"/>
  <c r="Y8" i="10" s="1"/>
  <c r="G32" i="21"/>
  <c r="G33" i="21" s="1"/>
  <c r="AU15" i="10"/>
  <c r="AU27" i="10" s="1"/>
  <c r="AU31" i="21"/>
  <c r="L20" i="10"/>
  <c r="M18" i="10" s="1"/>
  <c r="M19" i="10" s="1"/>
  <c r="M40" i="21" s="1"/>
  <c r="H39" i="21"/>
  <c r="H41" i="21" s="1"/>
  <c r="H43" i="21" s="1"/>
  <c r="H27" i="21" s="1"/>
  <c r="H24" i="21"/>
  <c r="AU36" i="21"/>
  <c r="AU18" i="21"/>
  <c r="AW7" i="10"/>
  <c r="AV7" i="21"/>
  <c r="AV105" i="10"/>
  <c r="AV71" i="10"/>
  <c r="AV88" i="10"/>
  <c r="AV54" i="10"/>
  <c r="AV37" i="10"/>
  <c r="Q20" i="21"/>
  <c r="BA42" i="21"/>
  <c r="H45" i="10"/>
  <c r="Y11" i="10" l="1"/>
  <c r="T15" i="9"/>
  <c r="Q23" i="21"/>
  <c r="Q38" i="21" s="1"/>
  <c r="Y84" i="10"/>
  <c r="Z75" i="10" s="1"/>
  <c r="Z80" i="10" s="1"/>
  <c r="Y101" i="10"/>
  <c r="Z92" i="10" s="1"/>
  <c r="I63" i="10"/>
  <c r="I67" i="10"/>
  <c r="Y99" i="10"/>
  <c r="Y102" i="10" s="1"/>
  <c r="I65" i="10"/>
  <c r="I68" i="10" s="1"/>
  <c r="AB22" i="21"/>
  <c r="AB37" i="21"/>
  <c r="AB19" i="21"/>
  <c r="AD8" i="21"/>
  <c r="AD10" i="21" s="1"/>
  <c r="AC12" i="21"/>
  <c r="AC14" i="21" s="1"/>
  <c r="AG20" i="22"/>
  <c r="AG12" i="22"/>
  <c r="AF11" i="21" s="1"/>
  <c r="AH17" i="22"/>
  <c r="AW205" i="22"/>
  <c r="AW198" i="22"/>
  <c r="AW191" i="22"/>
  <c r="AW219" i="22"/>
  <c r="AW170" i="22"/>
  <c r="AW128" i="22"/>
  <c r="AW212" i="22"/>
  <c r="AW177" i="22"/>
  <c r="AW163" i="22"/>
  <c r="AW149" i="22"/>
  <c r="AW142" i="22"/>
  <c r="AW184" i="22"/>
  <c r="AW135" i="22"/>
  <c r="AW121" i="22"/>
  <c r="AW114" i="22"/>
  <c r="AW107" i="22"/>
  <c r="AW100" i="22"/>
  <c r="AW58" i="22"/>
  <c r="AW30" i="22"/>
  <c r="AW156" i="22"/>
  <c r="AW79" i="22"/>
  <c r="AW86" i="22"/>
  <c r="AW72" i="22"/>
  <c r="AW51" i="22"/>
  <c r="AW93" i="22"/>
  <c r="AW65" i="22"/>
  <c r="AW44" i="22"/>
  <c r="AW23" i="22"/>
  <c r="AW37" i="22"/>
  <c r="AW23" i="10"/>
  <c r="AX9" i="22"/>
  <c r="AX16" i="22" s="1"/>
  <c r="AV15" i="10"/>
  <c r="AV27" i="10" s="1"/>
  <c r="AV31" i="21"/>
  <c r="M20" i="10"/>
  <c r="AY17" i="10"/>
  <c r="AV18" i="21"/>
  <c r="AV36" i="21"/>
  <c r="AX7" i="10"/>
  <c r="AW7" i="21"/>
  <c r="AW88" i="10"/>
  <c r="AW54" i="10"/>
  <c r="AW71" i="10"/>
  <c r="AW105" i="10"/>
  <c r="AW37" i="10"/>
  <c r="R20" i="21"/>
  <c r="H50" i="10"/>
  <c r="H114" i="10"/>
  <c r="H112" i="10"/>
  <c r="H111" i="10"/>
  <c r="H48" i="10"/>
  <c r="H117" i="10" s="1"/>
  <c r="H46" i="10"/>
  <c r="R23" i="21" l="1"/>
  <c r="R38" i="21" s="1"/>
  <c r="Z76" i="10"/>
  <c r="Z79" i="10" s="1"/>
  <c r="Z84" i="10" s="1"/>
  <c r="AA75" i="10" s="1"/>
  <c r="Z93" i="10"/>
  <c r="Z96" i="10" s="1"/>
  <c r="Z101" i="10" s="1"/>
  <c r="AE8" i="21"/>
  <c r="AE10" i="21" s="1"/>
  <c r="AD12" i="21"/>
  <c r="AD14" i="21" s="1"/>
  <c r="AC22" i="21"/>
  <c r="AC37" i="21"/>
  <c r="AC19" i="21"/>
  <c r="AG13" i="22"/>
  <c r="AG11" i="22"/>
  <c r="AH19" i="22"/>
  <c r="AH10" i="22"/>
  <c r="AX184" i="22"/>
  <c r="AX219" i="22"/>
  <c r="AX198" i="22"/>
  <c r="AX212" i="22"/>
  <c r="AX205" i="22"/>
  <c r="AX163" i="22"/>
  <c r="AX156" i="22"/>
  <c r="AX121" i="22"/>
  <c r="AX191" i="22"/>
  <c r="AX170" i="22"/>
  <c r="AX93" i="22"/>
  <c r="AX86" i="22"/>
  <c r="AX79" i="22"/>
  <c r="AX51" i="22"/>
  <c r="AX72" i="22"/>
  <c r="AX142" i="22"/>
  <c r="AX65" i="22"/>
  <c r="AX58" i="22"/>
  <c r="AX44" i="22"/>
  <c r="AX177" i="22"/>
  <c r="AX149" i="22"/>
  <c r="AX135" i="22"/>
  <c r="AX128" i="22"/>
  <c r="AX107" i="22"/>
  <c r="AX100" i="22"/>
  <c r="AX37" i="22"/>
  <c r="AX30" i="22"/>
  <c r="AX114" i="22"/>
  <c r="AX23" i="22"/>
  <c r="AX23" i="10"/>
  <c r="AY9" i="22"/>
  <c r="AY16" i="22" s="1"/>
  <c r="Y12" i="10"/>
  <c r="Z8" i="10" s="1"/>
  <c r="Z11" i="10" s="1"/>
  <c r="AW15" i="10"/>
  <c r="AW27" i="10" s="1"/>
  <c r="AW31" i="21"/>
  <c r="N18" i="10"/>
  <c r="N19" i="10" s="1"/>
  <c r="N40" i="21" s="1"/>
  <c r="AZ17" i="10"/>
  <c r="AY7" i="10"/>
  <c r="AX88" i="10"/>
  <c r="AX54" i="10"/>
  <c r="AX37" i="10"/>
  <c r="AX7" i="21"/>
  <c r="AX105" i="10"/>
  <c r="AX71" i="10"/>
  <c r="H115" i="10"/>
  <c r="H25" i="21"/>
  <c r="H26" i="21" s="1"/>
  <c r="AW18" i="21"/>
  <c r="AW36" i="21"/>
  <c r="S20" i="21"/>
  <c r="H118" i="10"/>
  <c r="J58" i="10"/>
  <c r="H51" i="10"/>
  <c r="H119" i="10" s="1"/>
  <c r="I41" i="10"/>
  <c r="S23" i="21" l="1"/>
  <c r="S38" i="21" s="1"/>
  <c r="T16" i="9"/>
  <c r="Z82" i="10"/>
  <c r="Z85" i="10" s="1"/>
  <c r="Z97" i="10"/>
  <c r="AA76" i="10"/>
  <c r="AA80" i="10"/>
  <c r="AA92" i="10"/>
  <c r="AA93" i="10" s="1"/>
  <c r="Z99" i="10"/>
  <c r="Z102" i="10" s="1"/>
  <c r="J59" i="10"/>
  <c r="AF8" i="21"/>
  <c r="AF10" i="21" s="1"/>
  <c r="AE12" i="21"/>
  <c r="AE14" i="21" s="1"/>
  <c r="AD37" i="21"/>
  <c r="AD19" i="21"/>
  <c r="AD22" i="21"/>
  <c r="AH20" i="22"/>
  <c r="AH12" i="22"/>
  <c r="AG11" i="21" s="1"/>
  <c r="AI17" i="22"/>
  <c r="AY219" i="22"/>
  <c r="AY177" i="22"/>
  <c r="AY212" i="22"/>
  <c r="AY205" i="22"/>
  <c r="AY149" i="22"/>
  <c r="AY142" i="22"/>
  <c r="AY135" i="22"/>
  <c r="AY114" i="22"/>
  <c r="AY191" i="22"/>
  <c r="AY184" i="22"/>
  <c r="AY198" i="22"/>
  <c r="AY156" i="22"/>
  <c r="AY72" i="22"/>
  <c r="AY44" i="22"/>
  <c r="AY23" i="22"/>
  <c r="AY163" i="22"/>
  <c r="AY170" i="22"/>
  <c r="AY86" i="22"/>
  <c r="AY65" i="22"/>
  <c r="AY58" i="22"/>
  <c r="AY51" i="22"/>
  <c r="AY128" i="22"/>
  <c r="AY107" i="22"/>
  <c r="AY100" i="22"/>
  <c r="AY93" i="22"/>
  <c r="AY37" i="22"/>
  <c r="AY30" i="22"/>
  <c r="AY121" i="22"/>
  <c r="AY79" i="22"/>
  <c r="AY23" i="10"/>
  <c r="AZ9" i="22"/>
  <c r="AZ16" i="22" s="1"/>
  <c r="AX15" i="10"/>
  <c r="AX27" i="10" s="1"/>
  <c r="AX31" i="21"/>
  <c r="H28" i="21"/>
  <c r="H32" i="21" s="1"/>
  <c r="N20" i="10"/>
  <c r="O18" i="10" s="1"/>
  <c r="O19" i="10" s="1"/>
  <c r="O40" i="21" s="1"/>
  <c r="BA17" i="10"/>
  <c r="AX36" i="21"/>
  <c r="AX18" i="21"/>
  <c r="AZ7" i="10"/>
  <c r="AY105" i="10"/>
  <c r="AY71" i="10"/>
  <c r="AY37" i="10"/>
  <c r="AY54" i="10"/>
  <c r="AY7" i="21"/>
  <c r="AY88" i="10"/>
  <c r="I106" i="10"/>
  <c r="I9" i="10" s="1"/>
  <c r="I107" i="10"/>
  <c r="T20" i="21"/>
  <c r="J108" i="10"/>
  <c r="I42" i="10"/>
  <c r="T23" i="21" l="1"/>
  <c r="T38" i="21" s="1"/>
  <c r="T29" i="9" s="1"/>
  <c r="AA79" i="10"/>
  <c r="AA82" i="10" s="1"/>
  <c r="AA85" i="10" s="1"/>
  <c r="AA96" i="10"/>
  <c r="AA99" i="10" s="1"/>
  <c r="AA102" i="10" s="1"/>
  <c r="J62" i="10"/>
  <c r="AE37" i="21"/>
  <c r="AE19" i="21"/>
  <c r="AE22" i="21"/>
  <c r="AG8" i="21"/>
  <c r="AG10" i="21" s="1"/>
  <c r="AH8" i="21" s="1"/>
  <c r="AH10" i="21" s="1"/>
  <c r="AI8" i="21" s="1"/>
  <c r="AI10" i="21" s="1"/>
  <c r="AJ8" i="21" s="1"/>
  <c r="AJ10" i="21" s="1"/>
  <c r="AK8" i="21" s="1"/>
  <c r="AK10" i="21" s="1"/>
  <c r="AL8" i="21" s="1"/>
  <c r="AL10" i="21" s="1"/>
  <c r="AM8" i="21" s="1"/>
  <c r="AF12" i="21"/>
  <c r="AF14" i="21" s="1"/>
  <c r="AH13" i="22"/>
  <c r="AH11" i="22"/>
  <c r="AI19" i="22"/>
  <c r="AI10" i="22"/>
  <c r="AZ219" i="22"/>
  <c r="AZ212" i="22"/>
  <c r="AZ191" i="22"/>
  <c r="AZ184" i="22"/>
  <c r="AZ198" i="22"/>
  <c r="AZ177" i="22"/>
  <c r="AZ170" i="22"/>
  <c r="AZ135" i="22"/>
  <c r="AZ156" i="22"/>
  <c r="AZ163" i="22"/>
  <c r="AZ65" i="22"/>
  <c r="AZ37" i="22"/>
  <c r="AZ205" i="22"/>
  <c r="AZ149" i="22"/>
  <c r="AZ128" i="22"/>
  <c r="AZ107" i="22"/>
  <c r="AZ142" i="22"/>
  <c r="AZ100" i="22"/>
  <c r="AZ93" i="22"/>
  <c r="AZ44" i="22"/>
  <c r="AZ30" i="22"/>
  <c r="AZ121" i="22"/>
  <c r="AZ114" i="22"/>
  <c r="AZ79" i="22"/>
  <c r="AZ23" i="22"/>
  <c r="AZ72" i="22"/>
  <c r="AZ58" i="22"/>
  <c r="AZ51" i="22"/>
  <c r="AZ86" i="22"/>
  <c r="AZ23" i="10"/>
  <c r="BA9" i="22"/>
  <c r="BA16" i="22" s="1"/>
  <c r="Z12" i="10"/>
  <c r="AA8" i="10" s="1"/>
  <c r="AA11" i="10" s="1"/>
  <c r="H33" i="21"/>
  <c r="AY15" i="10"/>
  <c r="AY27" i="10" s="1"/>
  <c r="AY31" i="21"/>
  <c r="O20" i="10"/>
  <c r="AY18" i="21"/>
  <c r="AY36" i="21"/>
  <c r="BA7" i="10"/>
  <c r="AZ7" i="21"/>
  <c r="AZ105" i="10"/>
  <c r="AZ71" i="10"/>
  <c r="AZ88" i="10"/>
  <c r="AZ54" i="10"/>
  <c r="AZ37" i="10"/>
  <c r="U20" i="21"/>
  <c r="I45" i="10"/>
  <c r="I114" i="10" s="1"/>
  <c r="I25" i="21" s="1"/>
  <c r="I110" i="10"/>
  <c r="U23" i="21" l="1"/>
  <c r="U38" i="21" s="1"/>
  <c r="AA84" i="10"/>
  <c r="AB75" i="10" s="1"/>
  <c r="W25" i="9"/>
  <c r="W32" i="9" s="1"/>
  <c r="AA97" i="10"/>
  <c r="AA101" i="10"/>
  <c r="AB92" i="10" s="1"/>
  <c r="AB93" i="10" s="1"/>
  <c r="AB80" i="10"/>
  <c r="J63" i="10"/>
  <c r="J67" i="10"/>
  <c r="J65" i="10"/>
  <c r="J68" i="10" s="1"/>
  <c r="AB76" i="10"/>
  <c r="AF22" i="21"/>
  <c r="AF37" i="21"/>
  <c r="AF19" i="21"/>
  <c r="AG12" i="21"/>
  <c r="AG14" i="21" s="1"/>
  <c r="AM10" i="21"/>
  <c r="AN8" i="21" s="1"/>
  <c r="AI20" i="22"/>
  <c r="AI12" i="22"/>
  <c r="AH11" i="21" s="1"/>
  <c r="AH12" i="21" s="1"/>
  <c r="AH14" i="21" s="1"/>
  <c r="AJ17" i="22"/>
  <c r="BA205" i="22"/>
  <c r="BA198" i="22"/>
  <c r="BA191" i="22"/>
  <c r="BA177" i="22"/>
  <c r="BA170" i="22"/>
  <c r="BA128" i="22"/>
  <c r="BA184" i="22"/>
  <c r="BA156" i="22"/>
  <c r="BA163" i="22"/>
  <c r="BA149" i="22"/>
  <c r="BA219" i="22"/>
  <c r="BA107" i="22"/>
  <c r="BA100" i="22"/>
  <c r="BA58" i="22"/>
  <c r="BA30" i="22"/>
  <c r="BA142" i="22"/>
  <c r="BA121" i="22"/>
  <c r="BA114" i="22"/>
  <c r="BA37" i="22"/>
  <c r="BA212" i="22"/>
  <c r="BA135" i="22"/>
  <c r="BA79" i="22"/>
  <c r="BA23" i="22"/>
  <c r="BA86" i="22"/>
  <c r="BA72" i="22"/>
  <c r="BA51" i="22"/>
  <c r="BA65" i="22"/>
  <c r="BA44" i="22"/>
  <c r="BA93" i="22"/>
  <c r="BA23" i="10"/>
  <c r="BB9" i="22"/>
  <c r="BB16" i="22" s="1"/>
  <c r="AZ15" i="10"/>
  <c r="AZ27" i="10" s="1"/>
  <c r="AZ31" i="21"/>
  <c r="P18" i="10"/>
  <c r="P19" i="10" s="1"/>
  <c r="P40" i="21" s="1"/>
  <c r="AZ18" i="21"/>
  <c r="AZ36" i="21"/>
  <c r="I50" i="10"/>
  <c r="I118" i="10" s="1"/>
  <c r="I24" i="21"/>
  <c r="I26" i="21" s="1"/>
  <c r="I39" i="21"/>
  <c r="I41" i="21" s="1"/>
  <c r="I43" i="21" s="1"/>
  <c r="I27" i="21" s="1"/>
  <c r="BA7" i="21"/>
  <c r="BA88" i="10"/>
  <c r="BA54" i="10"/>
  <c r="BA37" i="10"/>
  <c r="BA105" i="10"/>
  <c r="BA71" i="10"/>
  <c r="V20" i="21"/>
  <c r="I46" i="10"/>
  <c r="I112" i="10"/>
  <c r="I111" i="10"/>
  <c r="I115" i="10"/>
  <c r="I48" i="10"/>
  <c r="I117" i="10" s="1"/>
  <c r="V23" i="21" l="1"/>
  <c r="V38" i="21" s="1"/>
  <c r="AB96" i="10"/>
  <c r="AB99" i="10" s="1"/>
  <c r="AB102" i="10" s="1"/>
  <c r="AB79" i="10"/>
  <c r="AB84" i="10" s="1"/>
  <c r="AC75" i="10" s="1"/>
  <c r="AG19" i="21"/>
  <c r="AG37" i="21"/>
  <c r="AG22" i="21"/>
  <c r="AH37" i="21"/>
  <c r="AH22" i="21"/>
  <c r="AH19" i="21"/>
  <c r="AN10" i="21"/>
  <c r="AO8" i="21" s="1"/>
  <c r="AI13" i="22"/>
  <c r="AI11" i="22"/>
  <c r="AJ19" i="22"/>
  <c r="AJ10" i="22"/>
  <c r="BB184" i="22"/>
  <c r="BB191" i="22"/>
  <c r="BB198" i="22"/>
  <c r="BB163" i="22"/>
  <c r="BB156" i="22"/>
  <c r="BB121" i="22"/>
  <c r="BB219" i="22"/>
  <c r="BB212" i="22"/>
  <c r="BB205" i="22"/>
  <c r="BB149" i="22"/>
  <c r="BB142" i="22"/>
  <c r="BB128" i="22"/>
  <c r="BB170" i="22"/>
  <c r="BB114" i="22"/>
  <c r="BB93" i="22"/>
  <c r="BB86" i="22"/>
  <c r="BB79" i="22"/>
  <c r="BB51" i="22"/>
  <c r="BB177" i="22"/>
  <c r="BB135" i="22"/>
  <c r="BB107" i="22"/>
  <c r="BB72" i="22"/>
  <c r="BB100" i="22"/>
  <c r="BB65" i="22"/>
  <c r="BB58" i="22"/>
  <c r="BB44" i="22"/>
  <c r="BB37" i="22"/>
  <c r="BB30" i="22"/>
  <c r="BB23" i="22"/>
  <c r="AA12" i="10"/>
  <c r="AB8" i="10" s="1"/>
  <c r="AB11" i="10" s="1"/>
  <c r="BA15" i="10"/>
  <c r="BA27" i="10" s="1"/>
  <c r="BA31" i="21"/>
  <c r="P20" i="10"/>
  <c r="Q18" i="10" s="1"/>
  <c r="BA36" i="21"/>
  <c r="BA18" i="21"/>
  <c r="I28" i="21"/>
  <c r="I32" i="21" s="1"/>
  <c r="I33" i="21" s="1"/>
  <c r="W20" i="21"/>
  <c r="K58" i="10"/>
  <c r="I51" i="10"/>
  <c r="I119" i="10" s="1"/>
  <c r="J41" i="10"/>
  <c r="W23" i="21" l="1"/>
  <c r="W38" i="21" s="1"/>
  <c r="AB97" i="10"/>
  <c r="AB101" i="10"/>
  <c r="AC92" i="10" s="1"/>
  <c r="AC93" i="10" s="1"/>
  <c r="AC80" i="10"/>
  <c r="AB82" i="10"/>
  <c r="AB85" i="10" s="1"/>
  <c r="K59" i="10"/>
  <c r="K62" i="10" s="1"/>
  <c r="K63" i="10" s="1"/>
  <c r="AC76" i="10"/>
  <c r="AO10" i="21"/>
  <c r="AP8" i="21" s="1"/>
  <c r="AJ20" i="22"/>
  <c r="AJ12" i="22"/>
  <c r="AI11" i="21" s="1"/>
  <c r="AI12" i="21" s="1"/>
  <c r="AI14" i="21" s="1"/>
  <c r="AK17" i="22"/>
  <c r="Q19" i="10"/>
  <c r="Q40" i="21" s="1"/>
  <c r="Q20" i="10"/>
  <c r="R18" i="10" s="1"/>
  <c r="R19" i="10" s="1"/>
  <c r="R40" i="21" s="1"/>
  <c r="J106" i="10"/>
  <c r="J9" i="10" s="1"/>
  <c r="J107" i="10"/>
  <c r="X20" i="21"/>
  <c r="K108" i="10"/>
  <c r="J42" i="10"/>
  <c r="J110" i="10" s="1"/>
  <c r="X23" i="21" l="1"/>
  <c r="X38" i="21" s="1"/>
  <c r="K67" i="10"/>
  <c r="AC96" i="10"/>
  <c r="AC99" i="10" s="1"/>
  <c r="AC102" i="10" s="1"/>
  <c r="AC79" i="10"/>
  <c r="AC84" i="10" s="1"/>
  <c r="AD75" i="10" s="1"/>
  <c r="K65" i="10"/>
  <c r="K68" i="10" s="1"/>
  <c r="AI19" i="21"/>
  <c r="AI22" i="21"/>
  <c r="AI37" i="21"/>
  <c r="AP10" i="21"/>
  <c r="AQ8" i="21" s="1"/>
  <c r="AJ13" i="22"/>
  <c r="AJ11" i="22"/>
  <c r="AK19" i="22"/>
  <c r="AK10" i="22"/>
  <c r="AB12" i="10"/>
  <c r="AC8" i="10" s="1"/>
  <c r="AC11" i="10" s="1"/>
  <c r="R20" i="10"/>
  <c r="J24" i="21"/>
  <c r="J39" i="21"/>
  <c r="J41" i="21" s="1"/>
  <c r="J43" i="21" s="1"/>
  <c r="J27" i="21" s="1"/>
  <c r="Y20" i="21"/>
  <c r="J45" i="10"/>
  <c r="Y23" i="21" l="1"/>
  <c r="Y38" i="21" s="1"/>
  <c r="AC97" i="10"/>
  <c r="AC101" i="10"/>
  <c r="AD92" i="10" s="1"/>
  <c r="AC82" i="10"/>
  <c r="AC85" i="10" s="1"/>
  <c r="AD76" i="10"/>
  <c r="AD80" i="10"/>
  <c r="AQ10" i="21"/>
  <c r="AR8" i="21" s="1"/>
  <c r="AK20" i="22"/>
  <c r="AK12" i="22"/>
  <c r="AJ11" i="21" s="1"/>
  <c r="AJ12" i="21" s="1"/>
  <c r="AJ14" i="21" s="1"/>
  <c r="AL17" i="22"/>
  <c r="S18" i="10"/>
  <c r="S19" i="10" s="1"/>
  <c r="S40" i="21" s="1"/>
  <c r="Z20" i="21"/>
  <c r="Z23" i="21" s="1"/>
  <c r="J50" i="10"/>
  <c r="J118" i="10" s="1"/>
  <c r="J114" i="10"/>
  <c r="J46" i="10"/>
  <c r="J112" i="10"/>
  <c r="J111" i="10"/>
  <c r="J48" i="10"/>
  <c r="J117" i="10" s="1"/>
  <c r="T20" i="9" l="1"/>
  <c r="Z38" i="21"/>
  <c r="AD93" i="10"/>
  <c r="AD96" i="10" s="1"/>
  <c r="AD97" i="10" s="1"/>
  <c r="AD79" i="10"/>
  <c r="AD84" i="10" s="1"/>
  <c r="AE75" i="10" s="1"/>
  <c r="AJ19" i="21"/>
  <c r="AJ22" i="21"/>
  <c r="AJ37" i="21"/>
  <c r="AR10" i="21"/>
  <c r="AS8" i="21" s="1"/>
  <c r="AK13" i="22"/>
  <c r="AK11" i="22"/>
  <c r="AL19" i="22"/>
  <c r="AL10" i="22"/>
  <c r="AC12" i="10"/>
  <c r="AD8" i="10" s="1"/>
  <c r="AD11" i="10" s="1"/>
  <c r="S20" i="10"/>
  <c r="J115" i="10"/>
  <c r="J25" i="21"/>
  <c r="J26" i="21" s="1"/>
  <c r="AA20" i="21"/>
  <c r="L58" i="10"/>
  <c r="J51" i="10"/>
  <c r="J119" i="10" s="1"/>
  <c r="K41" i="10"/>
  <c r="AA23" i="21" l="1"/>
  <c r="AA38" i="21" s="1"/>
  <c r="AD82" i="10"/>
  <c r="AD85" i="10" s="1"/>
  <c r="AD101" i="10"/>
  <c r="AE92" i="10" s="1"/>
  <c r="AE80" i="10"/>
  <c r="AD99" i="10"/>
  <c r="AD102" i="10" s="1"/>
  <c r="L59" i="10"/>
  <c r="L62" i="10" s="1"/>
  <c r="L63" i="10" s="1"/>
  <c r="AE76" i="10"/>
  <c r="AS10" i="21"/>
  <c r="AT8" i="21" s="1"/>
  <c r="AL20" i="22"/>
  <c r="AL12" i="22"/>
  <c r="AK11" i="21" s="1"/>
  <c r="AK12" i="21" s="1"/>
  <c r="AK14" i="21" s="1"/>
  <c r="AM17" i="22"/>
  <c r="J28" i="21"/>
  <c r="J32" i="21" s="1"/>
  <c r="J33" i="21" s="1"/>
  <c r="T18" i="10"/>
  <c r="T19" i="10" s="1"/>
  <c r="T40" i="21" s="1"/>
  <c r="K106" i="10"/>
  <c r="K9" i="10" s="1"/>
  <c r="K107" i="10"/>
  <c r="AB20" i="21"/>
  <c r="L108" i="10"/>
  <c r="K42" i="10"/>
  <c r="K110" i="10" s="1"/>
  <c r="AB23" i="21" l="1"/>
  <c r="AB38" i="21" s="1"/>
  <c r="AE93" i="10"/>
  <c r="AE96" i="10" s="1"/>
  <c r="AE99" i="10" s="1"/>
  <c r="AE102" i="10" s="1"/>
  <c r="L67" i="10"/>
  <c r="AE79" i="10"/>
  <c r="AE84" i="10" s="1"/>
  <c r="AF75" i="10" s="1"/>
  <c r="L65" i="10"/>
  <c r="L68" i="10" s="1"/>
  <c r="AK19" i="21"/>
  <c r="AK22" i="21"/>
  <c r="AK37" i="21"/>
  <c r="AL13" i="22"/>
  <c r="AL11" i="22"/>
  <c r="AM19" i="22"/>
  <c r="AM10" i="22"/>
  <c r="AD12" i="10"/>
  <c r="AE8" i="10" s="1"/>
  <c r="AE11" i="10" s="1"/>
  <c r="T20" i="10"/>
  <c r="U18" i="10" s="1"/>
  <c r="K24" i="21"/>
  <c r="K39" i="21"/>
  <c r="K41" i="21" s="1"/>
  <c r="K43" i="21" s="1"/>
  <c r="K27" i="21" s="1"/>
  <c r="AC20" i="21"/>
  <c r="K45" i="10"/>
  <c r="AC23" i="21" l="1"/>
  <c r="AC38" i="21" s="1"/>
  <c r="AE97" i="10"/>
  <c r="AE101" i="10"/>
  <c r="AF92" i="10" s="1"/>
  <c r="AF80" i="10"/>
  <c r="AE82" i="10"/>
  <c r="AE85" i="10" s="1"/>
  <c r="AF76" i="10"/>
  <c r="AT10" i="21"/>
  <c r="AU8" i="21" s="1"/>
  <c r="AM20" i="22"/>
  <c r="AM12" i="22"/>
  <c r="AL11" i="21" s="1"/>
  <c r="AL12" i="21" s="1"/>
  <c r="AL14" i="21" s="1"/>
  <c r="AN17" i="22"/>
  <c r="U19" i="10"/>
  <c r="U40" i="21" s="1"/>
  <c r="U20" i="10"/>
  <c r="V18" i="10" s="1"/>
  <c r="V19" i="10" s="1"/>
  <c r="V40" i="21" s="1"/>
  <c r="AD20" i="21"/>
  <c r="K50" i="10"/>
  <c r="K118" i="10" s="1"/>
  <c r="K114" i="10"/>
  <c r="K25" i="21" s="1"/>
  <c r="K26" i="21" s="1"/>
  <c r="K112" i="10"/>
  <c r="K111" i="10"/>
  <c r="K48" i="10"/>
  <c r="K117" i="10" s="1"/>
  <c r="K46" i="10"/>
  <c r="AD23" i="21" l="1"/>
  <c r="AD38" i="21" s="1"/>
  <c r="AF79" i="10"/>
  <c r="AF84" i="10" s="1"/>
  <c r="AG75" i="10" s="1"/>
  <c r="AG76" i="10" s="1"/>
  <c r="AF93" i="10"/>
  <c r="AF96" i="10" s="1"/>
  <c r="AF99" i="10" s="1"/>
  <c r="AF102" i="10" s="1"/>
  <c r="AL37" i="21"/>
  <c r="AL19" i="21"/>
  <c r="AL22" i="21"/>
  <c r="AM13" i="22"/>
  <c r="AM11" i="22"/>
  <c r="AN19" i="22"/>
  <c r="AN10" i="22"/>
  <c r="AE12" i="10"/>
  <c r="AF8" i="10" s="1"/>
  <c r="AF11" i="10" s="1"/>
  <c r="K115" i="10"/>
  <c r="K28" i="21"/>
  <c r="K32" i="21" s="1"/>
  <c r="V20" i="10"/>
  <c r="W18" i="10" s="1"/>
  <c r="AE20" i="21"/>
  <c r="M58" i="10"/>
  <c r="K51" i="10"/>
  <c r="K119" i="10" s="1"/>
  <c r="L41" i="10"/>
  <c r="AE23" i="21" l="1"/>
  <c r="AE38" i="21" s="1"/>
  <c r="AF82" i="10"/>
  <c r="AF85" i="10" s="1"/>
  <c r="AF97" i="10"/>
  <c r="AF101" i="10"/>
  <c r="AG92" i="10" s="1"/>
  <c r="AG93" i="10" s="1"/>
  <c r="AG80" i="10"/>
  <c r="AG79" i="10"/>
  <c r="M59" i="10"/>
  <c r="M62" i="10" s="1"/>
  <c r="M63" i="10" s="1"/>
  <c r="AU10" i="21"/>
  <c r="AV8" i="21" s="1"/>
  <c r="AN20" i="22"/>
  <c r="AN12" i="22"/>
  <c r="AM11" i="21" s="1"/>
  <c r="AM12" i="21" s="1"/>
  <c r="AM14" i="21" s="1"/>
  <c r="AO17" i="22"/>
  <c r="K33" i="21"/>
  <c r="W19" i="10"/>
  <c r="W40" i="21" s="1"/>
  <c r="W20" i="10"/>
  <c r="X18" i="10" s="1"/>
  <c r="X19" i="10" s="1"/>
  <c r="X40" i="21" s="1"/>
  <c r="T31" i="9" s="1"/>
  <c r="L106" i="10"/>
  <c r="L9" i="10" s="1"/>
  <c r="L107" i="10"/>
  <c r="AF20" i="21"/>
  <c r="M108" i="10"/>
  <c r="L42" i="10"/>
  <c r="L110" i="10" s="1"/>
  <c r="AF23" i="21" l="1"/>
  <c r="AF38" i="21" s="1"/>
  <c r="AG84" i="10"/>
  <c r="AH75" i="10" s="1"/>
  <c r="M67" i="10"/>
  <c r="AG82" i="10"/>
  <c r="AG85" i="10" s="1"/>
  <c r="M65" i="10"/>
  <c r="M68" i="10" s="1"/>
  <c r="AG96" i="10"/>
  <c r="AG97" i="10" s="1"/>
  <c r="AM22" i="21"/>
  <c r="AM37" i="21"/>
  <c r="AM19" i="21"/>
  <c r="AN13" i="22"/>
  <c r="AN11" i="22"/>
  <c r="AO19" i="22"/>
  <c r="AO10" i="22"/>
  <c r="AF12" i="10"/>
  <c r="AG8" i="10" s="1"/>
  <c r="AG11" i="10" s="1"/>
  <c r="X20" i="10"/>
  <c r="Y18" i="10" s="1"/>
  <c r="Y19" i="10" s="1"/>
  <c r="Y40" i="21" s="1"/>
  <c r="L39" i="21"/>
  <c r="L41" i="21" s="1"/>
  <c r="L43" i="21" s="1"/>
  <c r="L27" i="21" s="1"/>
  <c r="L24" i="21"/>
  <c r="AG20" i="21"/>
  <c r="L45" i="10"/>
  <c r="AG23" i="21" l="1"/>
  <c r="AG38" i="21" s="1"/>
  <c r="AG101" i="10"/>
  <c r="AH92" i="10" s="1"/>
  <c r="AH80" i="10"/>
  <c r="AH76" i="10"/>
  <c r="AH79" i="10" s="1"/>
  <c r="AH84" i="10" s="1"/>
  <c r="AI75" i="10" s="1"/>
  <c r="AG99" i="10"/>
  <c r="AG102" i="10" s="1"/>
  <c r="AV10" i="21"/>
  <c r="AW8" i="21" s="1"/>
  <c r="AO20" i="22"/>
  <c r="AO12" i="22"/>
  <c r="AN11" i="21" s="1"/>
  <c r="AN12" i="21" s="1"/>
  <c r="AN14" i="21" s="1"/>
  <c r="AP17" i="22"/>
  <c r="Y20" i="10"/>
  <c r="AH20" i="21"/>
  <c r="L50" i="10"/>
  <c r="L118" i="10" s="1"/>
  <c r="L114" i="10"/>
  <c r="L46" i="10"/>
  <c r="L112" i="10"/>
  <c r="L111" i="10"/>
  <c r="L48" i="10"/>
  <c r="L117" i="10" s="1"/>
  <c r="AH23" i="21" l="1"/>
  <c r="AH38" i="21" s="1"/>
  <c r="AH93" i="10"/>
  <c r="AH96" i="10" s="1"/>
  <c r="AH99" i="10" s="1"/>
  <c r="AH102" i="10" s="1"/>
  <c r="AH82" i="10"/>
  <c r="AH85" i="10" s="1"/>
  <c r="AI76" i="10"/>
  <c r="AI80" i="10"/>
  <c r="AN22" i="21"/>
  <c r="AN37" i="21"/>
  <c r="AN19" i="21"/>
  <c r="AO13" i="22"/>
  <c r="AO11" i="22"/>
  <c r="AP19" i="22"/>
  <c r="AP10" i="22"/>
  <c r="AG12" i="10"/>
  <c r="AH8" i="10" s="1"/>
  <c r="AH11" i="10" s="1"/>
  <c r="Z18" i="10"/>
  <c r="Z19" i="10" s="1"/>
  <c r="Z40" i="21" s="1"/>
  <c r="L115" i="10"/>
  <c r="L25" i="21"/>
  <c r="L26" i="21" s="1"/>
  <c r="AI20" i="21"/>
  <c r="N58" i="10"/>
  <c r="M41" i="10"/>
  <c r="L51" i="10"/>
  <c r="L119" i="10" s="1"/>
  <c r="AI23" i="21" l="1"/>
  <c r="AI38" i="21" s="1"/>
  <c r="AH97" i="10"/>
  <c r="AH101" i="10"/>
  <c r="AI92" i="10" s="1"/>
  <c r="AI79" i="10"/>
  <c r="AI82" i="10" s="1"/>
  <c r="AI85" i="10" s="1"/>
  <c r="N59" i="10"/>
  <c r="N62" i="10" s="1"/>
  <c r="N63" i="10" s="1"/>
  <c r="AW10" i="21"/>
  <c r="AX8" i="21" s="1"/>
  <c r="AP20" i="22"/>
  <c r="AP12" i="22"/>
  <c r="AO11" i="21" s="1"/>
  <c r="AO12" i="21" s="1"/>
  <c r="AO14" i="21" s="1"/>
  <c r="AQ17" i="22"/>
  <c r="L28" i="21"/>
  <c r="L32" i="21" s="1"/>
  <c r="L33" i="21" s="1"/>
  <c r="Z20" i="10"/>
  <c r="AA18" i="10" s="1"/>
  <c r="AA19" i="10" s="1"/>
  <c r="AA40" i="21" s="1"/>
  <c r="M106" i="10"/>
  <c r="M9" i="10" s="1"/>
  <c r="M107" i="10"/>
  <c r="AJ20" i="21"/>
  <c r="N108" i="10"/>
  <c r="M42" i="10"/>
  <c r="M110" i="10" s="1"/>
  <c r="AJ23" i="21" l="1"/>
  <c r="AJ38" i="21" s="1"/>
  <c r="AI93" i="10"/>
  <c r="AI96" i="10" s="1"/>
  <c r="AI97" i="10" s="1"/>
  <c r="AI84" i="10"/>
  <c r="AJ75" i="10" s="1"/>
  <c r="N67" i="10"/>
  <c r="N65" i="10"/>
  <c r="N68" i="10" s="1"/>
  <c r="AO19" i="21"/>
  <c r="AO37" i="21"/>
  <c r="AO22" i="21"/>
  <c r="AP13" i="22"/>
  <c r="AP11" i="22"/>
  <c r="AQ19" i="22"/>
  <c r="AQ10" i="22"/>
  <c r="AH12" i="10"/>
  <c r="AI8" i="10" s="1"/>
  <c r="AI11" i="10" s="1"/>
  <c r="AA20" i="10"/>
  <c r="AB18" i="10" s="1"/>
  <c r="AB19" i="10" s="1"/>
  <c r="AB40" i="21" s="1"/>
  <c r="M39" i="21"/>
  <c r="M41" i="21" s="1"/>
  <c r="M43" i="21" s="1"/>
  <c r="M27" i="21" s="1"/>
  <c r="M24" i="21"/>
  <c r="AK20" i="21"/>
  <c r="M45" i="10"/>
  <c r="AK23" i="21" l="1"/>
  <c r="AK38" i="21" s="1"/>
  <c r="AI99" i="10"/>
  <c r="AI101" i="10"/>
  <c r="AJ92" i="10" s="1"/>
  <c r="AJ80" i="10"/>
  <c r="AJ76" i="10"/>
  <c r="AJ79" i="10" s="1"/>
  <c r="AX10" i="21"/>
  <c r="AY8" i="21" s="1"/>
  <c r="AQ20" i="22"/>
  <c r="AQ12" i="22"/>
  <c r="AP11" i="21" s="1"/>
  <c r="AP12" i="21" s="1"/>
  <c r="AP14" i="21" s="1"/>
  <c r="AR17" i="22"/>
  <c r="AB20" i="10"/>
  <c r="AL20" i="21"/>
  <c r="M50" i="10"/>
  <c r="M118" i="10" s="1"/>
  <c r="M114" i="10"/>
  <c r="M46" i="10"/>
  <c r="M112" i="10"/>
  <c r="M111" i="10"/>
  <c r="M48" i="10"/>
  <c r="M117" i="10" s="1"/>
  <c r="AL23" i="21" l="1"/>
  <c r="AL38" i="21" s="1"/>
  <c r="AJ93" i="10"/>
  <c r="AJ96" i="10" s="1"/>
  <c r="AJ99" i="10" s="1"/>
  <c r="AI102" i="10"/>
  <c r="AJ84" i="10"/>
  <c r="AK75" i="10" s="1"/>
  <c r="AK76" i="10" s="1"/>
  <c r="AJ82" i="10"/>
  <c r="AJ85" i="10" s="1"/>
  <c r="AP22" i="21"/>
  <c r="AP19" i="21"/>
  <c r="AP37" i="21"/>
  <c r="AQ13" i="22"/>
  <c r="AQ11" i="22"/>
  <c r="AR19" i="22"/>
  <c r="AR10" i="22"/>
  <c r="AI12" i="10"/>
  <c r="AJ8" i="10" s="1"/>
  <c r="AJ11" i="10" s="1"/>
  <c r="AC18" i="10"/>
  <c r="AC19" i="10" s="1"/>
  <c r="AC40" i="21" s="1"/>
  <c r="M115" i="10"/>
  <c r="M25" i="21"/>
  <c r="M26" i="21" s="1"/>
  <c r="AM20" i="21"/>
  <c r="O58" i="10"/>
  <c r="N41" i="10"/>
  <c r="M51" i="10"/>
  <c r="M119" i="10" s="1"/>
  <c r="AM23" i="21" l="1"/>
  <c r="AM38" i="21" s="1"/>
  <c r="AJ97" i="10"/>
  <c r="AJ102" i="10"/>
  <c r="AJ101" i="10"/>
  <c r="AK92" i="10" s="1"/>
  <c r="AK80" i="10"/>
  <c r="AK79" i="10"/>
  <c r="AK84" i="10" s="1"/>
  <c r="AL75" i="10" s="1"/>
  <c r="O59" i="10"/>
  <c r="AY10" i="21"/>
  <c r="AZ8" i="21" s="1"/>
  <c r="AR20" i="22"/>
  <c r="AR12" i="22"/>
  <c r="AQ11" i="21" s="1"/>
  <c r="AQ12" i="21" s="1"/>
  <c r="AQ14" i="21" s="1"/>
  <c r="AS17" i="22"/>
  <c r="M28" i="21"/>
  <c r="M32" i="21" s="1"/>
  <c r="M33" i="21" s="1"/>
  <c r="AC20" i="10"/>
  <c r="N106" i="10"/>
  <c r="N9" i="10" s="1"/>
  <c r="N107" i="10"/>
  <c r="AN20" i="21"/>
  <c r="O108" i="10"/>
  <c r="N42" i="10"/>
  <c r="N110" i="10" s="1"/>
  <c r="AN23" i="21" l="1"/>
  <c r="AN38" i="21" s="1"/>
  <c r="AK93" i="10"/>
  <c r="AK82" i="10"/>
  <c r="AK85" i="10" s="1"/>
  <c r="O62" i="10"/>
  <c r="AL76" i="10"/>
  <c r="AL80" i="10"/>
  <c r="AQ37" i="21"/>
  <c r="AQ22" i="21"/>
  <c r="AQ19" i="21"/>
  <c r="AR13" i="22"/>
  <c r="AR11" i="22"/>
  <c r="AS19" i="22"/>
  <c r="AS10" i="22"/>
  <c r="AJ12" i="10"/>
  <c r="AK8" i="10" s="1"/>
  <c r="AK11" i="10" s="1"/>
  <c r="AD18" i="10"/>
  <c r="AD19" i="10" s="1"/>
  <c r="AD40" i="21" s="1"/>
  <c r="N24" i="21"/>
  <c r="N39" i="21"/>
  <c r="N41" i="21" s="1"/>
  <c r="N43" i="21" s="1"/>
  <c r="N27" i="21" s="1"/>
  <c r="AO20" i="21"/>
  <c r="N45" i="10"/>
  <c r="AO23" i="21" l="1"/>
  <c r="AO38" i="21" s="1"/>
  <c r="AK96" i="10"/>
  <c r="O63" i="10"/>
  <c r="O67" i="10"/>
  <c r="O65" i="10"/>
  <c r="O68" i="10" s="1"/>
  <c r="AL79" i="10"/>
  <c r="AZ10" i="21"/>
  <c r="BA8" i="21" s="1"/>
  <c r="AS20" i="22"/>
  <c r="AS12" i="22"/>
  <c r="AR11" i="21" s="1"/>
  <c r="AR12" i="21" s="1"/>
  <c r="AR14" i="21" s="1"/>
  <c r="AT17" i="22"/>
  <c r="AD20" i="10"/>
  <c r="AP20" i="21"/>
  <c r="N50" i="10"/>
  <c r="N118" i="10" s="1"/>
  <c r="N114" i="10"/>
  <c r="N46" i="10"/>
  <c r="N112" i="10"/>
  <c r="N111" i="10"/>
  <c r="N48" i="10"/>
  <c r="N117" i="10" s="1"/>
  <c r="AP23" i="21" l="1"/>
  <c r="AP38" i="21" s="1"/>
  <c r="AK101" i="10"/>
  <c r="AL92" i="10" s="1"/>
  <c r="AL93" i="10" s="1"/>
  <c r="AK97" i="10"/>
  <c r="AK99" i="10"/>
  <c r="AL82" i="10"/>
  <c r="AL85" i="10" s="1"/>
  <c r="AL84" i="10"/>
  <c r="AM75" i="10" s="1"/>
  <c r="AR19" i="21"/>
  <c r="AR22" i="21"/>
  <c r="AR37" i="21"/>
  <c r="AS13" i="22"/>
  <c r="AS11" i="22"/>
  <c r="AT19" i="22"/>
  <c r="AT10" i="22"/>
  <c r="AK12" i="10"/>
  <c r="AL8" i="10" s="1"/>
  <c r="AL11" i="10" s="1"/>
  <c r="AE18" i="10"/>
  <c r="AE19" i="10" s="1"/>
  <c r="AE40" i="21" s="1"/>
  <c r="N115" i="10"/>
  <c r="N25" i="21"/>
  <c r="N26" i="21" s="1"/>
  <c r="AQ20" i="21"/>
  <c r="P58" i="10"/>
  <c r="N51" i="10"/>
  <c r="N119" i="10" s="1"/>
  <c r="O41" i="10"/>
  <c r="AQ23" i="21" l="1"/>
  <c r="AQ38" i="21" s="1"/>
  <c r="AK102" i="10"/>
  <c r="AL96" i="10"/>
  <c r="AL97" i="10" s="1"/>
  <c r="AM76" i="10"/>
  <c r="AM79" i="10" s="1"/>
  <c r="AM82" i="10" s="1"/>
  <c r="AM85" i="10" s="1"/>
  <c r="AM80" i="10"/>
  <c r="P59" i="10"/>
  <c r="BA10" i="21"/>
  <c r="AT20" i="22"/>
  <c r="AT12" i="22"/>
  <c r="AS11" i="21" s="1"/>
  <c r="AS12" i="21" s="1"/>
  <c r="AS14" i="21" s="1"/>
  <c r="AU17" i="22"/>
  <c r="N28" i="21"/>
  <c r="N32" i="21" s="1"/>
  <c r="N33" i="21" s="1"/>
  <c r="AE20" i="10"/>
  <c r="O106" i="10"/>
  <c r="O9" i="10" s="1"/>
  <c r="O107" i="10"/>
  <c r="AR20" i="21"/>
  <c r="P108" i="10"/>
  <c r="O42" i="10"/>
  <c r="O110" i="10" s="1"/>
  <c r="AR23" i="21" l="1"/>
  <c r="AR38" i="21" s="1"/>
  <c r="AL99" i="10"/>
  <c r="AL101" i="10"/>
  <c r="AM92" i="10" s="1"/>
  <c r="AM84" i="10"/>
  <c r="AN75" i="10" s="1"/>
  <c r="AN76" i="10" s="1"/>
  <c r="AN79" i="10" s="1"/>
  <c r="P62" i="10"/>
  <c r="AS19" i="21"/>
  <c r="AS22" i="21"/>
  <c r="AS37" i="21"/>
  <c r="AT13" i="22"/>
  <c r="AT11" i="22"/>
  <c r="AU19" i="22"/>
  <c r="AU10" i="22"/>
  <c r="AL12" i="10"/>
  <c r="AM8" i="10" s="1"/>
  <c r="AM11" i="10" s="1"/>
  <c r="AF18" i="10"/>
  <c r="AF19" i="10" s="1"/>
  <c r="AF40" i="21" s="1"/>
  <c r="O24" i="21"/>
  <c r="O39" i="21"/>
  <c r="O41" i="21" s="1"/>
  <c r="O43" i="21" s="1"/>
  <c r="O27" i="21" s="1"/>
  <c r="AS20" i="21"/>
  <c r="O45" i="10"/>
  <c r="AS23" i="21" l="1"/>
  <c r="AS38" i="21" s="1"/>
  <c r="AN80" i="10"/>
  <c r="AM93" i="10"/>
  <c r="AM96" i="10" s="1"/>
  <c r="AM101" i="10" s="1"/>
  <c r="AN92" i="10" s="1"/>
  <c r="AL102" i="10"/>
  <c r="AN84" i="10"/>
  <c r="AO75" i="10" s="1"/>
  <c r="P63" i="10"/>
  <c r="P67" i="10"/>
  <c r="AN82" i="10"/>
  <c r="AN85" i="10" s="1"/>
  <c r="P65" i="10"/>
  <c r="P68" i="10" s="1"/>
  <c r="AU20" i="22"/>
  <c r="AU12" i="22"/>
  <c r="AT11" i="21" s="1"/>
  <c r="AT12" i="21" s="1"/>
  <c r="AT14" i="21" s="1"/>
  <c r="AV17" i="22"/>
  <c r="AF20" i="10"/>
  <c r="AT20" i="21"/>
  <c r="O50" i="10"/>
  <c r="O114" i="10"/>
  <c r="O46" i="10"/>
  <c r="O112" i="10"/>
  <c r="O111" i="10"/>
  <c r="O48" i="10"/>
  <c r="O117" i="10" s="1"/>
  <c r="AM97" i="10" l="1"/>
  <c r="AN93" i="10"/>
  <c r="AM99" i="10"/>
  <c r="AO76" i="10"/>
  <c r="AO79" i="10" s="1"/>
  <c r="AO84" i="10" s="1"/>
  <c r="AO80" i="10"/>
  <c r="AT37" i="21"/>
  <c r="AT22" i="21"/>
  <c r="AT19" i="21"/>
  <c r="AU13" i="22"/>
  <c r="AU11" i="22"/>
  <c r="AV19" i="22"/>
  <c r="AV10" i="22"/>
  <c r="AM12" i="10"/>
  <c r="AN8" i="10" s="1"/>
  <c r="AN11" i="10" s="1"/>
  <c r="AG18" i="10"/>
  <c r="AG19" i="10" s="1"/>
  <c r="AG40" i="21" s="1"/>
  <c r="O115" i="10"/>
  <c r="O25" i="21"/>
  <c r="O26" i="21" s="1"/>
  <c r="AU20" i="21"/>
  <c r="O118" i="10"/>
  <c r="Q58" i="10"/>
  <c r="P41" i="10"/>
  <c r="O51" i="10"/>
  <c r="O119" i="10" s="1"/>
  <c r="AT23" i="21" l="1"/>
  <c r="AT38" i="21" s="1"/>
  <c r="AM102" i="10"/>
  <c r="AN96" i="10"/>
  <c r="AO82" i="10"/>
  <c r="AO85" i="10" s="1"/>
  <c r="Q59" i="10"/>
  <c r="AP75" i="10"/>
  <c r="AV20" i="22"/>
  <c r="AV12" i="22"/>
  <c r="AU11" i="21" s="1"/>
  <c r="AU12" i="21" s="1"/>
  <c r="AU14" i="21" s="1"/>
  <c r="AW17" i="22"/>
  <c r="O28" i="21"/>
  <c r="O32" i="21" s="1"/>
  <c r="O33" i="21" s="1"/>
  <c r="AG20" i="10"/>
  <c r="P106" i="10"/>
  <c r="P9" i="10" s="1"/>
  <c r="P107" i="10"/>
  <c r="AV20" i="21"/>
  <c r="Q108" i="10"/>
  <c r="P42" i="10"/>
  <c r="P110" i="10" s="1"/>
  <c r="AN101" i="10" l="1"/>
  <c r="AO92" i="10" s="1"/>
  <c r="AO93" i="10" s="1"/>
  <c r="AN97" i="10"/>
  <c r="AN99" i="10"/>
  <c r="Q62" i="10"/>
  <c r="AP76" i="10"/>
  <c r="AP80" i="10"/>
  <c r="AU19" i="21"/>
  <c r="AU22" i="21"/>
  <c r="AU37" i="21"/>
  <c r="AV13" i="22"/>
  <c r="AV11" i="22"/>
  <c r="AW19" i="22"/>
  <c r="AW10" i="22"/>
  <c r="AN12" i="10"/>
  <c r="AO8" i="10" s="1"/>
  <c r="AO11" i="10" s="1"/>
  <c r="AH18" i="10"/>
  <c r="AH19" i="10" s="1"/>
  <c r="AH40" i="21" s="1"/>
  <c r="P39" i="21"/>
  <c r="P41" i="21" s="1"/>
  <c r="P43" i="21" s="1"/>
  <c r="P27" i="21" s="1"/>
  <c r="P24" i="21"/>
  <c r="AW20" i="21"/>
  <c r="P45" i="10"/>
  <c r="AU23" i="21" l="1"/>
  <c r="AU38" i="21" s="1"/>
  <c r="AN102" i="10"/>
  <c r="AO96" i="10"/>
  <c r="Q63" i="10"/>
  <c r="Q67" i="10"/>
  <c r="Q65" i="10"/>
  <c r="Q68" i="10" s="1"/>
  <c r="AP79" i="10"/>
  <c r="AP84" i="10" s="1"/>
  <c r="AW20" i="22"/>
  <c r="AW12" i="22"/>
  <c r="AV11" i="21" s="1"/>
  <c r="AV12" i="21" s="1"/>
  <c r="AV14" i="21" s="1"/>
  <c r="AX17" i="22"/>
  <c r="AH20" i="10"/>
  <c r="AI18" i="10" s="1"/>
  <c r="AI19" i="10" s="1"/>
  <c r="AI40" i="21" s="1"/>
  <c r="AX20" i="21"/>
  <c r="P50" i="10"/>
  <c r="P114" i="10"/>
  <c r="P46" i="10"/>
  <c r="P112" i="10"/>
  <c r="P111" i="10"/>
  <c r="P48" i="10"/>
  <c r="P117" i="10" s="1"/>
  <c r="AO101" i="10" l="1"/>
  <c r="AP92" i="10" s="1"/>
  <c r="AP93" i="10" s="1"/>
  <c r="AO97" i="10"/>
  <c r="AO99" i="10"/>
  <c r="AP82" i="10"/>
  <c r="AP85" i="10" s="1"/>
  <c r="AQ75" i="10"/>
  <c r="AV37" i="21"/>
  <c r="AV19" i="21"/>
  <c r="AV22" i="21"/>
  <c r="AW13" i="22"/>
  <c r="AW11" i="22"/>
  <c r="AX19" i="22"/>
  <c r="AX10" i="22"/>
  <c r="AO12" i="10"/>
  <c r="AP8" i="10" s="1"/>
  <c r="AP11" i="10" s="1"/>
  <c r="AI20" i="10"/>
  <c r="P115" i="10"/>
  <c r="P25" i="21"/>
  <c r="P26" i="21" s="1"/>
  <c r="AY20" i="21"/>
  <c r="P118" i="10"/>
  <c r="R58" i="10"/>
  <c r="P51" i="10"/>
  <c r="P119" i="10" s="1"/>
  <c r="Q41" i="10"/>
  <c r="AV23" i="21" l="1"/>
  <c r="AV38" i="21" s="1"/>
  <c r="AO102" i="10"/>
  <c r="AP96" i="10"/>
  <c r="AP101" i="10" s="1"/>
  <c r="AQ92" i="10" s="1"/>
  <c r="AQ80" i="10"/>
  <c r="R59" i="10"/>
  <c r="AQ76" i="10"/>
  <c r="AX20" i="22"/>
  <c r="AX12" i="22"/>
  <c r="AW11" i="21" s="1"/>
  <c r="AW12" i="21" s="1"/>
  <c r="AW14" i="21" s="1"/>
  <c r="AY17" i="22"/>
  <c r="P28" i="21"/>
  <c r="P32" i="21" s="1"/>
  <c r="P33" i="21" s="1"/>
  <c r="AJ18" i="10"/>
  <c r="AJ19" i="10" s="1"/>
  <c r="AJ40" i="21" s="1"/>
  <c r="Q106" i="10"/>
  <c r="Q9" i="10" s="1"/>
  <c r="Q107" i="10"/>
  <c r="AZ20" i="21"/>
  <c r="R108" i="10"/>
  <c r="Q42" i="10"/>
  <c r="Q110" i="10" s="1"/>
  <c r="AP97" i="10" l="1"/>
  <c r="AP99" i="10"/>
  <c r="AQ93" i="10"/>
  <c r="AQ79" i="10"/>
  <c r="R62" i="10"/>
  <c r="AW37" i="21"/>
  <c r="AW19" i="21"/>
  <c r="AW22" i="21"/>
  <c r="AX13" i="22"/>
  <c r="AX11" i="22"/>
  <c r="AY19" i="22"/>
  <c r="AY10" i="22"/>
  <c r="AP12" i="10"/>
  <c r="AQ8" i="10" s="1"/>
  <c r="AQ11" i="10" s="1"/>
  <c r="AJ20" i="10"/>
  <c r="Q39" i="21"/>
  <c r="Q41" i="21" s="1"/>
  <c r="Q43" i="21" s="1"/>
  <c r="Q27" i="21" s="1"/>
  <c r="Q24" i="21"/>
  <c r="BA20" i="21"/>
  <c r="Q45" i="10"/>
  <c r="AW23" i="21" l="1"/>
  <c r="AW38" i="21" s="1"/>
  <c r="AP102" i="10"/>
  <c r="AQ96" i="10"/>
  <c r="AQ97" i="10" s="1"/>
  <c r="AQ84" i="10"/>
  <c r="AR75" i="10" s="1"/>
  <c r="R63" i="10"/>
  <c r="R67" i="10"/>
  <c r="AQ82" i="10"/>
  <c r="AQ85" i="10" s="1"/>
  <c r="R65" i="10"/>
  <c r="R68" i="10" s="1"/>
  <c r="AY20" i="22"/>
  <c r="AY12" i="22"/>
  <c r="AX11" i="21" s="1"/>
  <c r="AX12" i="21" s="1"/>
  <c r="AX14" i="21" s="1"/>
  <c r="AZ17" i="22"/>
  <c r="AK18" i="10"/>
  <c r="AK19" i="10" s="1"/>
  <c r="AK40" i="21" s="1"/>
  <c r="Q50" i="10"/>
  <c r="Q114" i="10"/>
  <c r="Q46" i="10"/>
  <c r="Q112" i="10"/>
  <c r="Q111" i="10"/>
  <c r="Q48" i="10"/>
  <c r="Q117" i="10" s="1"/>
  <c r="AQ99" i="10" l="1"/>
  <c r="AQ101" i="10"/>
  <c r="AR92" i="10" s="1"/>
  <c r="AR80" i="10"/>
  <c r="AR76" i="10"/>
  <c r="AR79" i="10" s="1"/>
  <c r="AR84" i="10" s="1"/>
  <c r="AX22" i="21"/>
  <c r="AX37" i="21"/>
  <c r="AX19" i="21"/>
  <c r="AY13" i="22"/>
  <c r="AY11" i="22"/>
  <c r="AZ19" i="22"/>
  <c r="AZ10" i="22"/>
  <c r="AQ12" i="10"/>
  <c r="AR8" i="10" s="1"/>
  <c r="AR11" i="10" s="1"/>
  <c r="AK20" i="10"/>
  <c r="Q115" i="10"/>
  <c r="Q25" i="21"/>
  <c r="Q26" i="21" s="1"/>
  <c r="Q118" i="10"/>
  <c r="S58" i="10"/>
  <c r="R41" i="10"/>
  <c r="Q51" i="10"/>
  <c r="Q119" i="10" s="1"/>
  <c r="AX23" i="21" l="1"/>
  <c r="AX38" i="21" s="1"/>
  <c r="AR93" i="10"/>
  <c r="AR96" i="10" s="1"/>
  <c r="AR99" i="10" s="1"/>
  <c r="AQ102" i="10"/>
  <c r="AS75" i="10"/>
  <c r="AS80" i="10" s="1"/>
  <c r="AR82" i="10"/>
  <c r="AR85" i="10" s="1"/>
  <c r="S59" i="10"/>
  <c r="AZ20" i="22"/>
  <c r="AZ12" i="22"/>
  <c r="AY11" i="21" s="1"/>
  <c r="AY12" i="21" s="1"/>
  <c r="AY14" i="21" s="1"/>
  <c r="BA17" i="22"/>
  <c r="Q28" i="21"/>
  <c r="Q32" i="21" s="1"/>
  <c r="Q33" i="21" s="1"/>
  <c r="AL18" i="10"/>
  <c r="AL19" i="10" s="1"/>
  <c r="AL40" i="21" s="1"/>
  <c r="R106" i="10"/>
  <c r="R9" i="10" s="1"/>
  <c r="R107" i="10"/>
  <c r="S108" i="10"/>
  <c r="R42" i="10"/>
  <c r="R110" i="10" s="1"/>
  <c r="AR97" i="10" l="1"/>
  <c r="AR101" i="10"/>
  <c r="AS92" i="10" s="1"/>
  <c r="AR102" i="10"/>
  <c r="AS76" i="10"/>
  <c r="S62" i="10"/>
  <c r="AY19" i="21"/>
  <c r="AY37" i="21"/>
  <c r="AY22" i="21"/>
  <c r="AZ13" i="22"/>
  <c r="AZ11" i="22"/>
  <c r="BA19" i="22"/>
  <c r="BA10" i="22"/>
  <c r="AR12" i="10"/>
  <c r="AS8" i="10" s="1"/>
  <c r="AS11" i="10" s="1"/>
  <c r="AL20" i="10"/>
  <c r="AM18" i="10" s="1"/>
  <c r="AM19" i="10" s="1"/>
  <c r="AM40" i="21" s="1"/>
  <c r="R24" i="21"/>
  <c r="R39" i="21"/>
  <c r="R41" i="21" s="1"/>
  <c r="R43" i="21" s="1"/>
  <c r="R27" i="21" s="1"/>
  <c r="R45" i="10"/>
  <c r="AY23" i="21" l="1"/>
  <c r="AY38" i="21" s="1"/>
  <c r="AS79" i="10"/>
  <c r="AS84" i="10" s="1"/>
  <c r="AT75" i="10" s="1"/>
  <c r="AS93" i="10"/>
  <c r="AS96" i="10" s="1"/>
  <c r="AS99" i="10" s="1"/>
  <c r="S63" i="10"/>
  <c r="S67" i="10"/>
  <c r="S65" i="10"/>
  <c r="S68" i="10" s="1"/>
  <c r="BA20" i="22"/>
  <c r="BA12" i="22"/>
  <c r="AZ11" i="21" s="1"/>
  <c r="AZ12" i="21" s="1"/>
  <c r="AZ14" i="21" s="1"/>
  <c r="BB17" i="22"/>
  <c r="AM20" i="10"/>
  <c r="AN18" i="10" s="1"/>
  <c r="AN19" i="10" s="1"/>
  <c r="AN40" i="21" s="1"/>
  <c r="R50" i="10"/>
  <c r="R118" i="10" s="1"/>
  <c r="R114" i="10"/>
  <c r="R112" i="10"/>
  <c r="R111" i="10"/>
  <c r="R48" i="10"/>
  <c r="R117" i="10" s="1"/>
  <c r="R46" i="10"/>
  <c r="AS82" i="10" l="1"/>
  <c r="AS85" i="10" s="1"/>
  <c r="AS97" i="10"/>
  <c r="AS102" i="10"/>
  <c r="AS101" i="10"/>
  <c r="AT92" i="10" s="1"/>
  <c r="AT76" i="10"/>
  <c r="AT80" i="10"/>
  <c r="AZ19" i="21"/>
  <c r="AZ22" i="21"/>
  <c r="AZ37" i="21"/>
  <c r="BA13" i="22"/>
  <c r="BA11" i="22"/>
  <c r="BB19" i="22"/>
  <c r="BB10" i="22"/>
  <c r="AS12" i="10"/>
  <c r="AT8" i="10" s="1"/>
  <c r="AT11" i="10" s="1"/>
  <c r="AN20" i="10"/>
  <c r="AO18" i="10" s="1"/>
  <c r="AO19" i="10" s="1"/>
  <c r="AO40" i="21" s="1"/>
  <c r="R115" i="10"/>
  <c r="R25" i="21"/>
  <c r="R26" i="21" s="1"/>
  <c r="T58" i="10"/>
  <c r="R51" i="10"/>
  <c r="R119" i="10" s="1"/>
  <c r="S41" i="10"/>
  <c r="AZ23" i="21" l="1"/>
  <c r="AZ38" i="21" s="1"/>
  <c r="AT79" i="10"/>
  <c r="AT82" i="10" s="1"/>
  <c r="AT85" i="10" s="1"/>
  <c r="AT93" i="10"/>
  <c r="T59" i="10"/>
  <c r="BB20" i="22"/>
  <c r="BB12" i="22"/>
  <c r="BA11" i="21" s="1"/>
  <c r="BA12" i="21" s="1"/>
  <c r="BA14" i="21" s="1"/>
  <c r="R28" i="21"/>
  <c r="R32" i="21" s="1"/>
  <c r="R33" i="21" s="1"/>
  <c r="AO20" i="10"/>
  <c r="AP18" i="10" s="1"/>
  <c r="AP19" i="10" s="1"/>
  <c r="AP40" i="21" s="1"/>
  <c r="S106" i="10"/>
  <c r="S9" i="10" s="1"/>
  <c r="S107" i="10"/>
  <c r="T108" i="10"/>
  <c r="S42" i="10"/>
  <c r="S110" i="10" s="1"/>
  <c r="AT84" i="10" l="1"/>
  <c r="AU75" i="10" s="1"/>
  <c r="AU80" i="10" s="1"/>
  <c r="AT96" i="10"/>
  <c r="AU76" i="10"/>
  <c r="AU79" i="10" s="1"/>
  <c r="AU82" i="10" s="1"/>
  <c r="AU85" i="10" s="1"/>
  <c r="T62" i="10"/>
  <c r="BA37" i="21"/>
  <c r="BA22" i="21"/>
  <c r="BA19" i="21"/>
  <c r="BB13" i="22"/>
  <c r="BB11" i="22"/>
  <c r="AT12" i="10"/>
  <c r="AU8" i="10" s="1"/>
  <c r="AU11" i="10" s="1"/>
  <c r="AP20" i="10"/>
  <c r="AQ18" i="10" s="1"/>
  <c r="AQ19" i="10" s="1"/>
  <c r="AQ40" i="21" s="1"/>
  <c r="S24" i="21"/>
  <c r="S39" i="21"/>
  <c r="S41" i="21" s="1"/>
  <c r="S43" i="21" s="1"/>
  <c r="S27" i="21" s="1"/>
  <c r="S45" i="10"/>
  <c r="BA23" i="21" l="1"/>
  <c r="BA38" i="21" s="1"/>
  <c r="AT101" i="10"/>
  <c r="AU92" i="10" s="1"/>
  <c r="AU93" i="10" s="1"/>
  <c r="AT97" i="10"/>
  <c r="AT99" i="10"/>
  <c r="AT102" i="10" s="1"/>
  <c r="AU84" i="10"/>
  <c r="AV75" i="10" s="1"/>
  <c r="AV80" i="10" s="1"/>
  <c r="T63" i="10"/>
  <c r="T67" i="10"/>
  <c r="T65" i="10"/>
  <c r="T68" i="10" s="1"/>
  <c r="AQ20" i="10"/>
  <c r="AR18" i="10" s="1"/>
  <c r="AR19" i="10" s="1"/>
  <c r="AR40" i="21" s="1"/>
  <c r="S50" i="10"/>
  <c r="S118" i="10" s="1"/>
  <c r="S114" i="10"/>
  <c r="S46" i="10"/>
  <c r="S111" i="10"/>
  <c r="S112" i="10"/>
  <c r="S48" i="10"/>
  <c r="S117" i="10" s="1"/>
  <c r="AU96" i="10" l="1"/>
  <c r="AV76" i="10"/>
  <c r="AV79" i="10" s="1"/>
  <c r="AV84" i="10" s="1"/>
  <c r="AU12" i="10"/>
  <c r="AV8" i="10" s="1"/>
  <c r="AV11" i="10" s="1"/>
  <c r="AR20" i="10"/>
  <c r="AS18" i="10" s="1"/>
  <c r="AS19" i="10" s="1"/>
  <c r="AS40" i="21" s="1"/>
  <c r="S115" i="10"/>
  <c r="S25" i="21"/>
  <c r="S26" i="21" s="1"/>
  <c r="U58" i="10"/>
  <c r="S51" i="10"/>
  <c r="S119" i="10" s="1"/>
  <c r="T41" i="10"/>
  <c r="AU101" i="10" l="1"/>
  <c r="AV92" i="10" s="1"/>
  <c r="AV93" i="10" s="1"/>
  <c r="AU97" i="10"/>
  <c r="AU99" i="10"/>
  <c r="AU102" i="10" s="1"/>
  <c r="AV82" i="10"/>
  <c r="AW75" i="10"/>
  <c r="U59" i="10"/>
  <c r="S28" i="21"/>
  <c r="S32" i="21" s="1"/>
  <c r="S33" i="21" s="1"/>
  <c r="AS20" i="10"/>
  <c r="AT18" i="10" s="1"/>
  <c r="AT19" i="10" s="1"/>
  <c r="AT40" i="21" s="1"/>
  <c r="T106" i="10"/>
  <c r="T9" i="10" s="1"/>
  <c r="T107" i="10"/>
  <c r="U108" i="10"/>
  <c r="T42" i="10"/>
  <c r="T110" i="10" s="1"/>
  <c r="AV97" i="10" l="1"/>
  <c r="AV96" i="10"/>
  <c r="AV101" i="10" s="1"/>
  <c r="AW92" i="10" s="1"/>
  <c r="AW93" i="10" s="1"/>
  <c r="AW76" i="10"/>
  <c r="AW79" i="10" s="1"/>
  <c r="AW84" i="10" s="1"/>
  <c r="AX75" i="10" s="1"/>
  <c r="AW80" i="10"/>
  <c r="AV85" i="10"/>
  <c r="U62" i="10"/>
  <c r="AV12" i="10"/>
  <c r="AW8" i="10" s="1"/>
  <c r="AW11" i="10" s="1"/>
  <c r="AT20" i="10"/>
  <c r="AU18" i="10" s="1"/>
  <c r="AU19" i="10" s="1"/>
  <c r="AU40" i="21" s="1"/>
  <c r="T39" i="21"/>
  <c r="T41" i="21" s="1"/>
  <c r="T43" i="21" s="1"/>
  <c r="T27" i="21" s="1"/>
  <c r="T24" i="21"/>
  <c r="T45" i="10"/>
  <c r="AV99" i="10" l="1"/>
  <c r="AV102" i="10" s="1"/>
  <c r="AX76" i="10"/>
  <c r="AX80" i="10"/>
  <c r="AW82" i="10"/>
  <c r="AW85" i="10" s="1"/>
  <c r="U63" i="10"/>
  <c r="U67" i="10"/>
  <c r="U65" i="10"/>
  <c r="U68" i="10" s="1"/>
  <c r="AU20" i="10"/>
  <c r="AV18" i="10" s="1"/>
  <c r="AV19" i="10" s="1"/>
  <c r="AV40" i="21" s="1"/>
  <c r="T50" i="10"/>
  <c r="T118" i="10" s="1"/>
  <c r="T114" i="10"/>
  <c r="T46" i="10"/>
  <c r="T112" i="10"/>
  <c r="T111" i="10"/>
  <c r="T48" i="10"/>
  <c r="T117" i="10" s="1"/>
  <c r="AX79" i="10" l="1"/>
  <c r="AX82" i="10" s="1"/>
  <c r="AX85" i="10" s="1"/>
  <c r="AW96" i="10"/>
  <c r="AW97" i="10" s="1"/>
  <c r="AW12" i="10"/>
  <c r="AX8" i="10" s="1"/>
  <c r="AX11" i="10" s="1"/>
  <c r="AV20" i="10"/>
  <c r="T115" i="10"/>
  <c r="T25" i="21"/>
  <c r="T26" i="21" s="1"/>
  <c r="V58" i="10"/>
  <c r="U41" i="10"/>
  <c r="T51" i="10"/>
  <c r="T119" i="10" s="1"/>
  <c r="AX84" i="10" l="1"/>
  <c r="AY75" i="10" s="1"/>
  <c r="AY76" i="10" s="1"/>
  <c r="AW99" i="10"/>
  <c r="AW102" i="10" s="1"/>
  <c r="AW101" i="10"/>
  <c r="AX92" i="10" s="1"/>
  <c r="AX93" i="10" s="1"/>
  <c r="V59" i="10"/>
  <c r="T28" i="21"/>
  <c r="T32" i="21" s="1"/>
  <c r="T33" i="21" s="1"/>
  <c r="AW18" i="10"/>
  <c r="AW19" i="10" s="1"/>
  <c r="AW40" i="21" s="1"/>
  <c r="U106" i="10"/>
  <c r="U9" i="10" s="1"/>
  <c r="U107" i="10"/>
  <c r="V108" i="10"/>
  <c r="U42" i="10"/>
  <c r="U110" i="10" s="1"/>
  <c r="AY80" i="10" l="1"/>
  <c r="AX96" i="10"/>
  <c r="AY79" i="10"/>
  <c r="V62" i="10"/>
  <c r="AX12" i="10"/>
  <c r="AY8" i="10" s="1"/>
  <c r="AY11" i="10" s="1"/>
  <c r="AW20" i="10"/>
  <c r="U39" i="21"/>
  <c r="U41" i="21" s="1"/>
  <c r="U43" i="21" s="1"/>
  <c r="U27" i="21" s="1"/>
  <c r="U24" i="21"/>
  <c r="U45" i="10"/>
  <c r="AX101" i="10" l="1"/>
  <c r="AY92" i="10" s="1"/>
  <c r="AY93" i="10" s="1"/>
  <c r="AX97" i="10"/>
  <c r="AX99" i="10"/>
  <c r="AY84" i="10"/>
  <c r="AZ75" i="10" s="1"/>
  <c r="AZ76" i="10" s="1"/>
  <c r="V63" i="10"/>
  <c r="V67" i="10"/>
  <c r="AY82" i="10"/>
  <c r="AY85" i="10" s="1"/>
  <c r="V65" i="10"/>
  <c r="V68" i="10" s="1"/>
  <c r="AX18" i="10"/>
  <c r="AX19" i="10" s="1"/>
  <c r="AX40" i="21" s="1"/>
  <c r="U50" i="10"/>
  <c r="U118" i="10" s="1"/>
  <c r="U114" i="10"/>
  <c r="U112" i="10"/>
  <c r="U111" i="10"/>
  <c r="U48" i="10"/>
  <c r="U117" i="10" s="1"/>
  <c r="U46" i="10"/>
  <c r="AX102" i="10" l="1"/>
  <c r="AY96" i="10"/>
  <c r="AY97" i="10" s="1"/>
  <c r="AZ80" i="10"/>
  <c r="AZ79" i="10"/>
  <c r="AZ84" i="10" s="1"/>
  <c r="AY12" i="10"/>
  <c r="AZ8" i="10" s="1"/>
  <c r="AZ11" i="10" s="1"/>
  <c r="AX20" i="10"/>
  <c r="AY18" i="10" s="1"/>
  <c r="AY19" i="10" s="1"/>
  <c r="AY40" i="21" s="1"/>
  <c r="U115" i="10"/>
  <c r="U25" i="21"/>
  <c r="U26" i="21" s="1"/>
  <c r="W58" i="10"/>
  <c r="U51" i="10"/>
  <c r="U119" i="10" s="1"/>
  <c r="V41" i="10"/>
  <c r="AY99" i="10" l="1"/>
  <c r="AY101" i="10"/>
  <c r="AZ92" i="10" s="1"/>
  <c r="BA75" i="10"/>
  <c r="BA76" i="10" s="1"/>
  <c r="AZ82" i="10"/>
  <c r="AZ85" i="10" s="1"/>
  <c r="W59" i="10"/>
  <c r="U28" i="21"/>
  <c r="U32" i="21" s="1"/>
  <c r="U33" i="21" s="1"/>
  <c r="AY20" i="10"/>
  <c r="AZ18" i="10" s="1"/>
  <c r="AZ19" i="10" s="1"/>
  <c r="AZ40" i="21" s="1"/>
  <c r="V106" i="10"/>
  <c r="V9" i="10" s="1"/>
  <c r="V107" i="10"/>
  <c r="W108" i="10"/>
  <c r="V42" i="10"/>
  <c r="V110" i="10" s="1"/>
  <c r="AZ93" i="10" l="1"/>
  <c r="AZ96" i="10" s="1"/>
  <c r="AY102" i="10"/>
  <c r="BA80" i="10"/>
  <c r="BA79" i="10"/>
  <c r="BA84" i="10" s="1"/>
  <c r="W62" i="10"/>
  <c r="N36" i="9"/>
  <c r="AZ12" i="10"/>
  <c r="BA8" i="10" s="1"/>
  <c r="BA11" i="10" s="1"/>
  <c r="AZ20" i="10"/>
  <c r="BA18" i="10" s="1"/>
  <c r="V24" i="21"/>
  <c r="V39" i="21"/>
  <c r="V41" i="21" s="1"/>
  <c r="V43" i="21" s="1"/>
  <c r="V27" i="21" s="1"/>
  <c r="V45" i="10"/>
  <c r="AZ99" i="10" l="1"/>
  <c r="AZ102" i="10" s="1"/>
  <c r="AZ97" i="10"/>
  <c r="AZ101" i="10"/>
  <c r="BA82" i="10"/>
  <c r="BA85" i="10" s="1"/>
  <c r="W63" i="10"/>
  <c r="W67" i="10"/>
  <c r="W65" i="10"/>
  <c r="W68" i="10" s="1"/>
  <c r="BA12" i="10"/>
  <c r="BA19" i="10"/>
  <c r="BA40" i="21" s="1"/>
  <c r="BA20" i="10"/>
  <c r="V50" i="10"/>
  <c r="V114" i="10"/>
  <c r="V46" i="10"/>
  <c r="V112" i="10"/>
  <c r="V111" i="10"/>
  <c r="V48" i="10"/>
  <c r="V117" i="10" s="1"/>
  <c r="BA92" i="10" l="1"/>
  <c r="BA93" i="10" s="1"/>
  <c r="V115" i="10"/>
  <c r="V25" i="21"/>
  <c r="V26" i="21" s="1"/>
  <c r="V118" i="10"/>
  <c r="X58" i="10"/>
  <c r="W41" i="10"/>
  <c r="V51" i="10"/>
  <c r="V119" i="10" s="1"/>
  <c r="BA97" i="10" l="1"/>
  <c r="BA96" i="10"/>
  <c r="BA101" i="10" s="1"/>
  <c r="N43" i="9" s="1"/>
  <c r="X59" i="10"/>
  <c r="V28" i="21"/>
  <c r="V32" i="21" s="1"/>
  <c r="V33" i="21" s="1"/>
  <c r="W106" i="10"/>
  <c r="W9" i="10" s="1"/>
  <c r="W107" i="10"/>
  <c r="X108" i="10"/>
  <c r="W42" i="10"/>
  <c r="W110" i="10" s="1"/>
  <c r="BA99" i="10" l="1"/>
  <c r="BA102" i="10" s="1"/>
  <c r="X62" i="10"/>
  <c r="W24" i="21"/>
  <c r="W39" i="21"/>
  <c r="W41" i="21" s="1"/>
  <c r="W43" i="21" s="1"/>
  <c r="W27" i="21" s="1"/>
  <c r="W45" i="10"/>
  <c r="X63" i="10" l="1"/>
  <c r="X67" i="10"/>
  <c r="X65" i="10"/>
  <c r="X68" i="10" s="1"/>
  <c r="W50" i="10"/>
  <c r="W114" i="10"/>
  <c r="W46" i="10"/>
  <c r="W112" i="10"/>
  <c r="W111" i="10"/>
  <c r="W48" i="10"/>
  <c r="W117" i="10" s="1"/>
  <c r="W115" i="10" l="1"/>
  <c r="W25" i="21"/>
  <c r="W26" i="21" s="1"/>
  <c r="W118" i="10"/>
  <c r="Y58" i="10"/>
  <c r="X41" i="10"/>
  <c r="W51" i="10"/>
  <c r="W119" i="10" s="1"/>
  <c r="Y59" i="10" l="1"/>
  <c r="W28" i="21"/>
  <c r="W32" i="21" s="1"/>
  <c r="W33" i="21" s="1"/>
  <c r="X106" i="10"/>
  <c r="X9" i="10" s="1"/>
  <c r="X107" i="10"/>
  <c r="Y108" i="10"/>
  <c r="X42" i="10"/>
  <c r="X110" i="10" s="1"/>
  <c r="Y62" i="10" l="1"/>
  <c r="X39" i="21"/>
  <c r="X41" i="21" s="1"/>
  <c r="X43" i="21" s="1"/>
  <c r="X27" i="21" s="1"/>
  <c r="X24" i="21"/>
  <c r="X45" i="10"/>
  <c r="X111" i="10"/>
  <c r="Y63" i="10" l="1"/>
  <c r="Y67" i="10"/>
  <c r="Y65" i="10"/>
  <c r="Y68" i="10" s="1"/>
  <c r="X50" i="10"/>
  <c r="X114" i="10"/>
  <c r="X48" i="10"/>
  <c r="X117" i="10" s="1"/>
  <c r="X46" i="10"/>
  <c r="X112" i="10"/>
  <c r="X115" i="10" l="1"/>
  <c r="X25" i="21"/>
  <c r="X26" i="21" s="1"/>
  <c r="X118" i="10"/>
  <c r="Z58" i="10"/>
  <c r="X51" i="10"/>
  <c r="X119" i="10" s="1"/>
  <c r="Y41" i="10"/>
  <c r="Z59" i="10" l="1"/>
  <c r="X28" i="21"/>
  <c r="X32" i="21" s="1"/>
  <c r="X33" i="21" s="1"/>
  <c r="Y106" i="10"/>
  <c r="Y9" i="10" s="1"/>
  <c r="Y107" i="10"/>
  <c r="Z108" i="10"/>
  <c r="Y42" i="10"/>
  <c r="Y110" i="10" s="1"/>
  <c r="Z62" i="10" l="1"/>
  <c r="Y24" i="21"/>
  <c r="Y39" i="21"/>
  <c r="Y41" i="21" s="1"/>
  <c r="Y43" i="21" s="1"/>
  <c r="Y27" i="21" s="1"/>
  <c r="Y45" i="10"/>
  <c r="Z63" i="10" l="1"/>
  <c r="Z67" i="10"/>
  <c r="Z65" i="10"/>
  <c r="Z68" i="10" s="1"/>
  <c r="Y50" i="10"/>
  <c r="Y114" i="10"/>
  <c r="Y46" i="10"/>
  <c r="Y112" i="10"/>
  <c r="Y111" i="10"/>
  <c r="Y48" i="10"/>
  <c r="Y117" i="10" s="1"/>
  <c r="Y115" i="10" l="1"/>
  <c r="Y25" i="21"/>
  <c r="Y26" i="21" s="1"/>
  <c r="Y118" i="10"/>
  <c r="AA58" i="10"/>
  <c r="Y51" i="10"/>
  <c r="Y119" i="10" s="1"/>
  <c r="Z41" i="10"/>
  <c r="AA59" i="10" l="1"/>
  <c r="Y28" i="21"/>
  <c r="Y32" i="21" s="1"/>
  <c r="Y33" i="21" s="1"/>
  <c r="Z106" i="10"/>
  <c r="Z9" i="10" s="1"/>
  <c r="Z107" i="10"/>
  <c r="AA108" i="10"/>
  <c r="Z42" i="10"/>
  <c r="Z110" i="10" s="1"/>
  <c r="AA62" i="10" l="1"/>
  <c r="Z24" i="21"/>
  <c r="Z39" i="21"/>
  <c r="Z41" i="21" s="1"/>
  <c r="Z43" i="21" s="1"/>
  <c r="Z27" i="21" s="1"/>
  <c r="Z45" i="10"/>
  <c r="AA63" i="10" l="1"/>
  <c r="AA67" i="10"/>
  <c r="AA65" i="10"/>
  <c r="AA68" i="10" s="1"/>
  <c r="Z50" i="10"/>
  <c r="Z118" i="10" s="1"/>
  <c r="W26" i="9" s="1"/>
  <c r="W33" i="9" s="1"/>
  <c r="W34" i="9" s="1"/>
  <c r="Z114" i="10"/>
  <c r="Z46" i="10"/>
  <c r="Z112" i="10"/>
  <c r="Z111" i="10"/>
  <c r="Z48" i="10"/>
  <c r="Z117" i="10" s="1"/>
  <c r="Z115" i="10" l="1"/>
  <c r="Z25" i="21"/>
  <c r="Z26" i="21" s="1"/>
  <c r="AB58" i="10"/>
  <c r="Z51" i="10"/>
  <c r="Z119" i="10" s="1"/>
  <c r="AA41" i="10"/>
  <c r="AB59" i="10" l="1"/>
  <c r="Z28" i="21"/>
  <c r="Z32" i="21" s="1"/>
  <c r="AA106" i="10"/>
  <c r="AA9" i="10" s="1"/>
  <c r="AA107" i="10"/>
  <c r="AB108" i="10"/>
  <c r="AA42" i="10"/>
  <c r="AA110" i="10" s="1"/>
  <c r="AB62" i="10" l="1"/>
  <c r="Z33" i="21"/>
  <c r="W28" i="9"/>
  <c r="AA24" i="21"/>
  <c r="AA39" i="21"/>
  <c r="AA41" i="21" s="1"/>
  <c r="AA43" i="21" s="1"/>
  <c r="AA27" i="21" s="1"/>
  <c r="AA45" i="10"/>
  <c r="W29" i="9" l="1"/>
  <c r="W38" i="9"/>
  <c r="W39" i="9" s="1"/>
  <c r="AB63" i="10"/>
  <c r="AB67" i="10"/>
  <c r="AB65" i="10"/>
  <c r="AB68" i="10" s="1"/>
  <c r="AA50" i="10"/>
  <c r="AA118" i="10" s="1"/>
  <c r="AA114" i="10"/>
  <c r="AA46" i="10"/>
  <c r="AA112" i="10"/>
  <c r="AA111" i="10"/>
  <c r="AA48" i="10"/>
  <c r="AA117" i="10" s="1"/>
  <c r="AA115" i="10" l="1"/>
  <c r="AA25" i="21"/>
  <c r="AA26" i="21" s="1"/>
  <c r="AC58" i="10"/>
  <c r="AB41" i="10"/>
  <c r="AA51" i="10"/>
  <c r="AA119" i="10" s="1"/>
  <c r="AC59" i="10" l="1"/>
  <c r="AA28" i="21"/>
  <c r="AA32" i="21" s="1"/>
  <c r="AA33" i="21" s="1"/>
  <c r="AB106" i="10"/>
  <c r="AB9" i="10" s="1"/>
  <c r="AB107" i="10"/>
  <c r="AC108" i="10"/>
  <c r="AB42" i="10"/>
  <c r="AB110" i="10" s="1"/>
  <c r="AC62" i="10" l="1"/>
  <c r="AB39" i="21"/>
  <c r="AB41" i="21" s="1"/>
  <c r="AB43" i="21" s="1"/>
  <c r="AB27" i="21" s="1"/>
  <c r="AB24" i="21"/>
  <c r="AB45" i="10"/>
  <c r="AC63" i="10" l="1"/>
  <c r="AC67" i="10"/>
  <c r="AC65" i="10"/>
  <c r="AC68" i="10" s="1"/>
  <c r="AB50" i="10"/>
  <c r="AB118" i="10" s="1"/>
  <c r="AB114" i="10"/>
  <c r="AB46" i="10"/>
  <c r="AB112" i="10"/>
  <c r="AB111" i="10"/>
  <c r="AB48" i="10"/>
  <c r="AB117" i="10" s="1"/>
  <c r="AB115" i="10" l="1"/>
  <c r="AB25" i="21"/>
  <c r="AB26" i="21" s="1"/>
  <c r="AD58" i="10"/>
  <c r="AC41" i="10"/>
  <c r="AB51" i="10"/>
  <c r="AB119" i="10" s="1"/>
  <c r="AD63" i="10" l="1"/>
  <c r="AD59" i="10"/>
  <c r="AD62" i="10" s="1"/>
  <c r="AD67" i="10" s="1"/>
  <c r="AB28" i="21"/>
  <c r="AB32" i="21" s="1"/>
  <c r="AB33" i="21" s="1"/>
  <c r="AC106" i="10"/>
  <c r="AC9" i="10" s="1"/>
  <c r="AC107" i="10"/>
  <c r="AD108" i="10"/>
  <c r="AC42" i="10"/>
  <c r="AC110" i="10" s="1"/>
  <c r="AD65" i="10" l="1"/>
  <c r="AD68" i="10" s="1"/>
  <c r="AC39" i="21"/>
  <c r="AC41" i="21" s="1"/>
  <c r="AC43" i="21" s="1"/>
  <c r="AC27" i="21" s="1"/>
  <c r="AC24" i="21"/>
  <c r="AC45" i="10"/>
  <c r="T21" i="9"/>
  <c r="AC50" i="10" l="1"/>
  <c r="AC118" i="10" s="1"/>
  <c r="AC114" i="10"/>
  <c r="AC25" i="21" s="1"/>
  <c r="AC26" i="21" s="1"/>
  <c r="T30" i="9"/>
  <c r="T32" i="9" s="1"/>
  <c r="T34" i="9" s="1"/>
  <c r="T24" i="9" s="1"/>
  <c r="AC46" i="10"/>
  <c r="AC112" i="10"/>
  <c r="AC111" i="10"/>
  <c r="AC48" i="10"/>
  <c r="AC117" i="10" s="1"/>
  <c r="AC28" i="21" l="1"/>
  <c r="AC32" i="21" s="1"/>
  <c r="AC33" i="21" s="1"/>
  <c r="AE58" i="10"/>
  <c r="AC115" i="10"/>
  <c r="T22" i="9"/>
  <c r="T23" i="9" s="1"/>
  <c r="T25" i="9" s="1"/>
  <c r="W21" i="9" s="1"/>
  <c r="W22" i="9" s="1"/>
  <c r="AD41" i="10"/>
  <c r="AC51" i="10"/>
  <c r="AC119" i="10" s="1"/>
  <c r="AE63" i="10" l="1"/>
  <c r="AE59" i="10"/>
  <c r="AD106" i="10"/>
  <c r="AD9" i="10" s="1"/>
  <c r="AD107" i="10"/>
  <c r="AE108" i="10"/>
  <c r="AD42" i="10"/>
  <c r="AD110" i="10" s="1"/>
  <c r="AE62" i="10" l="1"/>
  <c r="AD24" i="21"/>
  <c r="AD39" i="21"/>
  <c r="AD41" i="21" s="1"/>
  <c r="AD43" i="21" s="1"/>
  <c r="AD27" i="21" s="1"/>
  <c r="AD45" i="10"/>
  <c r="AE65" i="10" l="1"/>
  <c r="AE68" i="10" s="1"/>
  <c r="AE67" i="10"/>
  <c r="AD50" i="10"/>
  <c r="AD118" i="10" s="1"/>
  <c r="AD114" i="10"/>
  <c r="AD46" i="10"/>
  <c r="AD112" i="10"/>
  <c r="AD111" i="10"/>
  <c r="AD48" i="10"/>
  <c r="AD117" i="10" s="1"/>
  <c r="AD115" i="10" l="1"/>
  <c r="AD25" i="21"/>
  <c r="AD26" i="21" s="1"/>
  <c r="AF58" i="10"/>
  <c r="AE41" i="10"/>
  <c r="AD51" i="10"/>
  <c r="AD119" i="10" s="1"/>
  <c r="AF63" i="10" l="1"/>
  <c r="AF59" i="10"/>
  <c r="AD28" i="21"/>
  <c r="AD32" i="21" s="1"/>
  <c r="AD33" i="21" s="1"/>
  <c r="AE106" i="10"/>
  <c r="AE9" i="10" s="1"/>
  <c r="AE107" i="10"/>
  <c r="AF108" i="10"/>
  <c r="AE42" i="10"/>
  <c r="AE110" i="10" s="1"/>
  <c r="AF62" i="10" l="1"/>
  <c r="AE24" i="21"/>
  <c r="AE39" i="21"/>
  <c r="AE41" i="21" s="1"/>
  <c r="AE43" i="21" s="1"/>
  <c r="AE27" i="21" s="1"/>
  <c r="AE45" i="10"/>
  <c r="AF65" i="10" l="1"/>
  <c r="AF68" i="10" s="1"/>
  <c r="AF67" i="10"/>
  <c r="AE50" i="10"/>
  <c r="AE118" i="10" s="1"/>
  <c r="AE114" i="10"/>
  <c r="AE46" i="10"/>
  <c r="AE112" i="10"/>
  <c r="AE111" i="10"/>
  <c r="AE48" i="10"/>
  <c r="AE117" i="10" s="1"/>
  <c r="AE115" i="10" l="1"/>
  <c r="AE25" i="21"/>
  <c r="AE26" i="21" s="1"/>
  <c r="AG58" i="10"/>
  <c r="AF41" i="10"/>
  <c r="AE51" i="10"/>
  <c r="AE119" i="10" s="1"/>
  <c r="AG63" i="10" l="1"/>
  <c r="AG59" i="10"/>
  <c r="AE28" i="21"/>
  <c r="AE32" i="21" s="1"/>
  <c r="AE33" i="21" s="1"/>
  <c r="AF106" i="10"/>
  <c r="AF9" i="10" s="1"/>
  <c r="AF107" i="10"/>
  <c r="AG108" i="10"/>
  <c r="AF42" i="10"/>
  <c r="AF110" i="10" s="1"/>
  <c r="AG62" i="10" l="1"/>
  <c r="AF39" i="21"/>
  <c r="AF41" i="21" s="1"/>
  <c r="AF43" i="21" s="1"/>
  <c r="AF27" i="21" s="1"/>
  <c r="AF24" i="21"/>
  <c r="AF45" i="10"/>
  <c r="AG65" i="10" l="1"/>
  <c r="AG68" i="10" s="1"/>
  <c r="AG67" i="10"/>
  <c r="AF50" i="10"/>
  <c r="AF118" i="10" s="1"/>
  <c r="AF114" i="10"/>
  <c r="AF25" i="21" s="1"/>
  <c r="AF26" i="21" s="1"/>
  <c r="AF46" i="10"/>
  <c r="AF112" i="10"/>
  <c r="AF111" i="10"/>
  <c r="AF48" i="10"/>
  <c r="AF117" i="10" s="1"/>
  <c r="AF115" i="10" l="1"/>
  <c r="AF28" i="21"/>
  <c r="AF32" i="21" s="1"/>
  <c r="AF33" i="21" s="1"/>
  <c r="AH58" i="10"/>
  <c r="AF51" i="10"/>
  <c r="AF119" i="10" s="1"/>
  <c r="AG41" i="10"/>
  <c r="AH63" i="10" l="1"/>
  <c r="AH59" i="10"/>
  <c r="AH62" i="10" s="1"/>
  <c r="AH67" i="10" s="1"/>
  <c r="AG106" i="10"/>
  <c r="AG9" i="10" s="1"/>
  <c r="AG107" i="10"/>
  <c r="AH108" i="10"/>
  <c r="AG42" i="10"/>
  <c r="AG110" i="10" s="1"/>
  <c r="AH65" i="10" l="1"/>
  <c r="AH68" i="10" s="1"/>
  <c r="AG39" i="21"/>
  <c r="AG41" i="21" s="1"/>
  <c r="AG43" i="21" s="1"/>
  <c r="AG27" i="21" s="1"/>
  <c r="AG24" i="21"/>
  <c r="AG45" i="10"/>
  <c r="AG50" i="10" l="1"/>
  <c r="AG118" i="10" s="1"/>
  <c r="AG114" i="10"/>
  <c r="AG25" i="21" s="1"/>
  <c r="AG26" i="21" s="1"/>
  <c r="AG46" i="10"/>
  <c r="AG112" i="10"/>
  <c r="AG111" i="10"/>
  <c r="AG48" i="10"/>
  <c r="AG117" i="10" s="1"/>
  <c r="AG115" i="10" l="1"/>
  <c r="AG28" i="21"/>
  <c r="AG32" i="21" s="1"/>
  <c r="AG33" i="21" s="1"/>
  <c r="AI58" i="10"/>
  <c r="AH41" i="10"/>
  <c r="AG51" i="10"/>
  <c r="AG119" i="10" s="1"/>
  <c r="AI63" i="10" l="1"/>
  <c r="AI59" i="10"/>
  <c r="AH106" i="10"/>
  <c r="AH9" i="10" s="1"/>
  <c r="AH107" i="10"/>
  <c r="AI108" i="10"/>
  <c r="AH42" i="10"/>
  <c r="AH110" i="10" s="1"/>
  <c r="AI62" i="10" l="1"/>
  <c r="AH24" i="21"/>
  <c r="AH39" i="21"/>
  <c r="AH41" i="21" s="1"/>
  <c r="AH43" i="21" s="1"/>
  <c r="AH27" i="21" s="1"/>
  <c r="AH45" i="10"/>
  <c r="AI65" i="10" l="1"/>
  <c r="AI68" i="10" s="1"/>
  <c r="AI67" i="10"/>
  <c r="AH50" i="10"/>
  <c r="AH118" i="10" s="1"/>
  <c r="AH114" i="10"/>
  <c r="AH25" i="21" s="1"/>
  <c r="AH26" i="21" s="1"/>
  <c r="AH46" i="10"/>
  <c r="AH112" i="10"/>
  <c r="AH111" i="10"/>
  <c r="AH48" i="10"/>
  <c r="AH117" i="10" s="1"/>
  <c r="AH115" i="10" l="1"/>
  <c r="AH28" i="21"/>
  <c r="AH32" i="21" s="1"/>
  <c r="AH33" i="21" s="1"/>
  <c r="AJ58" i="10"/>
  <c r="AI41" i="10"/>
  <c r="AH51" i="10"/>
  <c r="AH119" i="10" s="1"/>
  <c r="AJ63" i="10" l="1"/>
  <c r="AJ59" i="10"/>
  <c r="AI106" i="10"/>
  <c r="AI9" i="10" s="1"/>
  <c r="AI107" i="10"/>
  <c r="AJ108" i="10"/>
  <c r="AI42" i="10"/>
  <c r="AI110" i="10" s="1"/>
  <c r="AJ62" i="10" l="1"/>
  <c r="AI24" i="21"/>
  <c r="AI39" i="21"/>
  <c r="AI41" i="21" s="1"/>
  <c r="AI43" i="21" s="1"/>
  <c r="AI27" i="21" s="1"/>
  <c r="AI45" i="10"/>
  <c r="AJ65" i="10" l="1"/>
  <c r="AJ68" i="10" s="1"/>
  <c r="AJ67" i="10"/>
  <c r="AI50" i="10"/>
  <c r="AI118" i="10" s="1"/>
  <c r="AI114" i="10"/>
  <c r="AI25" i="21" s="1"/>
  <c r="AI26" i="21" s="1"/>
  <c r="AI46" i="10"/>
  <c r="AI112" i="10"/>
  <c r="AI111" i="10"/>
  <c r="AI48" i="10"/>
  <c r="AI117" i="10" s="1"/>
  <c r="AI115" i="10" l="1"/>
  <c r="AI28" i="21"/>
  <c r="AI32" i="21" s="1"/>
  <c r="AI33" i="21" s="1"/>
  <c r="AK58" i="10"/>
  <c r="AI51" i="10"/>
  <c r="AI119" i="10" s="1"/>
  <c r="AJ41" i="10"/>
  <c r="AK63" i="10" l="1"/>
  <c r="AK59" i="10"/>
  <c r="AJ106" i="10"/>
  <c r="AJ9" i="10" s="1"/>
  <c r="AJ107" i="10"/>
  <c r="AK108" i="10"/>
  <c r="AJ42" i="10"/>
  <c r="AJ110" i="10" s="1"/>
  <c r="AK62" i="10" l="1"/>
  <c r="AJ39" i="21"/>
  <c r="AJ41" i="21" s="1"/>
  <c r="AJ43" i="21" s="1"/>
  <c r="AJ27" i="21" s="1"/>
  <c r="AJ24" i="21"/>
  <c r="AJ45" i="10"/>
  <c r="AK65" i="10" l="1"/>
  <c r="AK68" i="10" s="1"/>
  <c r="AK67" i="10"/>
  <c r="AJ50" i="10"/>
  <c r="AJ118" i="10" s="1"/>
  <c r="AJ114" i="10"/>
  <c r="AJ25" i="21" s="1"/>
  <c r="AJ26" i="21" s="1"/>
  <c r="AJ46" i="10"/>
  <c r="AJ112" i="10"/>
  <c r="AJ111" i="10"/>
  <c r="AJ48" i="10"/>
  <c r="AJ117" i="10" s="1"/>
  <c r="AJ115" i="10" l="1"/>
  <c r="AJ28" i="21"/>
  <c r="AJ32" i="21" s="1"/>
  <c r="AJ33" i="21" s="1"/>
  <c r="AL58" i="10"/>
  <c r="AJ51" i="10"/>
  <c r="AJ119" i="10" s="1"/>
  <c r="AK41" i="10"/>
  <c r="AL63" i="10" l="1"/>
  <c r="AL59" i="10"/>
  <c r="AK106" i="10"/>
  <c r="AK9" i="10" s="1"/>
  <c r="AK107" i="10"/>
  <c r="AL108" i="10"/>
  <c r="AK42" i="10"/>
  <c r="AK110" i="10" s="1"/>
  <c r="AL62" i="10" l="1"/>
  <c r="AK24" i="21"/>
  <c r="AK39" i="21"/>
  <c r="AK41" i="21" s="1"/>
  <c r="AK43" i="21" s="1"/>
  <c r="AK27" i="21" s="1"/>
  <c r="AK45" i="10"/>
  <c r="AK46" i="10" s="1"/>
  <c r="AL65" i="10" l="1"/>
  <c r="AL68" i="10" s="1"/>
  <c r="AL67" i="10"/>
  <c r="AK50" i="10"/>
  <c r="AK118" i="10" s="1"/>
  <c r="AK114" i="10"/>
  <c r="AK25" i="21" s="1"/>
  <c r="AK26" i="21" s="1"/>
  <c r="AK112" i="10"/>
  <c r="AK111" i="10"/>
  <c r="AK48" i="10"/>
  <c r="AK117" i="10" s="1"/>
  <c r="AK115" i="10" l="1"/>
  <c r="AK28" i="21"/>
  <c r="AK32" i="21" s="1"/>
  <c r="AK33" i="21" s="1"/>
  <c r="AM58" i="10"/>
  <c r="AL41" i="10"/>
  <c r="AK51" i="10"/>
  <c r="AK119" i="10" s="1"/>
  <c r="AM63" i="10" l="1"/>
  <c r="AM59" i="10"/>
  <c r="AL106" i="10"/>
  <c r="AL9" i="10" s="1"/>
  <c r="AL107" i="10"/>
  <c r="AM108" i="10"/>
  <c r="AL42" i="10"/>
  <c r="AL110" i="10" s="1"/>
  <c r="AM62" i="10" l="1"/>
  <c r="AL24" i="21"/>
  <c r="AL39" i="21"/>
  <c r="AL41" i="21" s="1"/>
  <c r="AL43" i="21" s="1"/>
  <c r="AL27" i="21" s="1"/>
  <c r="AL45" i="10"/>
  <c r="AM65" i="10" l="1"/>
  <c r="AM68" i="10" s="1"/>
  <c r="AM67" i="10"/>
  <c r="AL50" i="10"/>
  <c r="AL118" i="10" s="1"/>
  <c r="AL114" i="10"/>
  <c r="AL25" i="21" s="1"/>
  <c r="AL26" i="21" s="1"/>
  <c r="AL46" i="10"/>
  <c r="AL112" i="10"/>
  <c r="AL111" i="10"/>
  <c r="AL48" i="10"/>
  <c r="AL117" i="10" s="1"/>
  <c r="AL115" i="10" l="1"/>
  <c r="AL28" i="21"/>
  <c r="AL32" i="21" s="1"/>
  <c r="AL33" i="21" s="1"/>
  <c r="AN58" i="10"/>
  <c r="AM41" i="10"/>
  <c r="AL51" i="10"/>
  <c r="AL119" i="10" s="1"/>
  <c r="AN63" i="10" l="1"/>
  <c r="AN59" i="10"/>
  <c r="AM106" i="10"/>
  <c r="AM9" i="10" s="1"/>
  <c r="AM107" i="10"/>
  <c r="AN108" i="10"/>
  <c r="AM42" i="10"/>
  <c r="AM110" i="10" s="1"/>
  <c r="AN62" i="10" l="1"/>
  <c r="AM24" i="21"/>
  <c r="AM39" i="21"/>
  <c r="AM41" i="21" s="1"/>
  <c r="AM43" i="21" s="1"/>
  <c r="AM27" i="21" s="1"/>
  <c r="AM45" i="10"/>
  <c r="AM46" i="10" s="1"/>
  <c r="AN65" i="10" l="1"/>
  <c r="AN68" i="10" s="1"/>
  <c r="AN67" i="10"/>
  <c r="AM50" i="10"/>
  <c r="AM118" i="10" s="1"/>
  <c r="AM114" i="10"/>
  <c r="AM25" i="21" s="1"/>
  <c r="AM26" i="21" s="1"/>
  <c r="AM112" i="10"/>
  <c r="AM111" i="10"/>
  <c r="AM48" i="10"/>
  <c r="AM117" i="10" s="1"/>
  <c r="AM115" i="10" l="1"/>
  <c r="AM28" i="21"/>
  <c r="AM32" i="21" s="1"/>
  <c r="AM33" i="21" s="1"/>
  <c r="AO58" i="10"/>
  <c r="AM51" i="10"/>
  <c r="AM119" i="10" s="1"/>
  <c r="AN41" i="10"/>
  <c r="AO63" i="10" l="1"/>
  <c r="AO59" i="10"/>
  <c r="AN106" i="10"/>
  <c r="AN9" i="10" s="1"/>
  <c r="AN107" i="10"/>
  <c r="AO108" i="10"/>
  <c r="AN42" i="10"/>
  <c r="AN110" i="10" s="1"/>
  <c r="AO62" i="10" l="1"/>
  <c r="AN39" i="21"/>
  <c r="AN41" i="21" s="1"/>
  <c r="AN43" i="21" s="1"/>
  <c r="AN27" i="21" s="1"/>
  <c r="AN24" i="21"/>
  <c r="AN45" i="10"/>
  <c r="AN46" i="10" s="1"/>
  <c r="AO65" i="10" l="1"/>
  <c r="AO68" i="10" s="1"/>
  <c r="AO67" i="10"/>
  <c r="AN50" i="10"/>
  <c r="AN118" i="10" s="1"/>
  <c r="AN114" i="10"/>
  <c r="AN25" i="21" s="1"/>
  <c r="AN26" i="21" s="1"/>
  <c r="AN112" i="10"/>
  <c r="AN111" i="10"/>
  <c r="AN48" i="10"/>
  <c r="AN117" i="10" s="1"/>
  <c r="AN115" i="10" l="1"/>
  <c r="AN28" i="21"/>
  <c r="AN32" i="21" s="1"/>
  <c r="AN33" i="21" s="1"/>
  <c r="AP58" i="10"/>
  <c r="AN51" i="10"/>
  <c r="AN119" i="10" s="1"/>
  <c r="AO41" i="10"/>
  <c r="AP63" i="10" l="1"/>
  <c r="AP59" i="10"/>
  <c r="AO106" i="10"/>
  <c r="AO9" i="10" s="1"/>
  <c r="AO107" i="10"/>
  <c r="AP108" i="10"/>
  <c r="AO42" i="10"/>
  <c r="AO110" i="10" s="1"/>
  <c r="AP62" i="10" l="1"/>
  <c r="AO39" i="21"/>
  <c r="AO41" i="21" s="1"/>
  <c r="AO43" i="21" s="1"/>
  <c r="AO27" i="21" s="1"/>
  <c r="AO24" i="21"/>
  <c r="AO45" i="10"/>
  <c r="AP65" i="10" l="1"/>
  <c r="AP68" i="10" s="1"/>
  <c r="AP67" i="10"/>
  <c r="AO50" i="10"/>
  <c r="AO118" i="10" s="1"/>
  <c r="AO114" i="10"/>
  <c r="AO25" i="21" s="1"/>
  <c r="AO26" i="21" s="1"/>
  <c r="AO46" i="10"/>
  <c r="AO112" i="10"/>
  <c r="AO111" i="10"/>
  <c r="AO48" i="10"/>
  <c r="AO117" i="10" s="1"/>
  <c r="AO115" i="10" l="1"/>
  <c r="AO28" i="21"/>
  <c r="AO32" i="21" s="1"/>
  <c r="AO33" i="21" s="1"/>
  <c r="AQ58" i="10"/>
  <c r="AO51" i="10"/>
  <c r="AO119" i="10" s="1"/>
  <c r="AP41" i="10"/>
  <c r="AQ63" i="10" l="1"/>
  <c r="AQ59" i="10"/>
  <c r="AP106" i="10"/>
  <c r="AP9" i="10" s="1"/>
  <c r="AP107" i="10"/>
  <c r="AQ108" i="10"/>
  <c r="AP42" i="10"/>
  <c r="AP110" i="10" s="1"/>
  <c r="AQ62" i="10" l="1"/>
  <c r="AP24" i="21"/>
  <c r="AP39" i="21"/>
  <c r="AP41" i="21" s="1"/>
  <c r="AP43" i="21" s="1"/>
  <c r="AP27" i="21" s="1"/>
  <c r="AP45" i="10"/>
  <c r="AP46" i="10" s="1"/>
  <c r="AQ65" i="10" l="1"/>
  <c r="AQ68" i="10" s="1"/>
  <c r="AQ67" i="10"/>
  <c r="AP50" i="10"/>
  <c r="AP118" i="10" s="1"/>
  <c r="AP114" i="10"/>
  <c r="AP25" i="21" s="1"/>
  <c r="AP26" i="21" s="1"/>
  <c r="AP112" i="10"/>
  <c r="AP111" i="10"/>
  <c r="AP48" i="10"/>
  <c r="AP117" i="10" s="1"/>
  <c r="AP115" i="10" l="1"/>
  <c r="AP28" i="21"/>
  <c r="AP32" i="21" s="1"/>
  <c r="AP33" i="21" s="1"/>
  <c r="AR58" i="10"/>
  <c r="AQ41" i="10"/>
  <c r="AP51" i="10"/>
  <c r="AP119" i="10" s="1"/>
  <c r="AR63" i="10" l="1"/>
  <c r="AR59" i="10"/>
  <c r="AQ106" i="10"/>
  <c r="AQ9" i="10" s="1"/>
  <c r="AQ107" i="10"/>
  <c r="AR108" i="10"/>
  <c r="AQ42" i="10"/>
  <c r="AQ110" i="10" s="1"/>
  <c r="AR62" i="10" l="1"/>
  <c r="AQ24" i="21"/>
  <c r="AQ39" i="21"/>
  <c r="AQ41" i="21" s="1"/>
  <c r="AQ43" i="21" s="1"/>
  <c r="AQ27" i="21" s="1"/>
  <c r="AQ45" i="10"/>
  <c r="AQ46" i="10" s="1"/>
  <c r="AR65" i="10" l="1"/>
  <c r="AR68" i="10" s="1"/>
  <c r="AR67" i="10"/>
  <c r="AQ50" i="10"/>
  <c r="AQ118" i="10" s="1"/>
  <c r="AQ114" i="10"/>
  <c r="AQ25" i="21" s="1"/>
  <c r="AQ26" i="21" s="1"/>
  <c r="AQ112" i="10"/>
  <c r="AQ111" i="10"/>
  <c r="AQ48" i="10"/>
  <c r="AQ117" i="10" s="1"/>
  <c r="AQ115" i="10" l="1"/>
  <c r="AQ28" i="21"/>
  <c r="AQ32" i="21" s="1"/>
  <c r="AQ33" i="21" s="1"/>
  <c r="AS58" i="10"/>
  <c r="AR41" i="10"/>
  <c r="AQ51" i="10"/>
  <c r="AQ119" i="10" s="1"/>
  <c r="AS63" i="10" l="1"/>
  <c r="AS59" i="10"/>
  <c r="AR106" i="10"/>
  <c r="AR9" i="10" s="1"/>
  <c r="AR107" i="10"/>
  <c r="AS108" i="10"/>
  <c r="AR42" i="10"/>
  <c r="AR110" i="10" s="1"/>
  <c r="AS62" i="10" l="1"/>
  <c r="AR39" i="21"/>
  <c r="AR41" i="21" s="1"/>
  <c r="AR43" i="21" s="1"/>
  <c r="AR27" i="21" s="1"/>
  <c r="AR24" i="21"/>
  <c r="AR45" i="10"/>
  <c r="AS65" i="10" l="1"/>
  <c r="AS68" i="10" s="1"/>
  <c r="AS67" i="10"/>
  <c r="AR50" i="10"/>
  <c r="AR118" i="10" s="1"/>
  <c r="AR114" i="10"/>
  <c r="AR25" i="21" s="1"/>
  <c r="AR26" i="21" s="1"/>
  <c r="AR46" i="10"/>
  <c r="AR112" i="10"/>
  <c r="AR111" i="10"/>
  <c r="AR48" i="10"/>
  <c r="AR117" i="10" s="1"/>
  <c r="AR115" i="10" l="1"/>
  <c r="AR28" i="21"/>
  <c r="AR32" i="21" s="1"/>
  <c r="AR33" i="21" s="1"/>
  <c r="AT58" i="10"/>
  <c r="AS41" i="10"/>
  <c r="AR51" i="10"/>
  <c r="AR119" i="10" s="1"/>
  <c r="AT63" i="10" l="1"/>
  <c r="AT59" i="10"/>
  <c r="AS106" i="10"/>
  <c r="AS9" i="10" s="1"/>
  <c r="AS107" i="10"/>
  <c r="AT108" i="10"/>
  <c r="AS42" i="10"/>
  <c r="AS110" i="10" s="1"/>
  <c r="AT62" i="10" l="1"/>
  <c r="AS39" i="21"/>
  <c r="AS41" i="21" s="1"/>
  <c r="AS43" i="21" s="1"/>
  <c r="AS27" i="21" s="1"/>
  <c r="AS24" i="21"/>
  <c r="AS45" i="10"/>
  <c r="AS46" i="10" s="1"/>
  <c r="AT65" i="10" l="1"/>
  <c r="AT68" i="10" s="1"/>
  <c r="AT67" i="10"/>
  <c r="AS50" i="10"/>
  <c r="AS118" i="10" s="1"/>
  <c r="AS114" i="10"/>
  <c r="AS25" i="21" s="1"/>
  <c r="AS26" i="21" s="1"/>
  <c r="AS112" i="10"/>
  <c r="AS111" i="10"/>
  <c r="AS115" i="10"/>
  <c r="AS48" i="10"/>
  <c r="AS117" i="10" s="1"/>
  <c r="AS28" i="21" l="1"/>
  <c r="AS32" i="21" s="1"/>
  <c r="AS33" i="21" s="1"/>
  <c r="AU58" i="10"/>
  <c r="AS51" i="10"/>
  <c r="AS119" i="10" s="1"/>
  <c r="AT41" i="10"/>
  <c r="AU63" i="10" l="1"/>
  <c r="AU59" i="10"/>
  <c r="AT106" i="10"/>
  <c r="AT9" i="10" s="1"/>
  <c r="AT107" i="10"/>
  <c r="AU108" i="10"/>
  <c r="AT42" i="10"/>
  <c r="AT110" i="10" s="1"/>
  <c r="AU62" i="10" l="1"/>
  <c r="AT24" i="21"/>
  <c r="AT39" i="21"/>
  <c r="AT41" i="21" s="1"/>
  <c r="AT43" i="21" s="1"/>
  <c r="AT27" i="21" s="1"/>
  <c r="AT45" i="10"/>
  <c r="AT46" i="10" s="1"/>
  <c r="AU65" i="10" l="1"/>
  <c r="AU68" i="10" s="1"/>
  <c r="AU67" i="10"/>
  <c r="AT50" i="10"/>
  <c r="AT118" i="10" s="1"/>
  <c r="AT114" i="10"/>
  <c r="AT25" i="21" s="1"/>
  <c r="AT26" i="21" s="1"/>
  <c r="AT112" i="10"/>
  <c r="AT111" i="10"/>
  <c r="AT48" i="10"/>
  <c r="AT117" i="10" s="1"/>
  <c r="AT115" i="10" l="1"/>
  <c r="AT28" i="21"/>
  <c r="AT32" i="21" s="1"/>
  <c r="AT33" i="21" s="1"/>
  <c r="AV58" i="10"/>
  <c r="AT51" i="10"/>
  <c r="AT119" i="10" s="1"/>
  <c r="AU41" i="10"/>
  <c r="AV63" i="10" l="1"/>
  <c r="AV59" i="10"/>
  <c r="AU106" i="10"/>
  <c r="AU9" i="10" s="1"/>
  <c r="AU107" i="10"/>
  <c r="AV108" i="10"/>
  <c r="AU42" i="10"/>
  <c r="AU110" i="10" s="1"/>
  <c r="AV62" i="10" l="1"/>
  <c r="AU24" i="21"/>
  <c r="AU39" i="21"/>
  <c r="AU41" i="21" s="1"/>
  <c r="AU43" i="21" s="1"/>
  <c r="AU27" i="21" s="1"/>
  <c r="AU45" i="10"/>
  <c r="AV65" i="10" l="1"/>
  <c r="AV68" i="10" s="1"/>
  <c r="AV67" i="10"/>
  <c r="AU50" i="10"/>
  <c r="AU118" i="10" s="1"/>
  <c r="AU114" i="10"/>
  <c r="AU25" i="21" s="1"/>
  <c r="AU26" i="21" s="1"/>
  <c r="AU112" i="10"/>
  <c r="AU111" i="10"/>
  <c r="AU48" i="10"/>
  <c r="AU117" i="10" s="1"/>
  <c r="AU46" i="10"/>
  <c r="AU115" i="10" l="1"/>
  <c r="AU28" i="21"/>
  <c r="AU32" i="21" s="1"/>
  <c r="AU33" i="21" s="1"/>
  <c r="AW58" i="10"/>
  <c r="AU51" i="10"/>
  <c r="AU119" i="10" s="1"/>
  <c r="AV41" i="10"/>
  <c r="AW63" i="10" l="1"/>
  <c r="AW59" i="10"/>
  <c r="AV106" i="10"/>
  <c r="AV9" i="10" s="1"/>
  <c r="AV107" i="10"/>
  <c r="AW108" i="10"/>
  <c r="AV42" i="10"/>
  <c r="AV110" i="10" s="1"/>
  <c r="AW62" i="10" l="1"/>
  <c r="AV39" i="21"/>
  <c r="AV41" i="21" s="1"/>
  <c r="AV43" i="21" s="1"/>
  <c r="AV27" i="21" s="1"/>
  <c r="AV24" i="21"/>
  <c r="AV45" i="10"/>
  <c r="AV46" i="10" s="1"/>
  <c r="AW65" i="10" l="1"/>
  <c r="AW68" i="10" s="1"/>
  <c r="AW67" i="10"/>
  <c r="AV50" i="10"/>
  <c r="AV118" i="10" s="1"/>
  <c r="AV114" i="10"/>
  <c r="AV25" i="21" s="1"/>
  <c r="AV26" i="21" s="1"/>
  <c r="AV112" i="10"/>
  <c r="AV111" i="10"/>
  <c r="AV48" i="10"/>
  <c r="AV117" i="10" s="1"/>
  <c r="AV115" i="10" l="1"/>
  <c r="AV28" i="21"/>
  <c r="AV32" i="21" s="1"/>
  <c r="AV33" i="21" s="1"/>
  <c r="AX58" i="10"/>
  <c r="AV51" i="10"/>
  <c r="AV119" i="10" s="1"/>
  <c r="AW41" i="10"/>
  <c r="AX63" i="10" l="1"/>
  <c r="AX59" i="10"/>
  <c r="AW106" i="10"/>
  <c r="AW9" i="10" s="1"/>
  <c r="AW107" i="10"/>
  <c r="AX108" i="10"/>
  <c r="AW42" i="10"/>
  <c r="AW110" i="10" s="1"/>
  <c r="AX62" i="10" l="1"/>
  <c r="AW39" i="21"/>
  <c r="AW41" i="21" s="1"/>
  <c r="AW43" i="21" s="1"/>
  <c r="AW27" i="21" s="1"/>
  <c r="AW24" i="21"/>
  <c r="AW45" i="10"/>
  <c r="AW46" i="10" s="1"/>
  <c r="AX65" i="10" l="1"/>
  <c r="AX68" i="10" s="1"/>
  <c r="AX67" i="10"/>
  <c r="AW50" i="10"/>
  <c r="AW118" i="10" s="1"/>
  <c r="AW114" i="10"/>
  <c r="AW25" i="21" s="1"/>
  <c r="AW26" i="21" s="1"/>
  <c r="AW112" i="10"/>
  <c r="AW111" i="10"/>
  <c r="AW48" i="10"/>
  <c r="AW117" i="10" s="1"/>
  <c r="AW115" i="10" l="1"/>
  <c r="AW28" i="21"/>
  <c r="AW32" i="21" s="1"/>
  <c r="AW33" i="21" s="1"/>
  <c r="AY58" i="10"/>
  <c r="AW51" i="10"/>
  <c r="AW119" i="10" s="1"/>
  <c r="AX41" i="10"/>
  <c r="AY63" i="10" l="1"/>
  <c r="AY59" i="10"/>
  <c r="AX106" i="10"/>
  <c r="AX9" i="10" s="1"/>
  <c r="AX107" i="10"/>
  <c r="AY108" i="10"/>
  <c r="AX42" i="10"/>
  <c r="AX110" i="10" s="1"/>
  <c r="AY62" i="10" l="1"/>
  <c r="AX24" i="21"/>
  <c r="AX39" i="21"/>
  <c r="AX41" i="21" s="1"/>
  <c r="AX43" i="21" s="1"/>
  <c r="AX27" i="21" s="1"/>
  <c r="AX45" i="10"/>
  <c r="AX46" i="10" s="1"/>
  <c r="AY65" i="10" l="1"/>
  <c r="AY68" i="10" s="1"/>
  <c r="AY67" i="10"/>
  <c r="AX50" i="10"/>
  <c r="AX118" i="10" s="1"/>
  <c r="AX114" i="10"/>
  <c r="AX25" i="21" s="1"/>
  <c r="AX26" i="21" s="1"/>
  <c r="AX112" i="10"/>
  <c r="AX111" i="10"/>
  <c r="AX48" i="10"/>
  <c r="AX117" i="10" s="1"/>
  <c r="AX115" i="10" l="1"/>
  <c r="AX28" i="21"/>
  <c r="AX32" i="21" s="1"/>
  <c r="AX33" i="21" s="1"/>
  <c r="AZ58" i="10"/>
  <c r="AX51" i="10"/>
  <c r="AX119" i="10" s="1"/>
  <c r="AY41" i="10"/>
  <c r="AZ63" i="10" l="1"/>
  <c r="AZ59" i="10"/>
  <c r="AY106" i="10"/>
  <c r="AY9" i="10" s="1"/>
  <c r="AY107" i="10"/>
  <c r="AZ108" i="10"/>
  <c r="AY42" i="10"/>
  <c r="AY110" i="10" s="1"/>
  <c r="AZ62" i="10" l="1"/>
  <c r="AY24" i="21"/>
  <c r="AY39" i="21"/>
  <c r="AY41" i="21" s="1"/>
  <c r="AY43" i="21" s="1"/>
  <c r="AY27" i="21" s="1"/>
  <c r="AY45" i="10"/>
  <c r="AY46" i="10" s="1"/>
  <c r="AZ65" i="10" l="1"/>
  <c r="AZ68" i="10" s="1"/>
  <c r="AZ67" i="10"/>
  <c r="AY50" i="10"/>
  <c r="AY118" i="10" s="1"/>
  <c r="AY114" i="10"/>
  <c r="AY25" i="21" s="1"/>
  <c r="AY26" i="21" s="1"/>
  <c r="AY112" i="10"/>
  <c r="AY111" i="10"/>
  <c r="AY48" i="10"/>
  <c r="AY117" i="10" s="1"/>
  <c r="AY115" i="10" l="1"/>
  <c r="AY28" i="21"/>
  <c r="AY32" i="21" s="1"/>
  <c r="AY33" i="21" s="1"/>
  <c r="BA58" i="10"/>
  <c r="AZ41" i="10"/>
  <c r="AY51" i="10"/>
  <c r="AY119" i="10" s="1"/>
  <c r="BA63" i="10" l="1"/>
  <c r="BA59" i="10"/>
  <c r="AZ106" i="10"/>
  <c r="AZ9" i="10" s="1"/>
  <c r="AZ107" i="10"/>
  <c r="BA108" i="10"/>
  <c r="AZ42" i="10"/>
  <c r="AZ110" i="10" s="1"/>
  <c r="BA62" i="10" l="1"/>
  <c r="AZ39" i="21"/>
  <c r="AZ41" i="21" s="1"/>
  <c r="AZ43" i="21" s="1"/>
  <c r="AZ27" i="21" s="1"/>
  <c r="AZ24" i="21"/>
  <c r="AZ45" i="10"/>
  <c r="AZ46" i="10" s="1"/>
  <c r="BA65" i="10" l="1"/>
  <c r="BA68" i="10" s="1"/>
  <c r="BA67" i="10"/>
  <c r="AZ50" i="10"/>
  <c r="AZ118" i="10" s="1"/>
  <c r="AZ114" i="10"/>
  <c r="AZ25" i="21" s="1"/>
  <c r="AZ26" i="21" s="1"/>
  <c r="AZ112" i="10"/>
  <c r="AZ111" i="10"/>
  <c r="AZ48" i="10"/>
  <c r="AZ117" i="10" s="1"/>
  <c r="AZ115" i="10" l="1"/>
  <c r="AZ28" i="21"/>
  <c r="AZ32" i="21" s="1"/>
  <c r="AZ33" i="21" s="1"/>
  <c r="BA41" i="10"/>
  <c r="AZ51" i="10"/>
  <c r="AZ119" i="10" s="1"/>
  <c r="BA106" i="10" l="1"/>
  <c r="BA9" i="10" s="1"/>
  <c r="BA107" i="10"/>
  <c r="BA42" i="10"/>
  <c r="N29" i="9" l="1"/>
  <c r="BA45" i="10"/>
  <c r="BA114" i="10" s="1"/>
  <c r="BA25" i="21" s="1"/>
  <c r="BA110" i="10"/>
  <c r="BA46" i="10" l="1"/>
  <c r="BA24" i="21"/>
  <c r="BA26" i="21" s="1"/>
  <c r="BA39" i="21"/>
  <c r="BA41" i="21" s="1"/>
  <c r="BA43" i="21" s="1"/>
  <c r="BA27" i="21" s="1"/>
  <c r="BA50" i="10"/>
  <c r="BA112" i="10"/>
  <c r="BA111" i="10"/>
  <c r="BA115" i="10"/>
  <c r="BA48" i="10"/>
  <c r="BA117" i="10" s="1"/>
  <c r="BA118" i="10" l="1"/>
  <c r="BA28" i="21"/>
  <c r="BA51" i="10"/>
  <c r="K11" i="9"/>
  <c r="I34" i="15" s="1"/>
  <c r="J34" i="15"/>
  <c r="J37" i="15" s="1"/>
  <c r="J44" i="15"/>
  <c r="Q37" i="9"/>
  <c r="BA119" i="10" l="1"/>
  <c r="N21" i="9"/>
  <c r="BA32" i="21"/>
  <c r="W11" i="9" s="1"/>
  <c r="W10" i="9"/>
  <c r="W9" i="9"/>
  <c r="BA33" i="21" l="1"/>
  <c r="W12" i="9" s="1"/>
</calcChain>
</file>

<file path=xl/sharedStrings.xml><?xml version="1.0" encoding="utf-8"?>
<sst xmlns="http://schemas.openxmlformats.org/spreadsheetml/2006/main" count="953" uniqueCount="486">
  <si>
    <t>Investition</t>
  </si>
  <si>
    <t>Kaufpreis</t>
  </si>
  <si>
    <t>pro qm</t>
  </si>
  <si>
    <t>Kaufnebenkosten</t>
  </si>
  <si>
    <t>Makler</t>
  </si>
  <si>
    <t>Notar</t>
  </si>
  <si>
    <t>Grunderwerbssteuer</t>
  </si>
  <si>
    <t>Summe</t>
  </si>
  <si>
    <t>Sonstige</t>
  </si>
  <si>
    <t>Gesamtinvestitionskosten</t>
  </si>
  <si>
    <t>Sonstiges</t>
  </si>
  <si>
    <t>Wohnfläche</t>
  </si>
  <si>
    <t>Anfängliche Investitionen</t>
  </si>
  <si>
    <t>Kaufpreis pro qm</t>
  </si>
  <si>
    <t>Nettokaltmiete pro Jahr</t>
  </si>
  <si>
    <t>Soll-Miete pro Monat</t>
  </si>
  <si>
    <t>Bruttomietrendite</t>
  </si>
  <si>
    <t>Nettomietrendite</t>
  </si>
  <si>
    <t>Faktor</t>
  </si>
  <si>
    <t>Finanzierung</t>
  </si>
  <si>
    <t>Darlehen I</t>
  </si>
  <si>
    <t>Darlehenssumme</t>
  </si>
  <si>
    <t>Zinssatz</t>
  </si>
  <si>
    <t>Anfängliche Tilgung</t>
  </si>
  <si>
    <t>Kapitaldienst pro Monat</t>
  </si>
  <si>
    <t>Darlehen II</t>
  </si>
  <si>
    <t>Eigenkapital</t>
  </si>
  <si>
    <t>Zinssatz gewichtet</t>
  </si>
  <si>
    <t>Anfängliche Tilgung gewichtet</t>
  </si>
  <si>
    <t>- Bewirtschaftungskosten</t>
  </si>
  <si>
    <t>= Cashflow operativ</t>
  </si>
  <si>
    <t>- Zinsen</t>
  </si>
  <si>
    <t>- Tilgung</t>
  </si>
  <si>
    <t>Eigenkapitalrendite p.a.</t>
  </si>
  <si>
    <t>Cashflow operativ</t>
  </si>
  <si>
    <t>AfA Satz</t>
  </si>
  <si>
    <t>- Abschreibung für Abnutzung (AfA)</t>
  </si>
  <si>
    <t>= zu versteuernder Cashflow</t>
  </si>
  <si>
    <t>Nebenrechnung Steuer (Monatsbasis)</t>
  </si>
  <si>
    <t>- Steuern</t>
  </si>
  <si>
    <t>= Steuern</t>
  </si>
  <si>
    <t>= Cashflow nach Steuern</t>
  </si>
  <si>
    <t>Restschuld Periodenbeginn</t>
  </si>
  <si>
    <t>Zinsen</t>
  </si>
  <si>
    <t>Tilgung</t>
  </si>
  <si>
    <t>Annuität</t>
  </si>
  <si>
    <t>€</t>
  </si>
  <si>
    <t>Restschuld Periodenende</t>
  </si>
  <si>
    <t>Zinsänderung</t>
  </si>
  <si>
    <t>Gültiger Zinssatz</t>
  </si>
  <si>
    <t>= gewichteter Zinssatz</t>
  </si>
  <si>
    <t>Wert der Immobilie</t>
  </si>
  <si>
    <t>- Restschuld Darlehen</t>
  </si>
  <si>
    <t>= Netto-Vermögen</t>
  </si>
  <si>
    <t>Neue Soll-Tilgung</t>
  </si>
  <si>
    <t>Effektive Tilgung</t>
  </si>
  <si>
    <t>entspricht % der Restschuld</t>
  </si>
  <si>
    <t>Monatl. Zinsen für CF 0 nach Steuern</t>
  </si>
  <si>
    <t>= Zinssatz gewichtet (p.a.)</t>
  </si>
  <si>
    <t>= kumuliert</t>
  </si>
  <si>
    <t>Wertentwicklung</t>
  </si>
  <si>
    <t>Kalkulatorischer Mietausfall</t>
  </si>
  <si>
    <t>Einnahmen</t>
  </si>
  <si>
    <t>Ausgaben</t>
  </si>
  <si>
    <t>Einmalige Sondertilgung</t>
  </si>
  <si>
    <t>Wert der Immobilie (Jahresanfang)</t>
  </si>
  <si>
    <t>Nettovermögen (Wert - Restschuld) (Jahresanfang)</t>
  </si>
  <si>
    <t>= Nettokaltmiete</t>
  </si>
  <si>
    <t>+ Stellplätze</t>
  </si>
  <si>
    <t>Grün</t>
  </si>
  <si>
    <t>Rot</t>
  </si>
  <si>
    <t>Gelb</t>
  </si>
  <si>
    <t>Schwellwerte für Kennzahlen-Farben</t>
  </si>
  <si>
    <t>Eigenkapitalrendite</t>
  </si>
  <si>
    <t>Cashflow nach Steuern</t>
  </si>
  <si>
    <t>Kennzahl</t>
  </si>
  <si>
    <t>Basis für langfristige Abschreibung</t>
  </si>
  <si>
    <t>Zusätzl. Investitionsbedarf</t>
  </si>
  <si>
    <t>Nettokaltmiete</t>
  </si>
  <si>
    <t>Bewirtschaftungskosten</t>
  </si>
  <si>
    <t>= monatlicher Cashflow</t>
  </si>
  <si>
    <t>Rentabilität</t>
  </si>
  <si>
    <t>Erwartete Mieteinkünfte</t>
  </si>
  <si>
    <t>Kaufpreis Multiplikator</t>
  </si>
  <si>
    <t>Annahme Zinsen</t>
  </si>
  <si>
    <t>Monatlicher Cashflow (Jahr 1)</t>
  </si>
  <si>
    <t>Objektdetails</t>
  </si>
  <si>
    <t>Kapitalbedarf</t>
  </si>
  <si>
    <t>Einnahme</t>
  </si>
  <si>
    <t>Ausgabe</t>
  </si>
  <si>
    <t>+ Sonstiges</t>
  </si>
  <si>
    <t>Cashflow pro Monat (Überschuss)</t>
  </si>
  <si>
    <t>Wertentwicklung im Jahr</t>
  </si>
  <si>
    <t>ohne Wertsteigerung</t>
  </si>
  <si>
    <t>Insgesamt</t>
  </si>
  <si>
    <t>Hochrechnung für das Jahr</t>
  </si>
  <si>
    <t>Kennzahlen in der Zukunft</t>
  </si>
  <si>
    <t>entspricht Jahre nach dem Kauf</t>
  </si>
  <si>
    <t>Jahr der Volltilgung</t>
  </si>
  <si>
    <t>+ geplante Mieterhöhung</t>
  </si>
  <si>
    <t>Rücklagen</t>
  </si>
  <si>
    <t>Steuern</t>
  </si>
  <si>
    <t>Kostensteigerung p.a.</t>
  </si>
  <si>
    <t>Mietsteigerung p.a.</t>
  </si>
  <si>
    <t>Wertsteigerung p.a.</t>
  </si>
  <si>
    <t>Anteil Gebäude an Kaufpreis</t>
  </si>
  <si>
    <t>Was</t>
  </si>
  <si>
    <t>Kosten</t>
  </si>
  <si>
    <t>Steuerlich</t>
  </si>
  <si>
    <t>Wertsteig.</t>
  </si>
  <si>
    <t>Adresse</t>
  </si>
  <si>
    <t>Stellplätze</t>
  </si>
  <si>
    <t>Neuer Wert</t>
  </si>
  <si>
    <t>Investitionsübersicht für das Bankgespräch</t>
  </si>
  <si>
    <t>Diagramme</t>
  </si>
  <si>
    <t>Kennzahlen heute</t>
  </si>
  <si>
    <t>Gesamt-Finanzierung</t>
  </si>
  <si>
    <t>Kaufpreis und Kaufnebenkosten</t>
  </si>
  <si>
    <t>Objekt und Investition</t>
  </si>
  <si>
    <t>Miete, Steuern, Rücklagen</t>
  </si>
  <si>
    <t>Prognose</t>
  </si>
  <si>
    <t>Vermögenszuwachs</t>
  </si>
  <si>
    <t>Zinsänderungsrisiko</t>
  </si>
  <si>
    <t>pro m²</t>
  </si>
  <si>
    <t>entspricht % der Nettokaltmiete</t>
  </si>
  <si>
    <t>Miete und Mietrendite</t>
  </si>
  <si>
    <t>Miete und Wert</t>
  </si>
  <si>
    <t>Vermögenszuwachs p.a.</t>
  </si>
  <si>
    <t>Weitere Kosten</t>
  </si>
  <si>
    <t>Konfiguration</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</si>
  <si>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</si>
  <si>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</si>
  <si>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</si>
  <si>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</si>
  <si>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</si>
  <si>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</si>
  <si>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</si>
  <si>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</si>
  <si>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</si>
  <si>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</si>
  <si>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</si>
  <si>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</si>
  <si>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</si>
  <si>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</si>
  <si>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</si>
  <si>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</si>
  <si>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</si>
  <si>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</si>
  <si>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Kommentar</t>
  </si>
  <si>
    <t>Lohn / Gehalt (netto) I</t>
  </si>
  <si>
    <t>Lohn / Gehalt (netto) II</t>
  </si>
  <si>
    <t>Einkünfte aus selbstständiger Arbeit</t>
  </si>
  <si>
    <t>Rente / Pension</t>
  </si>
  <si>
    <t>Miet- / Pachteinnahmen (netto/kalt)</t>
  </si>
  <si>
    <t>Staatliche Leistungen</t>
  </si>
  <si>
    <t>Sonstige Einkünfte</t>
  </si>
  <si>
    <t>Wohnen inkl. Nebenkosten</t>
  </si>
  <si>
    <t>inkl. Strom, Internet, TV etc.</t>
  </si>
  <si>
    <t>Nahrungs- und Genussmittel</t>
  </si>
  <si>
    <t>Anschaffungen</t>
  </si>
  <si>
    <t>inkl. Bekleidung</t>
  </si>
  <si>
    <t>Freizeit, Kultur und Hobby</t>
  </si>
  <si>
    <t>Fitness-Center, Fotografie-Ausstattung</t>
  </si>
  <si>
    <t>Urlaub</t>
  </si>
  <si>
    <t>Mobilität</t>
  </si>
  <si>
    <t>PKW in Eigentum</t>
  </si>
  <si>
    <t>Kommunikation</t>
  </si>
  <si>
    <t>Spenden</t>
  </si>
  <si>
    <t>Laufende Sparverträge</t>
  </si>
  <si>
    <t>Aktienanlage</t>
  </si>
  <si>
    <t>Beiträge zur Altersvorsorge</t>
  </si>
  <si>
    <t>Private Versicherungen</t>
  </si>
  <si>
    <t>BU, Unfall, Risiko-Leben</t>
  </si>
  <si>
    <t>Vermietete Immobilien: Bewirtschaftung</t>
  </si>
  <si>
    <t>nicht umagefähig, inkl. Rücklagen</t>
  </si>
  <si>
    <t>Vermietete Immobilien: Kapitaldienst</t>
  </si>
  <si>
    <t>Ausgaben aus selbstständiger Arbeit</t>
  </si>
  <si>
    <t>Unterhaltszahlungen</t>
  </si>
  <si>
    <t>Haushaltsüberschuss</t>
  </si>
  <si>
    <t>Differenz</t>
  </si>
  <si>
    <t>= Haushaltsüberschuss</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</si>
  <si>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</si>
  <si>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</si>
  <si>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</si>
  <si>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</si>
  <si>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</si>
  <si>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</si>
  <si>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</si>
  <si>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</si>
  <si>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</si>
  <si>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</si>
  <si>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</si>
  <si>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</si>
  <si>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</si>
  <si>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</si>
  <si>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</si>
  <si>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</si>
  <si>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</si>
  <si>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</si>
  <si>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</si>
  <si>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</si>
  <si>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</si>
  <si>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</si>
  <si>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</si>
  <si>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</si>
  <si>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</si>
  <si>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</si>
  <si>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</si>
  <si>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Um die Bilder zu ändern, klicke mit rechts auf das Bild und wähle "Bild ändern".</t>
  </si>
  <si>
    <t>zur Vorlage: Haushaltsrechnung</t>
  </si>
  <si>
    <t>zur Vorlage: Vermögensübersicht</t>
  </si>
  <si>
    <t>Erhalte bessere Darlehen:</t>
  </si>
  <si>
    <t>Um deiner Bank deine persönlichen finanziellen Verhältnisse darzustellen, kannst du folgende Vorlagen verwenden:</t>
  </si>
  <si>
    <t>Tätigkeit</t>
  </si>
  <si>
    <t>Einheit</t>
  </si>
  <si>
    <t>Kosten pro Einheit</t>
  </si>
  <si>
    <t>Kosten min</t>
  </si>
  <si>
    <t>Kosten max</t>
  </si>
  <si>
    <t>Gerüst: Aufstellen, 4 Wochen, Abbau (ohne Staubschutz)</t>
  </si>
  <si>
    <t>m² Wandfläche</t>
  </si>
  <si>
    <t>Anstrich und einfache Beschichtung auf Altplutz inkl. Gerüst</t>
  </si>
  <si>
    <t>Keller</t>
  </si>
  <si>
    <t>Elektrik</t>
  </si>
  <si>
    <t>Fenster/Türen</t>
  </si>
  <si>
    <t>m² Fläche</t>
  </si>
  <si>
    <t>Verklebten Teppich/PVC entfernen, Boden neu grundieren, komplett</t>
  </si>
  <si>
    <t>Vinyl Material und Verlegen auf Estrich (mittel)</t>
  </si>
  <si>
    <t>Küche</t>
  </si>
  <si>
    <t>Balkone</t>
  </si>
  <si>
    <r>
      <t xml:space="preserve">Dach </t>
    </r>
    <r>
      <rPr>
        <sz val="10"/>
        <color theme="0"/>
        <rFont val="Calibri"/>
        <family val="2"/>
        <scheme val="minor"/>
      </rPr>
      <t>(inkl. Dachfenster / Ausbau)</t>
    </r>
  </si>
  <si>
    <r>
      <t xml:space="preserve">Heizung </t>
    </r>
    <r>
      <rPr>
        <sz val="10"/>
        <color theme="0"/>
        <rFont val="Calibri"/>
        <family val="2"/>
        <scheme val="minor"/>
      </rPr>
      <t>(inkl. zentrales Warmwasser)</t>
    </r>
  </si>
  <si>
    <r>
      <t xml:space="preserve">Trockenbau </t>
    </r>
    <r>
      <rPr>
        <sz val="10"/>
        <color theme="0"/>
        <rFont val="Calibri"/>
        <family val="2"/>
        <scheme val="minor"/>
      </rPr>
      <t>(inkl. Maurerarbeiten und Dämmung innen)</t>
    </r>
  </si>
  <si>
    <r>
      <t xml:space="preserve">Malerarbeiten </t>
    </r>
    <r>
      <rPr>
        <sz val="10"/>
        <color theme="0"/>
        <rFont val="Calibri"/>
        <family val="2"/>
        <scheme val="minor"/>
      </rPr>
      <t>(innen; außen -&gt; Fassade)</t>
    </r>
  </si>
  <si>
    <r>
      <t xml:space="preserve">Sanitär </t>
    </r>
    <r>
      <rPr>
        <sz val="10"/>
        <color theme="0"/>
        <rFont val="Calibri"/>
        <family val="2"/>
        <scheme val="minor"/>
      </rPr>
      <t>(inkl. dezentrales Warmwasser)</t>
    </r>
  </si>
  <si>
    <t>Estrich/Boden/Wandfliesen</t>
  </si>
  <si>
    <t>Fassade / Gebäudehülle</t>
  </si>
  <si>
    <t>Nur Tätigkeiten mit geplantem Aufwand</t>
  </si>
  <si>
    <t>Filter</t>
  </si>
  <si>
    <t>↓</t>
  </si>
  <si>
    <t>Geplanter Aufwand (Einheiten)</t>
  </si>
  <si>
    <t>Typische Schwankung</t>
  </si>
  <si>
    <t xml:space="preserve">Kosten
</t>
  </si>
  <si>
    <t>Summe über alle Bereiche</t>
  </si>
  <si>
    <t>Pauschaler Auf/-abschlag</t>
  </si>
  <si>
    <t>Summe inklusive Auf/-abschlag</t>
  </si>
  <si>
    <t>Darlehen III</t>
  </si>
  <si>
    <t>Darlehen IV</t>
  </si>
  <si>
    <t>Weitere Darlehen</t>
  </si>
  <si>
    <t>Haupt-Darlehen</t>
  </si>
  <si>
    <t>Summe der Darlehen</t>
  </si>
  <si>
    <t>davon Hauptdarlehen (I)</t>
  </si>
  <si>
    <t>davon weitere Darlehen (II - IV)</t>
  </si>
  <si>
    <t>+ umlagefähige Kosten</t>
  </si>
  <si>
    <t>- Rücklage Kalkulatorischer Mietausfall</t>
  </si>
  <si>
    <t>- Bewirtschaftungskosten ohne eigene Rücklagen</t>
  </si>
  <si>
    <t>- Eigene Instandhaltungsrücklage</t>
  </si>
  <si>
    <t>Miete pro Monat</t>
  </si>
  <si>
    <t>Cashflow pro Monat</t>
  </si>
  <si>
    <t>Kumulierte Abschreibung Jahresende</t>
  </si>
  <si>
    <t>Kaltmiete Wohnfläche pro qm</t>
  </si>
  <si>
    <t>Kaltmiete Wohnfläche gesamt</t>
  </si>
  <si>
    <t>Nettokaltmiete vor Erhöhung</t>
  </si>
  <si>
    <t>Abschreibung Denkmal</t>
  </si>
  <si>
    <t>Abschreibung Regulär</t>
  </si>
  <si>
    <t>* Abschreibungssatz pro Jahr</t>
  </si>
  <si>
    <t>= Abschreibung pro Jahr</t>
  </si>
  <si>
    <t>= pro Monat</t>
  </si>
  <si>
    <t>Wertschätzung über Kaufpreisfaktor</t>
  </si>
  <si>
    <t>Kumulierter Cashflow am Jahresende</t>
  </si>
  <si>
    <t>Kumulierter Cashflow bis dahin</t>
  </si>
  <si>
    <t>Break-Even</t>
  </si>
  <si>
    <t>Kumulierter Cashflow erstmals positiv</t>
  </si>
  <si>
    <t>Break Even Rechnung</t>
  </si>
  <si>
    <t>Nebenrechnung Steuer pro Monat</t>
  </si>
  <si>
    <t>Kumulierter Cashflow inkl. Eigenkapitaleinsatz</t>
  </si>
  <si>
    <t>Cashflow nach Steuern erstmals positiv</t>
  </si>
  <si>
    <t>Kum. Cashflow inkl. EK erstmals positiv</t>
  </si>
  <si>
    <t>- Eigenkapital Einsatz</t>
  </si>
  <si>
    <t>+ Kumulierter Cashflow</t>
  </si>
  <si>
    <t>= Vermögenszuwachs</t>
  </si>
  <si>
    <t>Wert der Immobilie (Jahresende)</t>
  </si>
  <si>
    <t>Vermögenszuwachs bis Jahresende</t>
  </si>
  <si>
    <t>Summe Bewirtschaftungskosten</t>
  </si>
  <si>
    <t>Kaltmiete</t>
  </si>
  <si>
    <t>Sprünge</t>
  </si>
  <si>
    <t>% Kaufpreis</t>
  </si>
  <si>
    <t>Cashflow nach Steuern (Monat)</t>
  </si>
  <si>
    <t>CF operativ</t>
  </si>
  <si>
    <t>AfA</t>
  </si>
  <si>
    <t>Hausgeld und weitere Kosten</t>
  </si>
  <si>
    <t>Ausgangsdaten</t>
  </si>
  <si>
    <t>Darlehen I % Kaufpreis</t>
  </si>
  <si>
    <t>Darlehen I Summe</t>
  </si>
  <si>
    <t>- Abschreibung (AfA)</t>
  </si>
  <si>
    <t>* persönlicher Grenzsteuersatz</t>
  </si>
  <si>
    <t xml:space="preserve">Einheit 5: </t>
  </si>
  <si>
    <t xml:space="preserve">Einheit 6: </t>
  </si>
  <si>
    <t xml:space="preserve">Einheit 7: </t>
  </si>
  <si>
    <t xml:space="preserve">Einheit 8: </t>
  </si>
  <si>
    <t xml:space="preserve">Einheit 10: </t>
  </si>
  <si>
    <t xml:space="preserve">Einheit 11: </t>
  </si>
  <si>
    <t>= pro m² Wohnfläche</t>
  </si>
  <si>
    <t>Einheit 1: EG vo. li. / Meyer</t>
  </si>
  <si>
    <t>Einheit 2: EG hi. li. / Müller</t>
  </si>
  <si>
    <t>Einheit 3: EG vo. re. / Schulze</t>
  </si>
  <si>
    <t>Einheit 4: EG vor. li. / Mustermann</t>
  </si>
  <si>
    <t xml:space="preserve">Einheit 9: </t>
  </si>
  <si>
    <t xml:space="preserve">Einheit 12: </t>
  </si>
  <si>
    <t xml:space="preserve">Einheit 13: </t>
  </si>
  <si>
    <t xml:space="preserve">Einheit 14: </t>
  </si>
  <si>
    <t xml:space="preserve">Einheit 15: </t>
  </si>
  <si>
    <t xml:space="preserve">Einheit 16: </t>
  </si>
  <si>
    <t xml:space="preserve">Einheit 17: </t>
  </si>
  <si>
    <t xml:space="preserve">Einheit 18: </t>
  </si>
  <si>
    <t xml:space="preserve">Einheit 19: </t>
  </si>
  <si>
    <t xml:space="preserve">Einheit 20: </t>
  </si>
  <si>
    <t xml:space="preserve">Einheit 21: </t>
  </si>
  <si>
    <t xml:space="preserve">Einheit 22: </t>
  </si>
  <si>
    <t xml:space="preserve">Einheit 23: </t>
  </si>
  <si>
    <t xml:space="preserve">Einheit 24: </t>
  </si>
  <si>
    <t xml:space="preserve">Einheit 25: </t>
  </si>
  <si>
    <t xml:space="preserve">Einheit 26: </t>
  </si>
  <si>
    <t xml:space="preserve">Einheit 27: </t>
  </si>
  <si>
    <t xml:space="preserve">Einheit 28: </t>
  </si>
  <si>
    <t xml:space="preserve">Einheit 29: </t>
  </si>
  <si>
    <t xml:space="preserve">Einheit 30: </t>
  </si>
  <si>
    <t>Summe aller Einheiten</t>
  </si>
  <si>
    <t>= Nettokaltmiete (effektiv)</t>
  </si>
  <si>
    <t>Mieten von diesem Blatt verwenden</t>
  </si>
  <si>
    <t>Nettokaltmiete laut MFH-Kalkulator</t>
  </si>
  <si>
    <t>+ Eigene Instandhaltungsrücklage</t>
  </si>
  <si>
    <t>+ Kalkulatorischer Mietausfall</t>
  </si>
  <si>
    <t>= Summe</t>
  </si>
  <si>
    <t>Empfohlene eigene Instandhalt.-Rückl.</t>
  </si>
  <si>
    <t>Eigene Instandhalt.-Rückl. (pro m² p.a.)</t>
  </si>
  <si>
    <t>- Bewirt.-Kosten ohne eigene Rückl.</t>
  </si>
  <si>
    <t>Kostenposition I</t>
  </si>
  <si>
    <t>Kostenposition II</t>
  </si>
  <si>
    <t>Kostenposition III</t>
  </si>
  <si>
    <t>Kostenposition IV</t>
  </si>
  <si>
    <t>Darlehenssumme % Kaufpreis</t>
  </si>
  <si>
    <t>Betrachtungszeitpunkt</t>
  </si>
  <si>
    <t>Profi Kenzahlen</t>
  </si>
  <si>
    <t>Zinssatz Darlehen I</t>
  </si>
  <si>
    <t>Anfängliche Tilgung Darlehen I</t>
  </si>
  <si>
    <t>Aus</t>
  </si>
  <si>
    <t>Bankgespräch</t>
  </si>
  <si>
    <t>MFH</t>
  </si>
  <si>
    <t>Szenarien-Vergleich</t>
  </si>
  <si>
    <t>Sanierungsplaner</t>
  </si>
  <si>
    <t>Kennzahlen im Verlauf</t>
  </si>
  <si>
    <t>zurück zum Cockpit</t>
  </si>
  <si>
    <t>Mehrfamilienhaus-Kalkulator</t>
  </si>
  <si>
    <t>Cockpit</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</si>
  <si>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</si>
  <si>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Objekt und Kaufdatum</t>
  </si>
  <si>
    <t>Kaufdatum</t>
  </si>
  <si>
    <t>Kürzel</t>
  </si>
  <si>
    <t>BoEl19</t>
  </si>
  <si>
    <t>Wert, Abschreibung und Darlehen</t>
  </si>
  <si>
    <t>zu Wert, Abschreibung und Darlehen wechseln</t>
  </si>
  <si>
    <t>Hauptdarlehen</t>
  </si>
  <si>
    <t>Bewirt.-Kosten (nicht umlagefähig)</t>
  </si>
  <si>
    <t>zurück zum Bankgespräch</t>
  </si>
  <si>
    <t>Vorlage: Haushaltsrechnung</t>
  </si>
  <si>
    <t>Vorlage: Vermögensaufstellung</t>
  </si>
  <si>
    <t>pro qm und Monat</t>
  </si>
  <si>
    <t>Nebenkosten</t>
  </si>
  <si>
    <t>Anfängl. Invest.</t>
  </si>
  <si>
    <t>Darlehen I
% Kaufpreis</t>
  </si>
  <si>
    <t>Darlehen I
Zinssatz</t>
  </si>
  <si>
    <t>Darlehen I
Tilgung</t>
  </si>
  <si>
    <t>Keine Gewähr für die Richtigkeit der Angaben. Dieses Tool ersetzt keine fundierte Rechts-, Steuer- oder Finanzberatung. Mehr Details hier.</t>
  </si>
  <si>
    <t>Tabelle entsperren</t>
  </si>
  <si>
    <t>immocation</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</si>
  <si>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</si>
  <si>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www.immocation.de</t>
  </si>
  <si>
    <t>Beleihungsreserve</t>
  </si>
  <si>
    <t>= Beleihungsreserve</t>
  </si>
  <si>
    <t>Kontostand</t>
  </si>
  <si>
    <t>= Kontostand</t>
  </si>
  <si>
    <t>Eigenkapital Einsatz (anfänglich)</t>
  </si>
  <si>
    <t>Dieser Planer funktioniert wie (d)ein persönlicher wachsender Sanierungskatalog. Du füllst ihn nach und nach mit den für deine Investments relevanten Tätigkeiten und den für deinen Standort realistischen Preisen. In Zukunft schätzt du dann vor Sanierungen / Renovierungen nur noch, wie viele Einheiten du von welcher Tätigkeit benötigst. Du kannst die Tätigkeitsgruppen (bspw. "Fassade / Außenhülle") umbenennen und deinen Bedürfnissen anpassen.
Möchtest du dir nur die Tätigkeiten anzeigen lassen, für die du tatsächlich Arbeit eingeplant hast? Dann klicke oben Links auf den Filter und wähle "Nur Tätigkeiten mit geplantem Aufwand" aus.
Möchtest du Maßnahmen finanziell im Zeitverlauf deines Investments berücksichtigen? Dies kannst du im Bereich "Kennzahlen im Verlauf -&gt; Miete, Cashflow, Steuern" tun.</t>
  </si>
  <si>
    <t>Grundbucheintragungsgeb.</t>
  </si>
  <si>
    <t>Pfandrechtseintragungsgeb.</t>
  </si>
  <si>
    <t>Annuität pro Monat</t>
  </si>
  <si>
    <t>Betriebskosten</t>
  </si>
  <si>
    <t>Reparaturrücklage in Betriebskosten</t>
  </si>
  <si>
    <t>- enthaltene Reparaturrücklage</t>
  </si>
  <si>
    <t>Betriebskosten (insgesamt)</t>
  </si>
  <si>
    <t>Umlegbar</t>
  </si>
  <si>
    <t>Nicht umlegbar</t>
  </si>
  <si>
    <t>= umlegbare Betriebskosten</t>
  </si>
  <si>
    <t>Umlegbare Kosten</t>
  </si>
  <si>
    <t>Nicht umlegbare Kosten</t>
  </si>
  <si>
    <t>Sonstige umlegbare Kosten (Details)</t>
  </si>
  <si>
    <t>Sonstige nicht umlegbare Kosten (Details)</t>
  </si>
  <si>
    <t>Umlegbare Betriebskosten</t>
  </si>
  <si>
    <t>Sonstige umlegbare Kosten</t>
  </si>
  <si>
    <t>+ Sonstige nicht umlegbare Kosten</t>
  </si>
  <si>
    <t>Bewirtschaftungskosten pro Monat</t>
  </si>
  <si>
    <t>Hinweise AT</t>
  </si>
  <si>
    <t>bis 11.000</t>
  </si>
  <si>
    <t>über 11.000 bis 18.000</t>
  </si>
  <si>
    <t>über 18.000 bis 31.000</t>
  </si>
  <si>
    <t>über 31.000 bis 60.000</t>
  </si>
  <si>
    <t>über 60.000 bis 90.000</t>
  </si>
  <si>
    <t>über 90.000 bis 1.000.000</t>
  </si>
  <si>
    <t>über 1.000.000 (bis 2020)</t>
  </si>
  <si>
    <t>Ermittlung des Grenzsteuersatzes für die Cashflow Kalkulation</t>
  </si>
  <si>
    <t>Ermittlung des Gebäudeanteils am Kaufpreis</t>
  </si>
  <si>
    <t>Die Aufteilung erfolgt folgendermaßen:</t>
  </si>
  <si>
    <t>a) 80% Gebäudeanteil / 20% Grundanteil</t>
  </si>
  <si>
    <t xml:space="preserve">Gemeinden mit weniger als 100.000 Einwohnern UND durchschnittlicher </t>
  </si>
  <si>
    <t>Quadratmeterpreis für Bauland bis € 400</t>
  </si>
  <si>
    <t>b) 70% Gebäudeanteil / 30% Grundanteil</t>
  </si>
  <si>
    <t xml:space="preserve">Gemeinden mit mehr als 100.000 Einwohnern ODER durchschnittlicher Quadratmeterpreis </t>
  </si>
  <si>
    <t>c) 60% Gebäudeanteil / 40% Grundanteil</t>
  </si>
  <si>
    <t>Beispiel: Du hast ein steuerpflichtiges Einkommen von 50.000. Deine Immobilie erwirtschaftet einen jährlichen Gewinn von € 1.000. Bei € 50.000 Einkommen beträgt der Grenzsteuersatz 42%. Das bedeutet, die zusätzlichen € 1.000 werden mit 42% besteuert.</t>
  </si>
  <si>
    <t>Die Aufteilung der Anschaffungskosten (inkl. Anschaffungsnebenkosten) ist für die Ermittlung der Abschreibungsbasis relevant. Der Grundanteil ist steuerlich nicht abnutzbar, wird daher nicht abgeschrieben. Der Gebäudeanteil ist abnutzbar und wird steuerlich auf 66,67 Jahre verteilt abgeschrieben.</t>
  </si>
  <si>
    <t>Der Gebäudeanteil wird jährlich mit 1,5% der Anschaffungskosten (inkl. Anschaffungsnebenkosten) abgeschrieben. Diese Abschreibung entspricht einer Nutzungsdauer von 66,67 Jahren. Ausnahme: Gebäude, die vor 1915 erbaut wurden, werden mit 2% pro Jahr abgeschrieben. Diese Abschreibung entspricht einer Nutzungsdauer von 50 Jahren.</t>
  </si>
  <si>
    <t>Abweichende Aufteilung durch Gutachten eines Sachverständigen möglich.</t>
  </si>
  <si>
    <t>Reparaturen, Renovierung und Sanierung</t>
  </si>
  <si>
    <t>Instandhaltung:</t>
  </si>
  <si>
    <t>Beispiele:</t>
  </si>
  <si>
    <t>Laufende Wartungsarbeiten</t>
  </si>
  <si>
    <t>Reparaturen, auch wenn diese nicht jährlich anfallen</t>
  </si>
  <si>
    <t>Ausmalen des Stiegenhauses und der Räume</t>
  </si>
  <si>
    <t>Anfärbeln der Fassade ohne Erneuerung des Außenputzes</t>
  </si>
  <si>
    <t>Ausbessern des Verputzes</t>
  </si>
  <si>
    <t>Erneuerung von Gebäudeteilen infolge höherer Gewalt (z.B. Sturm- und Hagelschäden)</t>
  </si>
  <si>
    <t>Instandsetzung:</t>
  </si>
  <si>
    <t>Austausch von Fenstern</t>
  </si>
  <si>
    <t>Austausch von Türen</t>
  </si>
  <si>
    <t>Austausch von Dach oder Dachstuhl</t>
  </si>
  <si>
    <t>Austausch von Stiegen</t>
  </si>
  <si>
    <t>Austausch von Zwischenwänden und Zwischendecken</t>
  </si>
  <si>
    <t>Austausch von Unterböden (z.B. Estrich statt Holzboden)</t>
  </si>
  <si>
    <t>Austausch von Aufzugsanlagen</t>
  </si>
  <si>
    <t>Austausch von Heizungsanlagen</t>
  </si>
  <si>
    <t>Austausch einer Gaseinzelofenheizung durch eine Gasetagenheizung</t>
  </si>
  <si>
    <t>Austausch von Elektroinstallationen</t>
  </si>
  <si>
    <t>Austausch von Gas-, Wasser- und Heizungsinstallationen</t>
  </si>
  <si>
    <t>Austausch von Sanitärinstallationen (auch mit Erneuerung der Bodenbeläge und Fliesen)</t>
  </si>
  <si>
    <t>Umfangreiche Erneuerung des Außenputzes z.B. mit Erneuerung der Wärmedämmung</t>
  </si>
  <si>
    <t>Trockenlegung der Mauern</t>
  </si>
  <si>
    <t>Kanalanschluss bei bestehenden Gebäuden</t>
  </si>
  <si>
    <t>Herstellungsaufwand:</t>
  </si>
  <si>
    <t>Aufstockung eines Gebäudes</t>
  </si>
  <si>
    <t>Zusammenlegung von Wohnungen</t>
  </si>
  <si>
    <t>Erstmaliger Einbau von Zentralheizungen</t>
  </si>
  <si>
    <t>Erstmaliger Einbau von Aufzugsanlagen</t>
  </si>
  <si>
    <t>Umstellung der Wärmeversorgung von Öl, Gas oder einem festen Brennstoff auf Fernwärme</t>
  </si>
  <si>
    <t>Versetzung von Zwischenwänden</t>
  </si>
  <si>
    <t>Einbau von Badezimmer und WC (Kategorieanhebung)</t>
  </si>
  <si>
    <t>Einbau von Gebäudeteilen an anderen Stellen (z.B. Versetzen von Türen und Fenstern)</t>
  </si>
  <si>
    <t>Folgende Herstellungsaufwendungen können über Antrag auf fünfzehn Jahre verteilt werden:</t>
  </si>
  <si>
    <t>a) Aufwendungen nach §§ 3 bis 5 MRG, wenn das Gebäude dem MRG unterliegt</t>
  </si>
  <si>
    <t>c) Sanierungsaufwendungen nach §19 Denkmalschutzgesetz</t>
  </si>
  <si>
    <r>
      <t xml:space="preserve">für Bauland ab € 400 UND </t>
    </r>
    <r>
      <rPr>
        <u/>
        <sz val="11"/>
        <color theme="1"/>
        <rFont val="Calibri"/>
        <family val="2"/>
        <scheme val="minor"/>
      </rPr>
      <t>mehr</t>
    </r>
    <r>
      <rPr>
        <sz val="11"/>
        <color theme="1"/>
        <rFont val="Calibri"/>
        <family val="2"/>
        <scheme val="minor"/>
      </rPr>
      <t xml:space="preserve"> als 10 Wohneinheiten im Gebäude</t>
    </r>
  </si>
  <si>
    <r>
      <t xml:space="preserve">für Bauland ab € 400 UND </t>
    </r>
    <r>
      <rPr>
        <u/>
        <sz val="11"/>
        <color theme="1"/>
        <rFont val="Calibri"/>
        <family val="2"/>
        <scheme val="minor"/>
      </rPr>
      <t>weniger</t>
    </r>
    <r>
      <rPr>
        <sz val="11"/>
        <color theme="1"/>
        <rFont val="Calibri"/>
        <family val="2"/>
        <scheme val="minor"/>
      </rPr>
      <t xml:space="preserve"> als 10 Wohneinheiten im Gebäude</t>
    </r>
  </si>
  <si>
    <t>Werden in die Jahre gekommene Immobilien wieder flott gemacht, müssen die Aufwendungen in folgende Kategorien unterteilt werden:</t>
  </si>
  <si>
    <t>Einfache Reparaturen, Austausch unwesentlicher Gebäudeteile die keine wesentliche Erhöhung des Nutzwertes oder der Nutzungsdauer des Gebäudes bewirken. Instandhaltungsaufwendungen sind im Jahr der Bezahlung sofort in voller Höhe von den Einnahmen abzugsfähig. Alternativ können sie freiwillig auf 15 Jahre verteilt werden.</t>
  </si>
  <si>
    <t>Arbeiten, die den Nutzwert des Gebäudes oder dessen Nutzungsdauer wesentlich erhöhen bzw. verlängern.  Austausch von mehr als 25% von unselbständigen Gebäudeteilen (z.B. Fenster). Verpflichtende Verteilung auf 15 Jahre.</t>
  </si>
  <si>
    <t>Das Gebäude wird in seiner Wesensart verändert Herstellungsaufwand auf ein vorhandenes Gebäude ist grundsätzlich auf die Restnutzungsdauer zu verteilen. Gegebenenfalls ist eine neue Restnutzungsdauer zu ermitteln.</t>
  </si>
  <si>
    <t>b) Sanierungsmaßnahmen, wenn eine Zusage für eine Förderung nach Wohnhaussanierungsgesetz, Startwohnungsgesetz oder Landesgesetzen über Wohnhaussanierung vorliegt</t>
  </si>
  <si>
    <t>Zu den Hinweisen</t>
  </si>
  <si>
    <t>Sofort</t>
  </si>
  <si>
    <t>Miete, Cashflow, Steuern</t>
  </si>
  <si>
    <t>zu Miete, Cashflow, Steuern wechseln</t>
  </si>
  <si>
    <t>Abschreibung Investitionen</t>
  </si>
  <si>
    <t>Copyright 2020</t>
  </si>
  <si>
    <t>Summe pro Jahr</t>
  </si>
  <si>
    <t>Ignorieren</t>
  </si>
  <si>
    <t>Sofort abzugsfähige Kosten im Cashflow</t>
  </si>
  <si>
    <t>15 Jahre</t>
  </si>
  <si>
    <t>+ umlegbare Bewirtschaftungskosten</t>
  </si>
  <si>
    <t>= Bruttokaltmiete</t>
  </si>
  <si>
    <t>Bruttokaltmiete</t>
  </si>
  <si>
    <t>Musterstr. 11, 1234 Musterstadt</t>
  </si>
  <si>
    <t>erstellt und geprüft von Paul Zödi</t>
  </si>
  <si>
    <t>Auf diesem Blatt findest du einige wertvolle Informationen zur steuerlichen Situation in Österreich (Stand 2020/01)</t>
  </si>
  <si>
    <r>
      <rPr>
        <b/>
        <sz val="10"/>
        <color theme="1"/>
        <rFont val="Calibri"/>
        <family val="2"/>
        <scheme val="minor"/>
      </rPr>
      <t>Hinweis für Investoren aus Österreich:</t>
    </r>
    <r>
      <rPr>
        <sz val="10"/>
        <color theme="1"/>
        <rFont val="Calibri"/>
        <family val="2"/>
        <scheme val="minor"/>
      </rPr>
      <t xml:space="preserve">
Das Tool geht davon aus, dass der Eigentümer hinsichtlich seiner Mieteinnahmen nicht der Umsatzsteuerpflicht unterliegt, also &lt; 35.000 Euro jährliche Mieteinnahmen hat.
Auf dem Tabellenblatt "Hinweise_AT" findest du weitere steuerliche Hinweise für Investoren aus Österreich.</t>
    </r>
  </si>
  <si>
    <t>= Basis für langfristige Abschreibung</t>
  </si>
  <si>
    <t>über das Menü am oberen Bildschirmrand gelangst du zur eigentlichen Kalkulation</t>
  </si>
  <si>
    <t>Renovierung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</si>
</sst>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quot;€&quot;_-;\-* #,##0.00\ &quot;€&quot;_-;_-* &quot;-&quot;??\ &quot;€&quot;_-;_-@_-"/>
    <numFmt numFmtId="165" formatCode="_-* #,##0.00\ _€_-;\-* #,##0.00\ _€_-;_-* &quot;-&quot;??\ _€_-;_-@_-"/>
    <numFmt numFmtId="166" formatCode="0.0%"/>
    <numFmt numFmtId="167" formatCode="_-* #,##0.00\ [$€-1]_-;\-* #,##0.00\ [$€-1]_-;_-* &quot;-&quot;??\ [$€-1]_-"/>
    <numFmt numFmtId="168" formatCode="#,##0\ &quot;€&quot;"/>
    <numFmt numFmtId="169" formatCode="#,##0.0\ &quot;€&quot;"/>
    <numFmt numFmtId="170" formatCode="0.0"/>
    <numFmt numFmtId="171" formatCode="#,##0\ &quot;m²&quot;"/>
    <numFmt numFmtId="172" formatCode="#,##0.0\ &quot;m²&quot;"/>
    <numFmt numFmtId="173" formatCode="&quot;+/-&quot;\ 0&quot;%&quot;"/>
    <numFmt numFmtId="174" formatCode="0\ &quot;m²&quot;"/>
  </numFmts>
  <fonts count="4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1"/>
      <color theme="0"/>
      <name val="Calibri"/>
      <family val="2"/>
      <scheme val="minor"/>
    </font>
    <font>
      <sz val="10"/>
      <color theme="0"/>
      <name val="Calibri"/>
      <family val="2"/>
      <scheme val="minor"/>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u/>
      <sz val="10"/>
      <color theme="10"/>
      <name val="Calibri"/>
      <family val="2"/>
      <scheme val="minor"/>
    </font>
    <font>
      <sz val="10"/>
      <color rgb="FFFF0000"/>
      <name val="Calibri"/>
      <family val="2"/>
      <scheme val="minor"/>
    </font>
    <font>
      <sz val="10"/>
      <color theme="0" tint="-0.499984740745262"/>
      <name val="Calibri"/>
      <family val="2"/>
      <scheme val="minor"/>
    </font>
    <font>
      <sz val="26"/>
      <color theme="4"/>
      <name val="Century Gothic"/>
      <family val="2"/>
    </font>
    <font>
      <sz val="10"/>
      <color theme="3"/>
      <name val="Century Gothic"/>
      <family val="2"/>
    </font>
    <font>
      <sz val="11"/>
      <color theme="3"/>
      <name val="Calibri"/>
      <family val="2"/>
      <scheme val="minor"/>
    </font>
    <font>
      <sz val="12"/>
      <color theme="3"/>
      <name val="Century Gothic"/>
      <family val="2"/>
    </font>
    <font>
      <sz val="16"/>
      <color theme="3"/>
      <name val="Century Gothic"/>
      <family val="2"/>
    </font>
    <font>
      <sz val="11"/>
      <color theme="3"/>
      <name val="Century Gothic"/>
      <family val="2"/>
    </font>
    <font>
      <u/>
      <sz val="11"/>
      <color theme="3"/>
      <name val="Century Gothic"/>
      <family val="2"/>
    </font>
    <font>
      <sz val="12"/>
      <color theme="3"/>
      <name val="Calibri"/>
      <family val="2"/>
      <scheme val="minor"/>
    </font>
    <font>
      <b/>
      <sz val="12"/>
      <color theme="3"/>
      <name val="Calibri"/>
      <family val="2"/>
    </font>
    <font>
      <b/>
      <sz val="11"/>
      <color theme="1"/>
      <name val="Calibri"/>
      <family val="2"/>
      <scheme val="minor"/>
    </font>
    <font>
      <u/>
      <sz val="11"/>
      <color theme="1"/>
      <name val="Calibri"/>
      <family val="2"/>
      <scheme val="minor"/>
    </font>
    <font>
      <b/>
      <u/>
      <sz val="11"/>
      <color theme="4"/>
      <name val="Calibri"/>
      <family val="2"/>
      <scheme val="minor"/>
    </font>
    <font>
      <u/>
      <sz val="1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009900"/>
        <bgColor indexed="64"/>
      </patternFill>
    </fill>
    <fill>
      <patternFill patternType="solid">
        <fgColor rgb="FFFBFFFD"/>
        <bgColor indexed="64"/>
      </patternFill>
    </fill>
    <fill>
      <patternFill patternType="solid">
        <fgColor rgb="FFFFFFEF"/>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10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rgb="FF00660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top style="thin">
        <color theme="0" tint="-0.249977111117893"/>
      </top>
      <bottom style="medium">
        <color theme="3"/>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right style="medium">
        <color theme="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top style="medium">
        <color theme="3"/>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style="medium">
        <color theme="3"/>
      </left>
      <right/>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style="thin">
        <color theme="3" tint="0.24994659260841701"/>
      </right>
      <top style="medium">
        <color theme="3"/>
      </top>
      <bottom/>
      <diagonal/>
    </border>
    <border>
      <left style="thin">
        <color theme="3" tint="0.24994659260841701"/>
      </left>
      <right style="thin">
        <color theme="3" tint="0.24994659260841701"/>
      </right>
      <top style="medium">
        <color theme="3"/>
      </top>
      <bottom/>
      <diagonal/>
    </border>
    <border>
      <left style="thin">
        <color theme="3" tint="0.24994659260841701"/>
      </left>
      <right style="medium">
        <color theme="3"/>
      </right>
      <top style="medium">
        <color theme="3"/>
      </top>
      <bottom/>
      <diagonal/>
    </border>
    <border>
      <left style="medium">
        <color theme="3"/>
      </left>
      <right style="thin">
        <color theme="3" tint="0.24994659260841701"/>
      </right>
      <top/>
      <bottom style="medium">
        <color theme="3"/>
      </bottom>
      <diagonal/>
    </border>
    <border>
      <left style="thin">
        <color theme="3" tint="0.24994659260841701"/>
      </left>
      <right style="thin">
        <color theme="3" tint="0.24994659260841701"/>
      </right>
      <top/>
      <bottom style="medium">
        <color theme="3"/>
      </bottom>
      <diagonal/>
    </border>
    <border>
      <left style="thin">
        <color theme="3" tint="0.24994659260841701"/>
      </left>
      <right style="medium">
        <color theme="3"/>
      </right>
      <top/>
      <bottom style="medium">
        <color theme="3"/>
      </bottom>
      <diagonal/>
    </border>
    <border>
      <left style="thin">
        <color theme="0" tint="-0.249977111117893"/>
      </left>
      <right style="thin">
        <color theme="0" tint="-0.249977111117893"/>
      </right>
      <top/>
      <bottom/>
      <diagonal/>
    </border>
    <border>
      <left style="thin">
        <color theme="3" tint="0.24994659260841701"/>
      </left>
      <right/>
      <top style="medium">
        <color theme="3"/>
      </top>
      <bottom/>
      <diagonal/>
    </border>
    <border>
      <left/>
      <right style="thin">
        <color theme="3" tint="0.24994659260841701"/>
      </right>
      <top style="medium">
        <color theme="3"/>
      </top>
      <bottom/>
      <diagonal/>
    </border>
    <border>
      <left style="thin">
        <color theme="0" tint="-0.249977111117893"/>
      </left>
      <right style="thin">
        <color theme="0" tint="-0.249977111117893"/>
      </right>
      <top style="medium">
        <color theme="3"/>
      </top>
      <bottom/>
      <diagonal/>
    </border>
    <border>
      <left/>
      <right style="thin">
        <color theme="0" tint="-0.249977111117893"/>
      </right>
      <top style="medium">
        <color theme="3"/>
      </top>
      <bottom style="medium">
        <color theme="3"/>
      </bottom>
      <diagonal/>
    </border>
    <border>
      <left/>
      <right/>
      <top style="thin">
        <color theme="0" tint="-0.249977111117893"/>
      </top>
      <bottom style="medium">
        <color theme="3"/>
      </bottom>
      <diagonal/>
    </border>
    <border>
      <left style="medium">
        <color theme="3"/>
      </left>
      <right style="thin">
        <color theme="3" tint="0.24994659260841701"/>
      </right>
      <top style="medium">
        <color theme="3"/>
      </top>
      <bottom style="medium">
        <color theme="3"/>
      </bottom>
      <diagonal/>
    </border>
    <border>
      <left style="thin">
        <color theme="0" tint="-0.249977111117893"/>
      </left>
      <right/>
      <top style="thin">
        <color theme="0" tint="-0.249977111117893"/>
      </top>
      <bottom style="medium">
        <color theme="3"/>
      </bottom>
      <diagonal/>
    </border>
    <border>
      <left style="medium">
        <color theme="3"/>
      </left>
      <right style="thin">
        <color theme="0" tint="-0.249977111117893"/>
      </right>
      <top style="thin">
        <color rgb="FF006600"/>
      </top>
      <bottom/>
      <diagonal/>
    </border>
    <border>
      <left style="medium">
        <color theme="3"/>
      </left>
      <right style="thin">
        <color theme="0" tint="-0.249977111117893"/>
      </right>
      <top style="thin">
        <color rgb="FF006600"/>
      </top>
      <bottom style="medium">
        <color theme="3"/>
      </bottom>
      <diagonal/>
    </border>
    <border>
      <left style="thin">
        <color theme="0" tint="-0.249977111117893"/>
      </left>
      <right style="thin">
        <color theme="0" tint="-0.249977111117893"/>
      </right>
      <top style="thin">
        <color rgb="FF006600"/>
      </top>
      <bottom style="medium">
        <color theme="3"/>
      </bottom>
      <diagonal/>
    </border>
  </borders>
  <cellStyleXfs count="20">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0" fontId="4" fillId="0" borderId="0"/>
    <xf numFmtId="0" fontId="5" fillId="0" borderId="0"/>
    <xf numFmtId="164" fontId="4" fillId="0" borderId="0" applyFont="0" applyFill="0" applyBorder="0" applyAlignment="0" applyProtection="0"/>
    <xf numFmtId="164" fontId="4" fillId="0" borderId="0" applyFont="0" applyFill="0" applyBorder="0" applyAlignment="0" applyProtection="0"/>
    <xf numFmtId="0" fontId="6" fillId="0" borderId="0"/>
    <xf numFmtId="164" fontId="6" fillId="0" borderId="0" applyFont="0" applyFill="0" applyBorder="0" applyAlignment="0" applyProtection="0"/>
    <xf numFmtId="0" fontId="11" fillId="0" borderId="0" applyNumberFormat="0" applyFill="0" applyBorder="0" applyAlignment="0" applyProtection="0"/>
    <xf numFmtId="0" fontId="25" fillId="0" borderId="0" applyNumberFormat="0" applyFill="0" applyBorder="0" applyAlignment="0" applyProtection="0"/>
  </cellStyleXfs>
  <cellXfs count="565">
    <xf numFmtId="0" fontId="0" fillId="0" borderId="0" xfId="0"/>
    <xf numFmtId="0" fontId="2" fillId="0" borderId="0" xfId="0" applyFont="1"/>
    <xf numFmtId="0" fontId="7" fillId="0" borderId="0" xfId="0" applyFont="1"/>
    <xf numFmtId="168" fontId="0" fillId="0" borderId="6" xfId="0" applyNumberFormat="1" applyBorder="1"/>
    <xf numFmtId="3" fontId="2" fillId="3" borderId="1" xfId="0" applyNumberFormat="1" applyFont="1" applyFill="1" applyBorder="1" applyAlignment="1">
      <alignment horizontal="center"/>
    </xf>
    <xf numFmtId="0" fontId="2" fillId="9" borderId="0" xfId="0" applyFont="1" applyFill="1"/>
    <xf numFmtId="0" fontId="0" fillId="9" borderId="0" xfId="0" applyFill="1"/>
    <xf numFmtId="168" fontId="0" fillId="9" borderId="0" xfId="0" applyNumberFormat="1" applyFill="1"/>
    <xf numFmtId="1" fontId="0" fillId="9" borderId="0" xfId="0" applyNumberFormat="1" applyFill="1"/>
    <xf numFmtId="0" fontId="7" fillId="9" borderId="0" xfId="0" applyFont="1" applyFill="1"/>
    <xf numFmtId="168" fontId="2" fillId="3" borderId="1" xfId="0" applyNumberFormat="1" applyFont="1" applyFill="1" applyBorder="1" applyAlignment="1">
      <alignment horizontal="center"/>
    </xf>
    <xf numFmtId="0" fontId="14" fillId="0" borderId="0" xfId="0" applyFont="1" applyAlignment="1">
      <alignment horizontal="left"/>
    </xf>
    <xf numFmtId="0" fontId="24" fillId="0" borderId="0" xfId="0" applyFont="1"/>
    <xf numFmtId="0" fontId="2" fillId="9" borderId="0" xfId="0" applyFont="1" applyFill="1" applyAlignment="1">
      <alignment vertical="top"/>
    </xf>
    <xf numFmtId="0" fontId="17" fillId="9" borderId="0" xfId="0" applyFont="1" applyFill="1" applyAlignment="1">
      <alignment horizontal="center"/>
    </xf>
    <xf numFmtId="0" fontId="16" fillId="9" borderId="0" xfId="0" applyFont="1" applyFill="1" applyAlignment="1">
      <alignment horizontal="center"/>
    </xf>
    <xf numFmtId="168" fontId="3" fillId="9" borderId="0" xfId="0" applyNumberFormat="1" applyFont="1" applyFill="1"/>
    <xf numFmtId="168" fontId="2" fillId="0" borderId="7" xfId="0" applyNumberFormat="1" applyFont="1" applyBorder="1"/>
    <xf numFmtId="9" fontId="2" fillId="3" borderId="1" xfId="1" applyFont="1" applyFill="1" applyBorder="1" applyAlignment="1">
      <alignment horizontal="center"/>
    </xf>
    <xf numFmtId="0" fontId="2" fillId="10" borderId="0" xfId="0" applyFont="1" applyFill="1"/>
    <xf numFmtId="0" fontId="26" fillId="9" borderId="0" xfId="0" applyFont="1" applyFill="1"/>
    <xf numFmtId="0" fontId="0" fillId="9" borderId="0" xfId="0" applyFill="1" applyAlignment="1">
      <alignment vertical="center"/>
    </xf>
    <xf numFmtId="0" fontId="2" fillId="9" borderId="0" xfId="0" applyFont="1" applyFill="1" applyAlignment="1">
      <alignment vertical="center"/>
    </xf>
    <xf numFmtId="0" fontId="2" fillId="0" borderId="1" xfId="0" applyFont="1" applyBorder="1"/>
    <xf numFmtId="168" fontId="2" fillId="9" borderId="0" xfId="1" applyNumberFormat="1" applyFont="1" applyFill="1" applyBorder="1" applyProtection="1"/>
    <xf numFmtId="168" fontId="2" fillId="9" borderId="0" xfId="0" applyNumberFormat="1" applyFont="1" applyFill="1"/>
    <xf numFmtId="0" fontId="0" fillId="9" borderId="0" xfId="0" quotePrefix="1" applyFill="1"/>
    <xf numFmtId="1" fontId="2" fillId="9" borderId="0" xfId="0" applyNumberFormat="1" applyFont="1" applyFill="1"/>
    <xf numFmtId="168" fontId="2" fillId="3" borderId="1" xfId="1" applyNumberFormat="1" applyFont="1" applyFill="1" applyBorder="1" applyProtection="1"/>
    <xf numFmtId="10" fontId="0" fillId="9" borderId="0" xfId="1" applyNumberFormat="1" applyFont="1" applyFill="1" applyProtection="1"/>
    <xf numFmtId="1" fontId="2" fillId="9" borderId="0" xfId="0" applyNumberFormat="1" applyFont="1" applyFill="1" applyAlignment="1">
      <alignment horizontal="right"/>
    </xf>
    <xf numFmtId="0" fontId="0" fillId="9" borderId="0" xfId="0" applyFill="1" applyProtection="1">
      <protection locked="0"/>
    </xf>
    <xf numFmtId="0" fontId="19" fillId="3" borderId="0" xfId="0" applyFont="1" applyFill="1" applyAlignment="1" applyProtection="1">
      <alignment horizontal="left"/>
      <protection locked="0"/>
    </xf>
    <xf numFmtId="0" fontId="19" fillId="3" borderId="0" xfId="0" applyFont="1" applyFill="1" applyAlignment="1">
      <alignment horizontal="left"/>
    </xf>
    <xf numFmtId="0" fontId="2" fillId="9" borderId="5" xfId="0" applyFont="1" applyFill="1" applyBorder="1" applyAlignment="1">
      <alignment horizontal="left"/>
    </xf>
    <xf numFmtId="9" fontId="2" fillId="3" borderId="1" xfId="1" applyFont="1" applyFill="1" applyBorder="1" applyAlignment="1" applyProtection="1">
      <alignment horizontal="center"/>
    </xf>
    <xf numFmtId="0" fontId="0" fillId="9" borderId="0" xfId="0" applyFill="1" applyAlignment="1">
      <alignment horizontal="center"/>
    </xf>
    <xf numFmtId="166" fontId="2" fillId="3" borderId="1" xfId="1" applyNumberFormat="1" applyFont="1" applyFill="1" applyBorder="1" applyAlignment="1" applyProtection="1">
      <alignment horizontal="center"/>
    </xf>
    <xf numFmtId="169" fontId="2" fillId="3" borderId="1" xfId="0" applyNumberFormat="1" applyFont="1" applyFill="1" applyBorder="1" applyAlignment="1">
      <alignment horizontal="center"/>
    </xf>
    <xf numFmtId="10" fontId="8" fillId="3" borderId="1" xfId="1" applyNumberFormat="1" applyFont="1" applyFill="1" applyBorder="1" applyAlignment="1" applyProtection="1">
      <alignment horizontal="center"/>
    </xf>
    <xf numFmtId="0" fontId="19" fillId="9" borderId="0" xfId="0" applyFont="1" applyFill="1" applyAlignment="1">
      <alignment horizontal="left"/>
    </xf>
    <xf numFmtId="0" fontId="12" fillId="9"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9" fillId="9" borderId="0" xfId="18" applyFont="1" applyFill="1" applyAlignment="1" applyProtection="1">
      <alignment horizontal="right"/>
    </xf>
    <xf numFmtId="0" fontId="11" fillId="9" borderId="0" xfId="18" applyFill="1" applyAlignment="1" applyProtection="1">
      <alignment horizontal="right"/>
    </xf>
    <xf numFmtId="9" fontId="2" fillId="9" borderId="4" xfId="1" applyFont="1" applyFill="1" applyBorder="1" applyAlignment="1" applyProtection="1">
      <alignment horizontal="center"/>
    </xf>
    <xf numFmtId="168" fontId="2" fillId="9" borderId="1" xfId="0" applyNumberFormat="1" applyFont="1" applyFill="1" applyBorder="1" applyAlignment="1">
      <alignment horizontal="center"/>
    </xf>
    <xf numFmtId="10" fontId="2" fillId="9" borderId="1" xfId="0" applyNumberFormat="1" applyFont="1" applyFill="1" applyBorder="1" applyAlignment="1">
      <alignment horizontal="center"/>
    </xf>
    <xf numFmtId="9" fontId="2" fillId="9" borderId="11" xfId="1" applyFont="1" applyFill="1" applyBorder="1" applyAlignment="1" applyProtection="1">
      <alignment horizontal="center"/>
    </xf>
    <xf numFmtId="168" fontId="2" fillId="9" borderId="27" xfId="0" applyNumberFormat="1" applyFont="1" applyFill="1" applyBorder="1" applyAlignment="1">
      <alignment horizontal="center"/>
    </xf>
    <xf numFmtId="10" fontId="2" fillId="9" borderId="27" xfId="0" applyNumberFormat="1" applyFont="1" applyFill="1" applyBorder="1" applyAlignment="1">
      <alignment horizontal="center"/>
    </xf>
    <xf numFmtId="168" fontId="2" fillId="9" borderId="0" xfId="0" applyNumberFormat="1" applyFont="1" applyFill="1" applyAlignment="1">
      <alignment horizontal="center"/>
    </xf>
    <xf numFmtId="9" fontId="2" fillId="9" borderId="8" xfId="1" applyFont="1" applyFill="1" applyBorder="1" applyAlignment="1" applyProtection="1">
      <alignment horizontal="center"/>
    </xf>
    <xf numFmtId="168" fontId="2" fillId="9" borderId="7" xfId="0" applyNumberFormat="1" applyFont="1" applyFill="1" applyBorder="1" applyAlignment="1">
      <alignment horizontal="center"/>
    </xf>
    <xf numFmtId="10" fontId="2" fillId="9" borderId="7" xfId="0" applyNumberFormat="1" applyFont="1" applyFill="1" applyBorder="1" applyAlignment="1">
      <alignment horizontal="center"/>
    </xf>
    <xf numFmtId="0" fontId="2" fillId="9" borderId="0" xfId="0" applyFont="1" applyFill="1" applyAlignment="1">
      <alignment horizontal="center"/>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3" fillId="0" borderId="0" xfId="0" applyFont="1" applyProtection="1">
      <protection locked="0"/>
    </xf>
    <xf numFmtId="0" fontId="20" fillId="0" borderId="0" xfId="0" applyFont="1" applyProtection="1">
      <protection locked="0"/>
    </xf>
    <xf numFmtId="0" fontId="0" fillId="0" borderId="0" xfId="0" applyProtection="1">
      <protection locked="0"/>
    </xf>
    <xf numFmtId="0" fontId="23" fillId="0" borderId="0" xfId="0" applyFont="1" applyAlignment="1" applyProtection="1">
      <alignment horizontal="right"/>
      <protection locked="0"/>
    </xf>
    <xf numFmtId="0" fontId="24" fillId="2" borderId="9" xfId="0" applyFont="1" applyFill="1" applyBorder="1" applyProtection="1">
      <protection locked="0"/>
    </xf>
    <xf numFmtId="0" fontId="24" fillId="2" borderId="10" xfId="0" applyFont="1" applyFill="1" applyBorder="1" applyProtection="1">
      <protection locked="0"/>
    </xf>
    <xf numFmtId="0" fontId="24" fillId="2" borderId="11" xfId="0" applyFont="1" applyFill="1" applyBorder="1" applyProtection="1">
      <protection locked="0"/>
    </xf>
    <xf numFmtId="0" fontId="24" fillId="0" borderId="12" xfId="0" applyFont="1" applyBorder="1" applyProtection="1">
      <protection locked="0"/>
    </xf>
    <xf numFmtId="0" fontId="24" fillId="0" borderId="0" xfId="0" applyFont="1" applyProtection="1">
      <protection locked="0"/>
    </xf>
    <xf numFmtId="0" fontId="24" fillId="0" borderId="13" xfId="0" applyFont="1" applyBorder="1" applyProtection="1">
      <protection locked="0"/>
    </xf>
    <xf numFmtId="0" fontId="24" fillId="0" borderId="14" xfId="0" applyFont="1" applyBorder="1" applyProtection="1">
      <protection locked="0"/>
    </xf>
    <xf numFmtId="0" fontId="24" fillId="0" borderId="5" xfId="0" applyFont="1" applyBorder="1" applyProtection="1">
      <protection locked="0"/>
    </xf>
    <xf numFmtId="0" fontId="24" fillId="0" borderId="8" xfId="0" applyFont="1" applyBorder="1" applyProtection="1">
      <protection locked="0"/>
    </xf>
    <xf numFmtId="0" fontId="24" fillId="2" borderId="2" xfId="0" applyFont="1" applyFill="1" applyBorder="1" applyProtection="1">
      <protection locked="0"/>
    </xf>
    <xf numFmtId="0" fontId="24" fillId="2" borderId="3" xfId="0" applyFont="1" applyFill="1" applyBorder="1" applyProtection="1">
      <protection locked="0"/>
    </xf>
    <xf numFmtId="0" fontId="24" fillId="2" borderId="4" xfId="0" applyFont="1" applyFill="1" applyBorder="1" applyProtection="1">
      <protection locked="0"/>
    </xf>
    <xf numFmtId="0" fontId="24" fillId="4" borderId="2" xfId="0" applyFont="1" applyFill="1" applyBorder="1" applyProtection="1">
      <protection locked="0"/>
    </xf>
    <xf numFmtId="0" fontId="24" fillId="4" borderId="3" xfId="0" applyFont="1" applyFill="1" applyBorder="1" applyProtection="1">
      <protection locked="0"/>
    </xf>
    <xf numFmtId="0" fontId="24" fillId="4" borderId="3" xfId="0" applyFont="1" applyFill="1" applyBorder="1" applyAlignment="1" applyProtection="1">
      <alignment horizontal="right"/>
      <protection locked="0"/>
    </xf>
    <xf numFmtId="0" fontId="24" fillId="4" borderId="4" xfId="0" applyFont="1" applyFill="1" applyBorder="1" applyProtection="1">
      <protection locked="0"/>
    </xf>
    <xf numFmtId="0" fontId="24" fillId="0" borderId="15" xfId="0" applyFont="1" applyBorder="1" applyProtection="1">
      <protection locked="0"/>
    </xf>
    <xf numFmtId="0" fontId="24" fillId="0" borderId="16" xfId="0" applyFont="1" applyBorder="1" applyProtection="1">
      <protection locked="0"/>
    </xf>
    <xf numFmtId="168" fontId="24" fillId="0" borderId="16" xfId="0" applyNumberFormat="1" applyFont="1" applyBorder="1" applyAlignment="1" applyProtection="1">
      <alignment horizontal="right"/>
      <protection locked="0"/>
    </xf>
    <xf numFmtId="0" fontId="24" fillId="0" borderId="17" xfId="0" applyFont="1" applyBorder="1" applyProtection="1">
      <protection locked="0"/>
    </xf>
    <xf numFmtId="0" fontId="24" fillId="0" borderId="18" xfId="0" applyFont="1" applyBorder="1" applyProtection="1">
      <protection locked="0"/>
    </xf>
    <xf numFmtId="0" fontId="24" fillId="0" borderId="19" xfId="0" applyFont="1" applyBorder="1" applyProtection="1">
      <protection locked="0"/>
    </xf>
    <xf numFmtId="168" fontId="24" fillId="0" borderId="19" xfId="0" applyNumberFormat="1" applyFont="1" applyBorder="1" applyAlignment="1" applyProtection="1">
      <alignment horizontal="right"/>
      <protection locked="0"/>
    </xf>
    <xf numFmtId="0" fontId="24" fillId="0" borderId="20" xfId="0" applyFont="1" applyBorder="1" applyProtection="1">
      <protection locked="0"/>
    </xf>
    <xf numFmtId="0" fontId="24" fillId="0" borderId="21" xfId="0" applyFont="1" applyBorder="1" applyProtection="1">
      <protection locked="0"/>
    </xf>
    <xf numFmtId="0" fontId="24" fillId="0" borderId="22" xfId="0" applyFont="1" applyBorder="1" applyProtection="1">
      <protection locked="0"/>
    </xf>
    <xf numFmtId="168" fontId="24" fillId="0" borderId="22" xfId="0" applyNumberFormat="1" applyFont="1" applyBorder="1" applyAlignment="1" applyProtection="1">
      <alignment horizontal="right"/>
      <protection locked="0"/>
    </xf>
    <xf numFmtId="0" fontId="24" fillId="0" borderId="23" xfId="0" applyFont="1" applyBorder="1" applyProtection="1">
      <protection locked="0"/>
    </xf>
    <xf numFmtId="0" fontId="24" fillId="4" borderId="9" xfId="0" applyFont="1" applyFill="1" applyBorder="1" applyProtection="1">
      <protection locked="0"/>
    </xf>
    <xf numFmtId="0" fontId="24" fillId="4" borderId="10" xfId="0" applyFont="1" applyFill="1" applyBorder="1" applyProtection="1">
      <protection locked="0"/>
    </xf>
    <xf numFmtId="0" fontId="24" fillId="4" borderId="10" xfId="0" applyFont="1" applyFill="1" applyBorder="1" applyAlignment="1" applyProtection="1">
      <alignment horizontal="right"/>
      <protection locked="0"/>
    </xf>
    <xf numFmtId="0" fontId="24" fillId="4" borderId="11" xfId="0" applyFont="1" applyFill="1" applyBorder="1" applyProtection="1">
      <protection locked="0"/>
    </xf>
    <xf numFmtId="168" fontId="24" fillId="0" borderId="16" xfId="0" applyNumberFormat="1" applyFont="1" applyBorder="1" applyProtection="1">
      <protection locked="0"/>
    </xf>
    <xf numFmtId="168" fontId="24" fillId="0" borderId="19" xfId="0" applyNumberFormat="1" applyFont="1" applyBorder="1" applyProtection="1">
      <protection locked="0"/>
    </xf>
    <xf numFmtId="168" fontId="24" fillId="0" borderId="0" xfId="0" applyNumberFormat="1" applyFont="1" applyProtection="1">
      <protection locked="0"/>
    </xf>
    <xf numFmtId="168" fontId="24" fillId="0" borderId="22" xfId="0" applyNumberFormat="1" applyFont="1" applyBorder="1" applyProtection="1">
      <protection locked="0"/>
    </xf>
    <xf numFmtId="0" fontId="24" fillId="0" borderId="24" xfId="0" applyFont="1" applyBorder="1" applyProtection="1">
      <protection locked="0"/>
    </xf>
    <xf numFmtId="0" fontId="24" fillId="0" borderId="25" xfId="0" applyFont="1" applyBorder="1" applyProtection="1">
      <protection locked="0"/>
    </xf>
    <xf numFmtId="168" fontId="24" fillId="0" borderId="25" xfId="0" applyNumberFormat="1" applyFont="1" applyBorder="1" applyProtection="1">
      <protection locked="0"/>
    </xf>
    <xf numFmtId="0" fontId="24"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8" fontId="0" fillId="0" borderId="5" xfId="0" applyNumberFormat="1" applyBorder="1" applyProtection="1">
      <protection locked="0"/>
    </xf>
    <xf numFmtId="0" fontId="0" fillId="0" borderId="8" xfId="0" applyBorder="1" applyProtection="1">
      <protection locked="0"/>
    </xf>
    <xf numFmtId="0" fontId="11" fillId="9" borderId="0" xfId="18" applyFill="1" applyAlignment="1" applyProtection="1">
      <alignment horizontal="right"/>
      <protection locked="0"/>
    </xf>
    <xf numFmtId="0" fontId="13" fillId="0" borderId="9" xfId="0" applyFont="1" applyBorder="1" applyProtection="1">
      <protection locked="0"/>
    </xf>
    <xf numFmtId="0" fontId="13" fillId="0" borderId="10" xfId="0" applyFont="1" applyBorder="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13" xfId="0" applyFont="1" applyBorder="1" applyProtection="1">
      <protection locked="0"/>
    </xf>
    <xf numFmtId="0" fontId="22" fillId="0" borderId="0" xfId="0" applyFont="1" applyProtection="1">
      <protection locked="0"/>
    </xf>
    <xf numFmtId="0" fontId="13" fillId="0" borderId="0" xfId="0" applyFont="1" applyProtection="1">
      <protection locked="0"/>
    </xf>
    <xf numFmtId="0" fontId="24" fillId="4" borderId="3" xfId="0" applyFont="1" applyFill="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22" xfId="0" quotePrefix="1" applyFont="1" applyBorder="1" applyProtection="1">
      <protection locked="0"/>
    </xf>
    <xf numFmtId="0" fontId="13" fillId="0" borderId="14" xfId="0" applyFont="1" applyBorder="1" applyProtection="1">
      <protection locked="0"/>
    </xf>
    <xf numFmtId="0" fontId="13" fillId="0" borderId="5" xfId="0" applyFont="1" applyBorder="1" applyProtection="1">
      <protection locked="0"/>
    </xf>
    <xf numFmtId="168" fontId="13" fillId="0" borderId="5" xfId="0" applyNumberFormat="1" applyFont="1" applyBorder="1" applyProtection="1">
      <protection locked="0"/>
    </xf>
    <xf numFmtId="0" fontId="13" fillId="0" borderId="8" xfId="0" applyFont="1" applyBorder="1" applyProtection="1">
      <protection locked="0"/>
    </xf>
    <xf numFmtId="9" fontId="3" fillId="9" borderId="11" xfId="1" applyFont="1" applyFill="1" applyBorder="1" applyAlignment="1" applyProtection="1">
      <alignment horizontal="center"/>
    </xf>
    <xf numFmtId="9" fontId="3" fillId="9" borderId="13" xfId="1" applyFont="1" applyFill="1" applyBorder="1" applyAlignment="1" applyProtection="1">
      <alignment horizontal="center"/>
    </xf>
    <xf numFmtId="9" fontId="3" fillId="9" borderId="27" xfId="1" applyFont="1" applyFill="1" applyBorder="1" applyAlignment="1" applyProtection="1">
      <alignment horizontal="center"/>
    </xf>
    <xf numFmtId="10" fontId="3" fillId="9" borderId="1" xfId="0" applyNumberFormat="1" applyFont="1" applyFill="1" applyBorder="1" applyAlignment="1">
      <alignment horizontal="center"/>
    </xf>
    <xf numFmtId="10" fontId="3" fillId="9" borderId="27" xfId="0" applyNumberFormat="1" applyFont="1" applyFill="1" applyBorder="1" applyAlignment="1">
      <alignment horizontal="center"/>
    </xf>
    <xf numFmtId="10" fontId="3" fillId="9" borderId="7" xfId="0" applyNumberFormat="1" applyFont="1" applyFill="1" applyBorder="1" applyAlignment="1">
      <alignment horizontal="center"/>
    </xf>
    <xf numFmtId="168" fontId="3" fillId="9" borderId="1" xfId="0" applyNumberFormat="1" applyFont="1" applyFill="1" applyBorder="1" applyAlignment="1">
      <alignment horizontal="center"/>
    </xf>
    <xf numFmtId="168" fontId="3" fillId="9" borderId="27" xfId="0" applyNumberFormat="1" applyFont="1" applyFill="1" applyBorder="1" applyAlignment="1">
      <alignment horizontal="center"/>
    </xf>
    <xf numFmtId="168" fontId="3" fillId="9" borderId="7" xfId="0" applyNumberFormat="1" applyFont="1" applyFill="1" applyBorder="1" applyAlignment="1">
      <alignment horizontal="center"/>
    </xf>
    <xf numFmtId="0" fontId="27" fillId="9" borderId="0" xfId="18" applyFont="1" applyFill="1" applyProtection="1"/>
    <xf numFmtId="168" fontId="2" fillId="0" borderId="2" xfId="0" applyNumberFormat="1" applyFont="1" applyBorder="1" applyAlignment="1">
      <alignment horizontal="center"/>
    </xf>
    <xf numFmtId="0" fontId="2" fillId="0" borderId="8"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1" fillId="11" borderId="0" xfId="0" applyFont="1" applyFill="1"/>
    <xf numFmtId="0" fontId="11" fillId="11" borderId="0" xfId="18" applyFill="1" applyAlignment="1" applyProtection="1">
      <alignment vertical="center"/>
    </xf>
    <xf numFmtId="0" fontId="11" fillId="11" borderId="0" xfId="0" applyFont="1" applyFill="1" applyAlignment="1">
      <alignment vertical="center" wrapText="1"/>
    </xf>
    <xf numFmtId="0" fontId="11" fillId="11" borderId="0" xfId="0" applyFont="1" applyFill="1" applyAlignment="1">
      <alignment vertical="center"/>
    </xf>
    <xf numFmtId="0" fontId="0" fillId="11" borderId="0" xfId="0" applyFill="1"/>
    <xf numFmtId="0" fontId="2" fillId="0" borderId="46" xfId="0" applyFont="1" applyBorder="1" applyAlignment="1">
      <alignment horizontal="left"/>
    </xf>
    <xf numFmtId="0" fontId="2" fillId="0" borderId="48" xfId="0" quotePrefix="1" applyFont="1" applyBorder="1" applyAlignment="1">
      <alignment horizontal="left"/>
    </xf>
    <xf numFmtId="0" fontId="2" fillId="0" borderId="48" xfId="0" quotePrefix="1" applyFont="1" applyBorder="1"/>
    <xf numFmtId="168" fontId="2" fillId="3" borderId="49" xfId="0" applyNumberFormat="1" applyFont="1" applyFill="1" applyBorder="1"/>
    <xf numFmtId="168" fontId="2" fillId="3" borderId="49" xfId="0" applyNumberFormat="1" applyFont="1" applyFill="1" applyBorder="1" applyAlignment="1">
      <alignment horizontal="right"/>
    </xf>
    <xf numFmtId="0" fontId="2" fillId="0" borderId="50" xfId="0" quotePrefix="1" applyFont="1" applyBorder="1"/>
    <xf numFmtId="168" fontId="2" fillId="3" borderId="49" xfId="1" applyNumberFormat="1" applyFont="1" applyFill="1" applyBorder="1" applyProtection="1"/>
    <xf numFmtId="0" fontId="2" fillId="0" borderId="51" xfId="0" quotePrefix="1" applyFont="1" applyBorder="1"/>
    <xf numFmtId="168" fontId="2" fillId="3" borderId="52" xfId="1" applyNumberFormat="1" applyFont="1" applyFill="1" applyBorder="1" applyProtection="1"/>
    <xf numFmtId="0" fontId="2" fillId="0" borderId="53" xfId="0" applyFont="1" applyBorder="1"/>
    <xf numFmtId="0" fontId="2" fillId="0" borderId="54" xfId="0" applyFont="1" applyBorder="1"/>
    <xf numFmtId="0" fontId="2" fillId="0" borderId="51" xfId="0" applyFont="1" applyBorder="1"/>
    <xf numFmtId="0" fontId="2" fillId="0" borderId="48" xfId="0" applyFont="1" applyBorder="1"/>
    <xf numFmtId="0" fontId="2" fillId="0" borderId="56" xfId="0" applyFont="1" applyBorder="1"/>
    <xf numFmtId="168" fontId="2" fillId="3" borderId="52" xfId="0" applyNumberFormat="1" applyFont="1" applyFill="1" applyBorder="1"/>
    <xf numFmtId="0" fontId="2" fillId="0" borderId="46" xfId="0" applyFont="1" applyBorder="1"/>
    <xf numFmtId="168" fontId="2" fillId="3" borderId="47" xfId="1" applyNumberFormat="1" applyFont="1" applyFill="1" applyBorder="1" applyProtection="1"/>
    <xf numFmtId="0" fontId="2" fillId="0" borderId="48" xfId="0" applyFont="1" applyBorder="1" applyAlignment="1">
      <alignment horizontal="left" indent="1"/>
    </xf>
    <xf numFmtId="9" fontId="2" fillId="3" borderId="49" xfId="1" applyFont="1" applyFill="1" applyBorder="1" applyProtection="1"/>
    <xf numFmtId="0" fontId="2" fillId="0" borderId="57" xfId="0" applyFont="1" applyBorder="1"/>
    <xf numFmtId="168" fontId="2" fillId="3" borderId="58" xfId="1" applyNumberFormat="1" applyFont="1" applyFill="1" applyBorder="1" applyProtection="1"/>
    <xf numFmtId="168" fontId="2" fillId="3" borderId="43" xfId="1" applyNumberFormat="1" applyFont="1" applyFill="1" applyBorder="1" applyProtection="1"/>
    <xf numFmtId="0" fontId="2" fillId="0" borderId="48" xfId="0" applyFont="1" applyBorder="1" applyAlignment="1">
      <alignment horizontal="left"/>
    </xf>
    <xf numFmtId="0" fontId="2" fillId="0" borderId="51" xfId="0" applyFont="1" applyBorder="1" applyAlignment="1">
      <alignment horizontal="left"/>
    </xf>
    <xf numFmtId="168" fontId="2" fillId="0" borderId="52" xfId="0" applyNumberFormat="1" applyFont="1" applyBorder="1"/>
    <xf numFmtId="0" fontId="2" fillId="0" borderId="59" xfId="0" quotePrefix="1" applyFont="1" applyBorder="1" applyAlignment="1">
      <alignment horizontal="left"/>
    </xf>
    <xf numFmtId="0" fontId="2" fillId="0" borderId="57" xfId="0" quotePrefix="1" applyFont="1" applyBorder="1" applyAlignment="1">
      <alignment horizontal="left"/>
    </xf>
    <xf numFmtId="168" fontId="2" fillId="0" borderId="49" xfId="0" applyNumberFormat="1" applyFont="1" applyBorder="1"/>
    <xf numFmtId="1" fontId="2" fillId="0" borderId="52" xfId="0" applyNumberFormat="1" applyFont="1" applyBorder="1"/>
    <xf numFmtId="1" fontId="2" fillId="0" borderId="52" xfId="0" applyNumberFormat="1" applyFont="1" applyBorder="1" applyAlignment="1">
      <alignment horizontal="right"/>
    </xf>
    <xf numFmtId="168" fontId="2" fillId="0" borderId="47" xfId="0" applyNumberFormat="1" applyFont="1" applyBorder="1"/>
    <xf numFmtId="10" fontId="2" fillId="0" borderId="49" xfId="1" applyNumberFormat="1" applyFont="1" applyBorder="1" applyAlignment="1" applyProtection="1">
      <alignment horizontal="right"/>
    </xf>
    <xf numFmtId="0" fontId="2" fillId="0" borderId="51" xfId="0" applyFont="1" applyBorder="1" applyAlignment="1">
      <alignment horizontal="left" indent="1"/>
    </xf>
    <xf numFmtId="0" fontId="2" fillId="0" borderId="59" xfId="0" applyFont="1" applyBorder="1"/>
    <xf numFmtId="166" fontId="2" fillId="0" borderId="60" xfId="1" applyNumberFormat="1" applyFont="1" applyBorder="1" applyAlignment="1" applyProtection="1"/>
    <xf numFmtId="170" fontId="2" fillId="0" borderId="49" xfId="1" applyNumberFormat="1" applyFont="1" applyBorder="1" applyAlignment="1" applyProtection="1"/>
    <xf numFmtId="166" fontId="2" fillId="0" borderId="52" xfId="1" applyNumberFormat="1" applyFont="1" applyBorder="1" applyAlignment="1" applyProtection="1"/>
    <xf numFmtId="166" fontId="2" fillId="0" borderId="47" xfId="1" applyNumberFormat="1" applyFont="1" applyBorder="1" applyAlignment="1" applyProtection="1">
      <alignment horizontal="right"/>
    </xf>
    <xf numFmtId="166" fontId="2" fillId="3" borderId="52" xfId="1" applyNumberFormat="1" applyFont="1" applyFill="1" applyBorder="1" applyProtection="1"/>
    <xf numFmtId="169" fontId="2" fillId="0" borderId="49" xfId="0" applyNumberFormat="1" applyFont="1" applyBorder="1"/>
    <xf numFmtId="0" fontId="2" fillId="0" borderId="57" xfId="0" applyFont="1" applyBorder="1" applyAlignment="1">
      <alignment horizontal="left" indent="1"/>
    </xf>
    <xf numFmtId="168" fontId="2" fillId="0" borderId="58" xfId="0" applyNumberFormat="1" applyFont="1" applyBorder="1"/>
    <xf numFmtId="1" fontId="2" fillId="3" borderId="52" xfId="0" applyNumberFormat="1" applyFont="1" applyFill="1" applyBorder="1"/>
    <xf numFmtId="0" fontId="2" fillId="3" borderId="46" xfId="0" applyFont="1" applyFill="1" applyBorder="1"/>
    <xf numFmtId="1" fontId="2" fillId="3" borderId="47" xfId="0" applyNumberFormat="1" applyFont="1" applyFill="1" applyBorder="1" applyAlignment="1">
      <alignment horizontal="right"/>
    </xf>
    <xf numFmtId="0" fontId="2" fillId="3" borderId="48" xfId="0" applyFont="1" applyFill="1" applyBorder="1"/>
    <xf numFmtId="1" fontId="2" fillId="3" borderId="49" xfId="0" applyNumberFormat="1" applyFont="1" applyFill="1" applyBorder="1" applyAlignment="1">
      <alignment horizontal="right"/>
    </xf>
    <xf numFmtId="0" fontId="2" fillId="3" borderId="57" xfId="0" applyFont="1" applyFill="1" applyBorder="1"/>
    <xf numFmtId="1" fontId="2" fillId="3" borderId="58" xfId="0" applyNumberFormat="1" applyFont="1" applyFill="1" applyBorder="1"/>
    <xf numFmtId="10" fontId="2" fillId="0" borderId="52" xfId="1" applyNumberFormat="1" applyFont="1" applyBorder="1" applyAlignment="1" applyProtection="1">
      <alignment horizontal="right"/>
    </xf>
    <xf numFmtId="0" fontId="2" fillId="0" borderId="54" xfId="0" quotePrefix="1" applyFont="1" applyBorder="1" applyAlignment="1">
      <alignment horizontal="left"/>
    </xf>
    <xf numFmtId="168" fontId="2" fillId="0" borderId="55" xfId="0" applyNumberFormat="1" applyFont="1" applyBorder="1"/>
    <xf numFmtId="0" fontId="2" fillId="0" borderId="51" xfId="0" quotePrefix="1" applyFont="1" applyBorder="1" applyAlignment="1">
      <alignment horizontal="left"/>
    </xf>
    <xf numFmtId="0" fontId="2" fillId="0" borderId="65" xfId="0" applyFont="1" applyBorder="1" applyAlignment="1">
      <alignment horizontal="left" indent="1"/>
    </xf>
    <xf numFmtId="10" fontId="2" fillId="3" borderId="65" xfId="1" applyNumberFormat="1" applyFont="1" applyFill="1" applyBorder="1" applyProtection="1"/>
    <xf numFmtId="0" fontId="2" fillId="3" borderId="46" xfId="0" applyFont="1" applyFill="1" applyBorder="1" applyAlignment="1">
      <alignment horizontal="left"/>
    </xf>
    <xf numFmtId="0" fontId="2" fillId="3" borderId="70" xfId="0" applyFont="1" applyFill="1" applyBorder="1" applyAlignment="1">
      <alignment horizontal="left"/>
    </xf>
    <xf numFmtId="0" fontId="2" fillId="3" borderId="47" xfId="0" applyFont="1" applyFill="1" applyBorder="1" applyAlignment="1">
      <alignment horizontal="left"/>
    </xf>
    <xf numFmtId="1" fontId="2" fillId="13" borderId="66" xfId="0" applyNumberFormat="1" applyFont="1" applyFill="1" applyBorder="1" applyProtection="1">
      <protection locked="0"/>
    </xf>
    <xf numFmtId="49" fontId="2" fillId="13" borderId="63" xfId="0" applyNumberFormat="1" applyFont="1" applyFill="1" applyBorder="1" applyAlignment="1" applyProtection="1">
      <alignment horizontal="right"/>
      <protection locked="0"/>
    </xf>
    <xf numFmtId="14" fontId="2" fillId="13" borderId="2" xfId="0" applyNumberFormat="1" applyFont="1" applyFill="1" applyBorder="1" applyProtection="1">
      <protection locked="0"/>
    </xf>
    <xf numFmtId="172" fontId="2" fillId="13" borderId="64" xfId="0" applyNumberFormat="1" applyFont="1" applyFill="1" applyBorder="1" applyProtection="1">
      <protection locked="0"/>
    </xf>
    <xf numFmtId="10" fontId="2" fillId="13" borderId="1" xfId="1" applyNumberFormat="1" applyFont="1" applyFill="1" applyBorder="1" applyProtection="1">
      <protection locked="0"/>
    </xf>
    <xf numFmtId="168" fontId="2" fillId="13" borderId="49" xfId="1" applyNumberFormat="1" applyFont="1" applyFill="1" applyBorder="1" applyProtection="1">
      <protection locked="0"/>
    </xf>
    <xf numFmtId="0" fontId="2" fillId="13" borderId="48" xfId="0" applyFont="1" applyFill="1" applyBorder="1" applyProtection="1">
      <protection locked="0"/>
    </xf>
    <xf numFmtId="168" fontId="2" fillId="13" borderId="1" xfId="1" applyNumberFormat="1" applyFont="1" applyFill="1" applyBorder="1" applyAlignment="1" applyProtection="1">
      <alignment horizontal="right"/>
      <protection locked="0"/>
    </xf>
    <xf numFmtId="0" fontId="2" fillId="13" borderId="1" xfId="0" quotePrefix="1" applyFont="1" applyFill="1" applyBorder="1" applyAlignment="1" applyProtection="1">
      <alignment horizontal="right"/>
      <protection locked="0"/>
    </xf>
    <xf numFmtId="168" fontId="2" fillId="13" borderId="49" xfId="1" applyNumberFormat="1" applyFont="1" applyFill="1" applyBorder="1" applyAlignment="1" applyProtection="1">
      <alignment horizontal="right"/>
      <protection locked="0"/>
    </xf>
    <xf numFmtId="169" fontId="2" fillId="13" borderId="47" xfId="0" applyNumberFormat="1" applyFont="1" applyFill="1" applyBorder="1" applyProtection="1">
      <protection locked="0"/>
    </xf>
    <xf numFmtId="168" fontId="2" fillId="13" borderId="49" xfId="0" applyNumberFormat="1" applyFont="1" applyFill="1" applyBorder="1" applyAlignment="1" applyProtection="1">
      <alignment horizontal="right"/>
      <protection locked="0"/>
    </xf>
    <xf numFmtId="168" fontId="2" fillId="13" borderId="49" xfId="0" applyNumberFormat="1" applyFont="1" applyFill="1" applyBorder="1" applyProtection="1">
      <protection locked="0"/>
    </xf>
    <xf numFmtId="166" fontId="2" fillId="13" borderId="47" xfId="1" applyNumberFormat="1" applyFont="1" applyFill="1" applyBorder="1" applyProtection="1">
      <protection locked="0"/>
    </xf>
    <xf numFmtId="9" fontId="2" fillId="13" borderId="55" xfId="1" applyFont="1" applyFill="1" applyBorder="1" applyProtection="1">
      <protection locked="0"/>
    </xf>
    <xf numFmtId="9" fontId="2" fillId="13" borderId="47" xfId="1" applyFont="1" applyFill="1" applyBorder="1" applyProtection="1">
      <protection locked="0"/>
    </xf>
    <xf numFmtId="166" fontId="2" fillId="13" borderId="49" xfId="1" applyNumberFormat="1" applyFont="1" applyFill="1" applyBorder="1" applyProtection="1">
      <protection locked="0"/>
    </xf>
    <xf numFmtId="166" fontId="2" fillId="13" borderId="52" xfId="1" applyNumberFormat="1" applyFont="1" applyFill="1" applyBorder="1" applyProtection="1">
      <protection locked="0"/>
    </xf>
    <xf numFmtId="168" fontId="2" fillId="13" borderId="47" xfId="1" applyNumberFormat="1" applyFont="1" applyFill="1" applyBorder="1" applyProtection="1">
      <protection locked="0"/>
    </xf>
    <xf numFmtId="168" fontId="2" fillId="13" borderId="60" xfId="1" applyNumberFormat="1" applyFont="1" applyFill="1" applyBorder="1" applyProtection="1">
      <protection locked="0"/>
    </xf>
    <xf numFmtId="168" fontId="2" fillId="13" borderId="47" xfId="0" applyNumberFormat="1" applyFont="1" applyFill="1" applyBorder="1" applyProtection="1">
      <protection locked="0"/>
    </xf>
    <xf numFmtId="0" fontId="2" fillId="13" borderId="46" xfId="0" applyFont="1" applyFill="1" applyBorder="1" applyAlignment="1" applyProtection="1">
      <alignment horizontal="left"/>
      <protection locked="0"/>
    </xf>
    <xf numFmtId="0" fontId="2" fillId="13" borderId="59" xfId="0" applyFont="1" applyFill="1" applyBorder="1" applyAlignment="1" applyProtection="1">
      <alignment horizontal="left"/>
      <protection locked="0"/>
    </xf>
    <xf numFmtId="10" fontId="2" fillId="13" borderId="49" xfId="0" applyNumberFormat="1" applyFont="1" applyFill="1" applyBorder="1" applyProtection="1">
      <protection locked="0"/>
    </xf>
    <xf numFmtId="9" fontId="2" fillId="13" borderId="47" xfId="0" applyNumberFormat="1" applyFont="1" applyFill="1" applyBorder="1" applyProtection="1">
      <protection locked="0"/>
    </xf>
    <xf numFmtId="9" fontId="2" fillId="13" borderId="49" xfId="1" applyFont="1" applyFill="1" applyBorder="1" applyProtection="1">
      <protection locked="0"/>
    </xf>
    <xf numFmtId="170" fontId="2" fillId="13" borderId="49" xfId="0" applyNumberFormat="1" applyFont="1" applyFill="1" applyBorder="1" applyProtection="1">
      <protection locked="0"/>
    </xf>
    <xf numFmtId="0" fontId="2" fillId="13" borderId="47" xfId="0" applyFont="1" applyFill="1" applyBorder="1" applyProtection="1">
      <protection locked="0"/>
    </xf>
    <xf numFmtId="0" fontId="2" fillId="11" borderId="0" xfId="0" applyFont="1" applyFill="1"/>
    <xf numFmtId="0" fontId="11" fillId="11" borderId="0" xfId="18" applyFill="1" applyAlignment="1">
      <alignment vertical="center"/>
    </xf>
    <xf numFmtId="0" fontId="32" fillId="9" borderId="0" xfId="0" applyFont="1" applyFill="1"/>
    <xf numFmtId="0" fontId="30" fillId="9" borderId="0" xfId="0" applyFont="1" applyFill="1"/>
    <xf numFmtId="0" fontId="33" fillId="9" borderId="0" xfId="0" applyFont="1" applyFill="1" applyAlignment="1">
      <alignment vertical="top" wrapText="1"/>
    </xf>
    <xf numFmtId="14" fontId="7" fillId="3" borderId="33" xfId="0" applyNumberFormat="1" applyFont="1" applyFill="1" applyBorder="1"/>
    <xf numFmtId="9" fontId="0" fillId="0" borderId="33" xfId="1" applyFont="1" applyBorder="1"/>
    <xf numFmtId="0" fontId="24" fillId="0" borderId="32" xfId="0" applyFont="1" applyBorder="1"/>
    <xf numFmtId="0" fontId="24" fillId="0" borderId="33" xfId="0" applyFont="1" applyBorder="1"/>
    <xf numFmtId="0" fontId="24" fillId="0" borderId="46" xfId="0" applyFont="1" applyBorder="1"/>
    <xf numFmtId="171" fontId="24" fillId="0" borderId="62" xfId="0" applyNumberFormat="1" applyFont="1" applyBorder="1"/>
    <xf numFmtId="0" fontId="24" fillId="0" borderId="57" xfId="0" applyFont="1" applyBorder="1"/>
    <xf numFmtId="168" fontId="24" fillId="0" borderId="36" xfId="0" applyNumberFormat="1" applyFont="1" applyBorder="1"/>
    <xf numFmtId="168" fontId="24" fillId="0" borderId="62" xfId="0" applyNumberFormat="1" applyFont="1" applyBorder="1"/>
    <xf numFmtId="0" fontId="24" fillId="0" borderId="48" xfId="0" applyFont="1" applyBorder="1"/>
    <xf numFmtId="168" fontId="24" fillId="0" borderId="63" xfId="0" applyNumberFormat="1" applyFont="1" applyBorder="1"/>
    <xf numFmtId="0" fontId="24" fillId="0" borderId="72" xfId="0" applyFont="1" applyBorder="1"/>
    <xf numFmtId="168" fontId="24" fillId="0" borderId="73" xfId="0" applyNumberFormat="1" applyFont="1" applyBorder="1"/>
    <xf numFmtId="10" fontId="24" fillId="0" borderId="63" xfId="1" applyNumberFormat="1" applyFont="1" applyBorder="1"/>
    <xf numFmtId="10" fontId="24" fillId="0" borderId="36" xfId="0" applyNumberFormat="1" applyFont="1" applyBorder="1"/>
    <xf numFmtId="0" fontId="24" fillId="0" borderId="44" xfId="0" applyFont="1" applyBorder="1"/>
    <xf numFmtId="168" fontId="24" fillId="0" borderId="43" xfId="0" applyNumberFormat="1" applyFont="1" applyBorder="1"/>
    <xf numFmtId="0" fontId="24" fillId="0" borderId="59" xfId="0" applyFont="1" applyBorder="1"/>
    <xf numFmtId="166" fontId="24" fillId="0" borderId="74" xfId="1" applyNumberFormat="1" applyFont="1" applyBorder="1"/>
    <xf numFmtId="1" fontId="24" fillId="0" borderId="36" xfId="0" applyNumberFormat="1" applyFont="1" applyBorder="1"/>
    <xf numFmtId="0" fontId="24" fillId="0" borderId="48" xfId="0" quotePrefix="1" applyFont="1" applyBorder="1"/>
    <xf numFmtId="0" fontId="24" fillId="0" borderId="72" xfId="0" quotePrefix="1" applyFont="1" applyBorder="1"/>
    <xf numFmtId="0" fontId="24" fillId="0" borderId="57" xfId="0" quotePrefix="1" applyFont="1" applyBorder="1"/>
    <xf numFmtId="0" fontId="24" fillId="0" borderId="75" xfId="0" applyFont="1" applyBorder="1"/>
    <xf numFmtId="0" fontId="24" fillId="0" borderId="76" xfId="0" applyFont="1" applyBorder="1"/>
    <xf numFmtId="9" fontId="24" fillId="0" borderId="77" xfId="1" applyFont="1" applyBorder="1"/>
    <xf numFmtId="0" fontId="0" fillId="0" borderId="75" xfId="0" applyBorder="1"/>
    <xf numFmtId="0" fontId="0" fillId="0" borderId="76" xfId="0" applyBorder="1"/>
    <xf numFmtId="9" fontId="0" fillId="0" borderId="77" xfId="1" applyFont="1" applyBorder="1"/>
    <xf numFmtId="0" fontId="15" fillId="11" borderId="0" xfId="0" applyFont="1" applyFill="1" applyAlignment="1">
      <alignment vertical="center"/>
    </xf>
    <xf numFmtId="0" fontId="11" fillId="11" borderId="0" xfId="18" applyFill="1" applyAlignment="1" applyProtection="1">
      <alignment horizontal="center" vertical="center"/>
    </xf>
    <xf numFmtId="0" fontId="31" fillId="3" borderId="40" xfId="0" applyFont="1" applyFill="1" applyBorder="1" applyAlignment="1">
      <alignment horizontal="left"/>
    </xf>
    <xf numFmtId="0" fontId="31" fillId="3" borderId="78" xfId="0" applyFont="1" applyFill="1" applyBorder="1" applyAlignment="1">
      <alignment horizontal="left"/>
    </xf>
    <xf numFmtId="0" fontId="2" fillId="9" borderId="0" xfId="0" applyFont="1" applyFill="1" applyAlignment="1">
      <alignment horizontal="left"/>
    </xf>
    <xf numFmtId="0" fontId="12" fillId="11" borderId="44" xfId="0" applyFont="1" applyFill="1" applyBorder="1" applyAlignment="1">
      <alignment horizontal="right" indent="1"/>
    </xf>
    <xf numFmtId="0" fontId="12" fillId="11" borderId="71" xfId="0" applyFont="1" applyFill="1" applyBorder="1" applyAlignment="1">
      <alignment horizontal="right" indent="1"/>
    </xf>
    <xf numFmtId="0" fontId="12" fillId="11" borderId="79" xfId="0" applyFont="1" applyFill="1" applyBorder="1" applyAlignment="1">
      <alignment horizontal="center"/>
    </xf>
    <xf numFmtId="1" fontId="12" fillId="11" borderId="80" xfId="0" applyNumberFormat="1" applyFont="1" applyFill="1" applyBorder="1" applyAlignment="1">
      <alignment horizontal="center"/>
    </xf>
    <xf numFmtId="1" fontId="12" fillId="11" borderId="81" xfId="0" applyNumberFormat="1" applyFont="1" applyFill="1" applyBorder="1" applyAlignment="1">
      <alignment horizontal="center"/>
    </xf>
    <xf numFmtId="168" fontId="2" fillId="3" borderId="70" xfId="0" applyNumberFormat="1" applyFont="1" applyFill="1" applyBorder="1" applyAlignment="1">
      <alignment horizontal="center"/>
    </xf>
    <xf numFmtId="168" fontId="2" fillId="3" borderId="47" xfId="0" applyNumberFormat="1" applyFont="1" applyFill="1" applyBorder="1" applyAlignment="1">
      <alignment horizontal="center"/>
    </xf>
    <xf numFmtId="168" fontId="2" fillId="3" borderId="49" xfId="0" applyNumberFormat="1" applyFont="1" applyFill="1" applyBorder="1" applyAlignment="1">
      <alignment horizontal="center"/>
    </xf>
    <xf numFmtId="168" fontId="2" fillId="3" borderId="65" xfId="0" applyNumberFormat="1" applyFont="1" applyFill="1" applyBorder="1" applyAlignment="1">
      <alignment horizontal="center"/>
    </xf>
    <xf numFmtId="168" fontId="2" fillId="3" borderId="52" xfId="0" applyNumberFormat="1" applyFont="1" applyFill="1" applyBorder="1" applyAlignment="1">
      <alignment horizontal="center"/>
    </xf>
    <xf numFmtId="168" fontId="2" fillId="0" borderId="49" xfId="0" applyNumberFormat="1" applyFont="1" applyBorder="1" applyAlignment="1">
      <alignment horizontal="center"/>
    </xf>
    <xf numFmtId="168" fontId="2" fillId="0" borderId="65" xfId="0" applyNumberFormat="1" applyFont="1" applyBorder="1" applyAlignment="1">
      <alignment horizontal="center"/>
    </xf>
    <xf numFmtId="168" fontId="2" fillId="0" borderId="52" xfId="0" applyNumberFormat="1" applyFont="1" applyBorder="1" applyAlignment="1">
      <alignment horizontal="center"/>
    </xf>
    <xf numFmtId="9" fontId="2" fillId="13" borderId="1" xfId="1" applyFont="1" applyFill="1" applyBorder="1" applyAlignment="1" applyProtection="1">
      <alignment horizontal="center"/>
      <protection locked="0"/>
    </xf>
    <xf numFmtId="9" fontId="2" fillId="13" borderId="49" xfId="1" applyFont="1" applyFill="1" applyBorder="1" applyAlignment="1" applyProtection="1">
      <alignment horizontal="center"/>
      <protection locked="0"/>
    </xf>
    <xf numFmtId="3" fontId="2" fillId="3" borderId="70"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60" xfId="0" applyNumberFormat="1" applyFont="1" applyFill="1" applyBorder="1" applyAlignment="1">
      <alignment horizontal="center"/>
    </xf>
    <xf numFmtId="0" fontId="2" fillId="0" borderId="83" xfId="0" applyFont="1" applyBorder="1" applyAlignment="1">
      <alignment horizontal="right"/>
    </xf>
    <xf numFmtId="3" fontId="2" fillId="3" borderId="49" xfId="0" applyNumberFormat="1" applyFont="1" applyFill="1" applyBorder="1" applyAlignment="1">
      <alignment horizontal="center"/>
    </xf>
    <xf numFmtId="10" fontId="2" fillId="3" borderId="49" xfId="1" applyNumberFormat="1" applyFont="1" applyFill="1" applyBorder="1" applyAlignment="1" applyProtection="1">
      <alignment horizontal="center"/>
    </xf>
    <xf numFmtId="10" fontId="8" fillId="3" borderId="49" xfId="1" applyNumberFormat="1" applyFont="1" applyFill="1" applyBorder="1" applyAlignment="1" applyProtection="1">
      <alignment horizontal="center"/>
    </xf>
    <xf numFmtId="3" fontId="2" fillId="3" borderId="65" xfId="0" applyNumberFormat="1" applyFont="1" applyFill="1" applyBorder="1" applyAlignment="1">
      <alignment horizontal="center"/>
    </xf>
    <xf numFmtId="3" fontId="2" fillId="3" borderId="52" xfId="0" applyNumberFormat="1" applyFont="1" applyFill="1" applyBorder="1" applyAlignment="1">
      <alignment horizontal="center"/>
    </xf>
    <xf numFmtId="10" fontId="2" fillId="3" borderId="70" xfId="1" applyNumberFormat="1" applyFont="1" applyFill="1" applyBorder="1" applyAlignment="1" applyProtection="1">
      <alignment horizontal="center"/>
    </xf>
    <xf numFmtId="0" fontId="0" fillId="9" borderId="69" xfId="0" applyFill="1" applyBorder="1"/>
    <xf numFmtId="0" fontId="0" fillId="9" borderId="33" xfId="0" applyFill="1" applyBorder="1"/>
    <xf numFmtId="0" fontId="2" fillId="0" borderId="83" xfId="0" quotePrefix="1" applyFont="1" applyBorder="1"/>
    <xf numFmtId="166" fontId="2" fillId="3" borderId="49" xfId="1" applyNumberFormat="1" applyFont="1" applyFill="1" applyBorder="1" applyAlignment="1" applyProtection="1">
      <alignment horizontal="center"/>
    </xf>
    <xf numFmtId="3" fontId="2" fillId="3" borderId="85" xfId="0" applyNumberFormat="1" applyFont="1" applyFill="1" applyBorder="1" applyAlignment="1">
      <alignment horizontal="center"/>
    </xf>
    <xf numFmtId="3" fontId="2" fillId="3" borderId="58" xfId="0" applyNumberFormat="1" applyFont="1" applyFill="1" applyBorder="1" applyAlignment="1">
      <alignment horizontal="center"/>
    </xf>
    <xf numFmtId="168" fontId="2" fillId="13" borderId="70" xfId="0" applyNumberFormat="1" applyFont="1" applyFill="1" applyBorder="1" applyAlignment="1" applyProtection="1">
      <alignment horizontal="center"/>
      <protection locked="0"/>
    </xf>
    <xf numFmtId="10" fontId="2" fillId="13" borderId="70" xfId="1" applyNumberFormat="1" applyFont="1" applyFill="1" applyBorder="1" applyAlignment="1" applyProtection="1">
      <alignment horizontal="center"/>
      <protection locked="0"/>
    </xf>
    <xf numFmtId="10" fontId="2" fillId="13" borderId="82" xfId="1" applyNumberFormat="1" applyFont="1" applyFill="1" applyBorder="1" applyAlignment="1" applyProtection="1">
      <alignment horizontal="center"/>
      <protection locked="0"/>
    </xf>
    <xf numFmtId="10" fontId="2" fillId="13" borderId="62" xfId="1" applyNumberFormat="1" applyFont="1" applyFill="1" applyBorder="1" applyAlignment="1" applyProtection="1">
      <alignment horizontal="center"/>
      <protection locked="0"/>
    </xf>
    <xf numFmtId="3" fontId="2" fillId="13" borderId="1" xfId="0" applyNumberFormat="1" applyFont="1" applyFill="1" applyBorder="1" applyAlignment="1" applyProtection="1">
      <alignment horizontal="center"/>
      <protection locked="0"/>
    </xf>
    <xf numFmtId="3" fontId="2" fillId="13" borderId="49" xfId="0" applyNumberFormat="1" applyFont="1" applyFill="1" applyBorder="1" applyAlignment="1" applyProtection="1">
      <alignment horizontal="center"/>
      <protection locked="0"/>
    </xf>
    <xf numFmtId="0" fontId="17" fillId="11" borderId="89" xfId="0" applyFont="1" applyFill="1" applyBorder="1" applyAlignment="1">
      <alignment horizontal="center"/>
    </xf>
    <xf numFmtId="168" fontId="2" fillId="9" borderId="92" xfId="0" applyNumberFormat="1" applyFont="1" applyFill="1" applyBorder="1" applyAlignment="1">
      <alignment horizontal="center"/>
    </xf>
    <xf numFmtId="0" fontId="17" fillId="11" borderId="90" xfId="0" applyFont="1" applyFill="1" applyBorder="1" applyAlignment="1">
      <alignment horizontal="center" vertical="center" wrapText="1"/>
    </xf>
    <xf numFmtId="168" fontId="3" fillId="9" borderId="46" xfId="0" applyNumberFormat="1" applyFont="1" applyFill="1" applyBorder="1" applyAlignment="1">
      <alignment horizontal="center"/>
    </xf>
    <xf numFmtId="9" fontId="2" fillId="9" borderId="82" xfId="1" applyFont="1" applyFill="1" applyBorder="1" applyAlignment="1" applyProtection="1">
      <alignment horizontal="center"/>
    </xf>
    <xf numFmtId="168" fontId="2" fillId="9" borderId="70" xfId="0" applyNumberFormat="1" applyFont="1" applyFill="1" applyBorder="1" applyAlignment="1">
      <alignment horizontal="center"/>
    </xf>
    <xf numFmtId="10" fontId="2" fillId="9" borderId="70" xfId="0" applyNumberFormat="1" applyFont="1" applyFill="1" applyBorder="1" applyAlignment="1">
      <alignment horizontal="center"/>
    </xf>
    <xf numFmtId="168" fontId="2" fillId="0" borderId="47" xfId="0" applyNumberFormat="1" applyFont="1" applyBorder="1" applyAlignment="1">
      <alignment horizontal="center"/>
    </xf>
    <xf numFmtId="168" fontId="3" fillId="9" borderId="48" xfId="0" applyNumberFormat="1" applyFont="1" applyFill="1" applyBorder="1" applyAlignment="1">
      <alignment horizontal="center"/>
    </xf>
    <xf numFmtId="168" fontId="3" fillId="9" borderId="54" xfId="0" applyNumberFormat="1" applyFont="1" applyFill="1" applyBorder="1" applyAlignment="1">
      <alignment horizontal="center"/>
    </xf>
    <xf numFmtId="168" fontId="2" fillId="0" borderId="55" xfId="0" applyNumberFormat="1" applyFont="1" applyBorder="1" applyAlignment="1">
      <alignment horizontal="center"/>
    </xf>
    <xf numFmtId="168" fontId="3" fillId="9" borderId="59" xfId="0" applyNumberFormat="1" applyFont="1" applyFill="1" applyBorder="1" applyAlignment="1">
      <alignment horizontal="center"/>
    </xf>
    <xf numFmtId="168" fontId="2" fillId="0" borderId="60" xfId="0" applyNumberFormat="1" applyFont="1" applyBorder="1" applyAlignment="1">
      <alignment horizontal="center"/>
    </xf>
    <xf numFmtId="168" fontId="3" fillId="9" borderId="51" xfId="0" applyNumberFormat="1" applyFont="1" applyFill="1" applyBorder="1" applyAlignment="1">
      <alignment horizontal="center"/>
    </xf>
    <xf numFmtId="9" fontId="2" fillId="9" borderId="64" xfId="1" applyFont="1" applyFill="1" applyBorder="1" applyAlignment="1" applyProtection="1">
      <alignment horizontal="center"/>
    </xf>
    <xf numFmtId="168" fontId="2" fillId="9" borderId="65" xfId="0" applyNumberFormat="1" applyFont="1" applyFill="1" applyBorder="1" applyAlignment="1">
      <alignment horizontal="center"/>
    </xf>
    <xf numFmtId="10" fontId="2" fillId="9" borderId="65" xfId="0" applyNumberFormat="1" applyFont="1" applyFill="1" applyBorder="1" applyAlignment="1">
      <alignment horizontal="center"/>
    </xf>
    <xf numFmtId="168" fontId="2" fillId="9" borderId="46" xfId="0" applyNumberFormat="1" applyFont="1" applyFill="1" applyBorder="1" applyAlignment="1">
      <alignment horizontal="center"/>
    </xf>
    <xf numFmtId="9" fontId="3" fillId="9" borderId="67" xfId="1" applyFont="1" applyFill="1" applyBorder="1" applyAlignment="1" applyProtection="1">
      <alignment horizontal="center"/>
    </xf>
    <xf numFmtId="168" fontId="2" fillId="9" borderId="95" xfId="0" applyNumberFormat="1" applyFont="1" applyFill="1" applyBorder="1" applyAlignment="1">
      <alignment horizontal="center"/>
    </xf>
    <xf numFmtId="168" fontId="2" fillId="9" borderId="48" xfId="0" applyNumberFormat="1" applyFont="1" applyFill="1" applyBorder="1" applyAlignment="1">
      <alignment horizontal="center"/>
    </xf>
    <xf numFmtId="168" fontId="2" fillId="9" borderId="54" xfId="0" applyNumberFormat="1" applyFont="1" applyFill="1" applyBorder="1" applyAlignment="1">
      <alignment horizontal="center"/>
    </xf>
    <xf numFmtId="168" fontId="2" fillId="9" borderId="59" xfId="0" applyNumberFormat="1" applyFont="1" applyFill="1" applyBorder="1" applyAlignment="1">
      <alignment horizontal="center"/>
    </xf>
    <xf numFmtId="168" fontId="2" fillId="9" borderId="51" xfId="0" applyNumberFormat="1" applyFont="1" applyFill="1" applyBorder="1" applyAlignment="1">
      <alignment horizontal="center"/>
    </xf>
    <xf numFmtId="9" fontId="3" fillId="9" borderId="65" xfId="1" applyFont="1" applyFill="1" applyBorder="1" applyAlignment="1" applyProtection="1">
      <alignment horizontal="center"/>
    </xf>
    <xf numFmtId="10" fontId="3" fillId="9" borderId="70" xfId="0" applyNumberFormat="1" applyFont="1" applyFill="1" applyBorder="1" applyAlignment="1">
      <alignment horizontal="center"/>
    </xf>
    <xf numFmtId="10" fontId="3" fillId="9" borderId="65" xfId="0" applyNumberFormat="1" applyFont="1" applyFill="1" applyBorder="1" applyAlignment="1">
      <alignment horizontal="center"/>
    </xf>
    <xf numFmtId="168" fontId="3" fillId="9" borderId="70" xfId="0" applyNumberFormat="1" applyFont="1" applyFill="1" applyBorder="1" applyAlignment="1">
      <alignment horizontal="center"/>
    </xf>
    <xf numFmtId="168" fontId="3" fillId="9" borderId="65" xfId="0" applyNumberFormat="1" applyFont="1" applyFill="1" applyBorder="1" applyAlignment="1">
      <alignment horizontal="center"/>
    </xf>
    <xf numFmtId="168" fontId="3" fillId="3" borderId="41" xfId="0" applyNumberFormat="1" applyFont="1" applyFill="1" applyBorder="1" applyAlignment="1">
      <alignment horizontal="center"/>
    </xf>
    <xf numFmtId="9" fontId="2" fillId="3" borderId="96" xfId="1" applyFont="1" applyFill="1" applyBorder="1" applyAlignment="1" applyProtection="1">
      <alignment horizontal="center"/>
    </xf>
    <xf numFmtId="168" fontId="2" fillId="3" borderId="42" xfId="0" applyNumberFormat="1" applyFont="1" applyFill="1" applyBorder="1" applyAlignment="1">
      <alignment horizontal="center"/>
    </xf>
    <xf numFmtId="10" fontId="2" fillId="3" borderId="42" xfId="0" applyNumberFormat="1" applyFont="1" applyFill="1" applyBorder="1" applyAlignment="1">
      <alignment horizontal="center"/>
    </xf>
    <xf numFmtId="168" fontId="2" fillId="0" borderId="43" xfId="0" applyNumberFormat="1" applyFont="1" applyBorder="1" applyAlignment="1">
      <alignment horizontal="center"/>
    </xf>
    <xf numFmtId="168" fontId="2" fillId="3" borderId="41" xfId="0" applyNumberFormat="1" applyFont="1" applyFill="1" applyBorder="1" applyAlignment="1">
      <alignment horizontal="center"/>
    </xf>
    <xf numFmtId="10" fontId="3" fillId="3" borderId="42" xfId="0" applyNumberFormat="1" applyFont="1" applyFill="1" applyBorder="1" applyAlignment="1">
      <alignment horizontal="center"/>
    </xf>
    <xf numFmtId="168" fontId="3" fillId="3" borderId="42" xfId="0" applyNumberFormat="1" applyFont="1" applyFill="1" applyBorder="1" applyAlignment="1">
      <alignment horizontal="center"/>
    </xf>
    <xf numFmtId="9" fontId="3" fillId="3" borderId="96" xfId="1" applyFont="1" applyFill="1" applyBorder="1" applyAlignment="1" applyProtection="1">
      <alignment horizontal="center"/>
    </xf>
    <xf numFmtId="168" fontId="2" fillId="9" borderId="47" xfId="0" applyNumberFormat="1" applyFont="1" applyFill="1" applyBorder="1"/>
    <xf numFmtId="9" fontId="2" fillId="9" borderId="49" xfId="1" applyFont="1" applyFill="1" applyBorder="1" applyProtection="1"/>
    <xf numFmtId="10" fontId="2" fillId="9" borderId="49" xfId="0" applyNumberFormat="1" applyFont="1" applyFill="1" applyBorder="1"/>
    <xf numFmtId="168" fontId="2" fillId="9" borderId="52" xfId="0" applyNumberFormat="1" applyFont="1" applyFill="1" applyBorder="1"/>
    <xf numFmtId="168" fontId="2" fillId="13" borderId="40" xfId="0" applyNumberFormat="1" applyFont="1" applyFill="1" applyBorder="1" applyAlignment="1" applyProtection="1">
      <alignment horizontal="center"/>
      <protection locked="0"/>
    </xf>
    <xf numFmtId="10" fontId="2" fillId="13" borderId="40" xfId="1" applyNumberFormat="1" applyFont="1" applyFill="1" applyBorder="1" applyAlignment="1" applyProtection="1">
      <alignment horizontal="center"/>
      <protection locked="0"/>
    </xf>
    <xf numFmtId="9" fontId="2" fillId="13" borderId="40" xfId="1" applyFont="1" applyFill="1" applyBorder="1" applyAlignment="1" applyProtection="1">
      <alignment horizontal="center"/>
      <protection locked="0"/>
    </xf>
    <xf numFmtId="168" fontId="2" fillId="13" borderId="40" xfId="1" applyNumberFormat="1" applyFont="1" applyFill="1" applyBorder="1" applyAlignment="1" applyProtection="1">
      <alignment horizontal="center"/>
      <protection locked="0"/>
    </xf>
    <xf numFmtId="0" fontId="12" fillId="11" borderId="44" xfId="0" applyFont="1" applyFill="1" applyBorder="1" applyAlignment="1">
      <alignment horizontal="left"/>
    </xf>
    <xf numFmtId="0" fontId="12" fillId="11" borderId="40" xfId="0" applyFont="1" applyFill="1" applyBorder="1" applyAlignment="1">
      <alignment horizontal="left"/>
    </xf>
    <xf numFmtId="174" fontId="8" fillId="3" borderId="40" xfId="0" applyNumberFormat="1" applyFont="1" applyFill="1" applyBorder="1" applyAlignment="1">
      <alignment horizontal="center"/>
    </xf>
    <xf numFmtId="0" fontId="26" fillId="9" borderId="0" xfId="0" applyFont="1" applyFill="1" applyAlignment="1">
      <alignment horizontal="left"/>
    </xf>
    <xf numFmtId="174" fontId="8" fillId="11" borderId="44" xfId="0" applyNumberFormat="1" applyFont="1" applyFill="1" applyBorder="1"/>
    <xf numFmtId="174" fontId="8" fillId="11" borderId="98" xfId="0" applyNumberFormat="1" applyFont="1" applyFill="1" applyBorder="1"/>
    <xf numFmtId="0" fontId="12" fillId="11" borderId="80" xfId="0" applyFont="1" applyFill="1" applyBorder="1" applyAlignment="1">
      <alignment horizontal="center"/>
    </xf>
    <xf numFmtId="9" fontId="2" fillId="3" borderId="49" xfId="1" applyFont="1" applyFill="1" applyBorder="1" applyAlignment="1">
      <alignment horizontal="center"/>
    </xf>
    <xf numFmtId="169" fontId="2" fillId="3" borderId="65" xfId="0" applyNumberFormat="1" applyFont="1" applyFill="1" applyBorder="1" applyAlignment="1">
      <alignment horizontal="center"/>
    </xf>
    <xf numFmtId="169" fontId="2" fillId="3" borderId="52" xfId="0" applyNumberFormat="1" applyFont="1" applyFill="1" applyBorder="1" applyAlignment="1">
      <alignment horizontal="center"/>
    </xf>
    <xf numFmtId="174" fontId="8" fillId="13" borderId="40" xfId="0" applyNumberFormat="1" applyFont="1" applyFill="1" applyBorder="1" applyAlignment="1" applyProtection="1">
      <alignment horizontal="center"/>
      <protection locked="0"/>
    </xf>
    <xf numFmtId="0" fontId="2" fillId="13" borderId="45" xfId="0" applyFont="1" applyFill="1" applyBorder="1" applyAlignment="1" applyProtection="1">
      <alignment horizontal="center"/>
      <protection locked="0"/>
    </xf>
    <xf numFmtId="0" fontId="35" fillId="9" borderId="0" xfId="16" applyFont="1" applyFill="1"/>
    <xf numFmtId="0" fontId="36" fillId="9" borderId="0" xfId="0" applyFont="1" applyFill="1" applyAlignment="1">
      <alignment horizontal="center"/>
    </xf>
    <xf numFmtId="0" fontId="17" fillId="11" borderId="98" xfId="0" applyFont="1" applyFill="1" applyBorder="1" applyAlignment="1" applyProtection="1">
      <alignment horizontal="left"/>
      <protection locked="0"/>
    </xf>
    <xf numFmtId="0" fontId="12" fillId="11" borderId="80" xfId="0" applyFont="1" applyFill="1" applyBorder="1" applyAlignment="1">
      <alignment horizontal="left" wrapText="1"/>
    </xf>
    <xf numFmtId="3" fontId="12" fillId="11" borderId="80" xfId="1" applyNumberFormat="1" applyFont="1" applyFill="1" applyBorder="1" applyAlignment="1">
      <alignment wrapText="1"/>
    </xf>
    <xf numFmtId="0" fontId="12" fillId="11" borderId="80" xfId="0" applyFont="1" applyFill="1" applyBorder="1" applyAlignment="1">
      <alignment wrapText="1"/>
    </xf>
    <xf numFmtId="168" fontId="2" fillId="0" borderId="70" xfId="0" applyNumberFormat="1" applyFont="1" applyBorder="1"/>
    <xf numFmtId="168" fontId="2" fillId="0" borderId="85" xfId="0" applyNumberFormat="1" applyFont="1" applyBorder="1"/>
    <xf numFmtId="0" fontId="12" fillId="11" borderId="98" xfId="0" applyFont="1" applyFill="1" applyBorder="1" applyProtection="1">
      <protection locked="0"/>
    </xf>
    <xf numFmtId="0" fontId="17" fillId="11" borderId="80" xfId="0" applyFont="1" applyFill="1" applyBorder="1"/>
    <xf numFmtId="168" fontId="17" fillId="11" borderId="80" xfId="0" applyNumberFormat="1" applyFont="1" applyFill="1" applyBorder="1"/>
    <xf numFmtId="0" fontId="2" fillId="13" borderId="70" xfId="0" applyFont="1" applyFill="1" applyBorder="1" applyProtection="1">
      <protection locked="0"/>
    </xf>
    <xf numFmtId="169" fontId="2" fillId="13" borderId="70" xfId="1" applyNumberFormat="1" applyFont="1" applyFill="1" applyBorder="1" applyProtection="1">
      <protection locked="0"/>
    </xf>
    <xf numFmtId="173" fontId="2" fillId="13" borderId="95" xfId="0" quotePrefix="1" applyNumberFormat="1" applyFont="1" applyFill="1" applyBorder="1" applyAlignment="1" applyProtection="1">
      <alignment horizontal="center"/>
      <protection locked="0"/>
    </xf>
    <xf numFmtId="170" fontId="2" fillId="13" borderId="70" xfId="1" applyNumberFormat="1" applyFont="1" applyFill="1" applyBorder="1" applyProtection="1">
      <protection locked="0"/>
    </xf>
    <xf numFmtId="0" fontId="2" fillId="13" borderId="7" xfId="0" applyFont="1" applyFill="1" applyBorder="1" applyProtection="1">
      <protection locked="0"/>
    </xf>
    <xf numFmtId="169" fontId="2" fillId="13" borderId="7" xfId="1" applyNumberFormat="1" applyFont="1" applyFill="1" applyBorder="1" applyProtection="1">
      <protection locked="0"/>
    </xf>
    <xf numFmtId="173" fontId="2" fillId="13" borderId="27" xfId="0" quotePrefix="1" applyNumberFormat="1" applyFont="1" applyFill="1" applyBorder="1" applyAlignment="1" applyProtection="1">
      <alignment horizontal="center"/>
      <protection locked="0"/>
    </xf>
    <xf numFmtId="170" fontId="2" fillId="13" borderId="7" xfId="1" applyNumberFormat="1" applyFont="1" applyFill="1" applyBorder="1" applyProtection="1">
      <protection locked="0"/>
    </xf>
    <xf numFmtId="0" fontId="2" fillId="13" borderId="57" xfId="0" applyFont="1" applyFill="1" applyBorder="1" applyAlignment="1" applyProtection="1">
      <alignment horizontal="left"/>
      <protection locked="0"/>
    </xf>
    <xf numFmtId="0" fontId="2" fillId="13" borderId="85" xfId="0" applyFont="1" applyFill="1" applyBorder="1" applyProtection="1">
      <protection locked="0"/>
    </xf>
    <xf numFmtId="169" fontId="2" fillId="13" borderId="85" xfId="1" applyNumberFormat="1" applyFont="1" applyFill="1" applyBorder="1" applyProtection="1">
      <protection locked="0"/>
    </xf>
    <xf numFmtId="173" fontId="2" fillId="13" borderId="65" xfId="0" quotePrefix="1" applyNumberFormat="1" applyFont="1" applyFill="1" applyBorder="1" applyAlignment="1" applyProtection="1">
      <alignment horizontal="center"/>
      <protection locked="0"/>
    </xf>
    <xf numFmtId="170" fontId="2" fillId="13" borderId="85" xfId="1" applyNumberFormat="1" applyFont="1" applyFill="1" applyBorder="1" applyProtection="1">
      <protection locked="0"/>
    </xf>
    <xf numFmtId="168" fontId="2" fillId="0" borderId="65" xfId="0" applyNumberFormat="1" applyFont="1" applyBorder="1"/>
    <xf numFmtId="9" fontId="2" fillId="13" borderId="1" xfId="0" applyNumberFormat="1" applyFont="1" applyFill="1" applyBorder="1" applyProtection="1">
      <protection locked="0"/>
    </xf>
    <xf numFmtId="9" fontId="2" fillId="13" borderId="49" xfId="0" applyNumberFormat="1" applyFont="1" applyFill="1" applyBorder="1" applyProtection="1">
      <protection locked="0"/>
    </xf>
    <xf numFmtId="0" fontId="2" fillId="7" borderId="70" xfId="0" applyFont="1" applyFill="1" applyBorder="1" applyAlignment="1">
      <alignment horizontal="center"/>
    </xf>
    <xf numFmtId="0" fontId="2" fillId="6" borderId="70" xfId="0" applyFont="1" applyFill="1" applyBorder="1" applyAlignment="1">
      <alignment horizontal="center"/>
    </xf>
    <xf numFmtId="0" fontId="2" fillId="5" borderId="47" xfId="0" applyFont="1" applyFill="1" applyBorder="1" applyAlignment="1">
      <alignment horizontal="center"/>
    </xf>
    <xf numFmtId="168" fontId="2" fillId="13" borderId="1" xfId="0" applyNumberFormat="1" applyFont="1" applyFill="1" applyBorder="1" applyAlignment="1" applyProtection="1">
      <alignment horizontal="center"/>
      <protection locked="0"/>
    </xf>
    <xf numFmtId="168" fontId="2" fillId="13" borderId="49" xfId="0" applyNumberFormat="1" applyFont="1" applyFill="1" applyBorder="1" applyAlignment="1" applyProtection="1">
      <alignment horizontal="center"/>
      <protection locked="0"/>
    </xf>
    <xf numFmtId="168" fontId="2" fillId="13" borderId="65" xfId="0" applyNumberFormat="1" applyFont="1" applyFill="1" applyBorder="1" applyAlignment="1" applyProtection="1">
      <alignment horizontal="center"/>
      <protection locked="0"/>
    </xf>
    <xf numFmtId="168" fontId="2" fillId="13" borderId="52" xfId="0" applyNumberFormat="1" applyFont="1" applyFill="1" applyBorder="1" applyAlignment="1" applyProtection="1">
      <alignment horizontal="center"/>
      <protection locked="0"/>
    </xf>
    <xf numFmtId="0" fontId="2" fillId="9" borderId="71" xfId="0" applyFont="1" applyFill="1" applyBorder="1"/>
    <xf numFmtId="168" fontId="2" fillId="0" borderId="60" xfId="0" applyNumberFormat="1" applyFont="1" applyBorder="1"/>
    <xf numFmtId="0" fontId="2" fillId="9" borderId="29" xfId="0" applyFont="1" applyFill="1" applyBorder="1"/>
    <xf numFmtId="0" fontId="2" fillId="9" borderId="30" xfId="0" applyFont="1" applyFill="1" applyBorder="1"/>
    <xf numFmtId="168" fontId="2" fillId="0" borderId="60" xfId="1" applyNumberFormat="1" applyFont="1" applyFill="1" applyBorder="1" applyProtection="1"/>
    <xf numFmtId="0" fontId="0" fillId="9" borderId="0" xfId="0" applyFill="1" applyAlignment="1">
      <alignment vertical="top" wrapText="1"/>
    </xf>
    <xf numFmtId="0" fontId="6" fillId="9" borderId="0" xfId="0" applyFont="1" applyFill="1"/>
    <xf numFmtId="0" fontId="37" fillId="9" borderId="0" xfId="0" applyFont="1" applyFill="1"/>
    <xf numFmtId="0" fontId="38" fillId="9" borderId="0" xfId="0" applyFont="1" applyFill="1"/>
    <xf numFmtId="9" fontId="0" fillId="9" borderId="0" xfId="1" applyFont="1" applyFill="1" applyProtection="1"/>
    <xf numFmtId="0" fontId="20" fillId="9" borderId="0" xfId="0" applyFont="1" applyFill="1"/>
    <xf numFmtId="0" fontId="39" fillId="9" borderId="0" xfId="18" applyFont="1" applyFill="1"/>
    <xf numFmtId="0" fontId="0" fillId="9" borderId="0" xfId="0" applyFill="1" applyAlignment="1">
      <alignment horizontal="left" vertical="top" wrapText="1"/>
    </xf>
    <xf numFmtId="10" fontId="2" fillId="13" borderId="1" xfId="1" applyNumberFormat="1" applyFont="1" applyFill="1" applyBorder="1" applyAlignment="1" applyProtection="1">
      <alignment horizontal="center"/>
      <protection locked="0"/>
    </xf>
    <xf numFmtId="10" fontId="2" fillId="13" borderId="49" xfId="1" applyNumberFormat="1" applyFont="1" applyFill="1" applyBorder="1" applyAlignment="1" applyProtection="1">
      <alignment horizontal="center"/>
      <protection locked="0"/>
    </xf>
    <xf numFmtId="0" fontId="2" fillId="0" borderId="69" xfId="0" quotePrefix="1" applyFont="1" applyBorder="1"/>
    <xf numFmtId="0" fontId="2" fillId="0" borderId="4" xfId="0" quotePrefix="1" applyFont="1" applyBorder="1"/>
    <xf numFmtId="0" fontId="2" fillId="0" borderId="1" xfId="0" applyFont="1" applyBorder="1" applyAlignment="1">
      <alignment horizontal="right"/>
    </xf>
    <xf numFmtId="168" fontId="2" fillId="13" borderId="52" xfId="1" applyNumberFormat="1" applyFont="1" applyFill="1" applyBorder="1" applyAlignment="1" applyProtection="1">
      <alignment horizontal="right"/>
      <protection locked="0"/>
    </xf>
    <xf numFmtId="0" fontId="30" fillId="0" borderId="0" xfId="0" applyFont="1"/>
    <xf numFmtId="0" fontId="29" fillId="0" borderId="0" xfId="0" applyFont="1" applyAlignment="1">
      <alignment horizontal="right"/>
    </xf>
    <xf numFmtId="0" fontId="29" fillId="0" borderId="0" xfId="18" applyFont="1" applyBorder="1" applyAlignment="1" applyProtection="1">
      <alignment horizontal="right"/>
      <protection locked="0"/>
    </xf>
    <xf numFmtId="0" fontId="11" fillId="11" borderId="0" xfId="18" applyFill="1" applyAlignment="1" applyProtection="1">
      <alignment horizontal="center" vertical="center"/>
    </xf>
    <xf numFmtId="0" fontId="15" fillId="11" borderId="0" xfId="0" applyFont="1" applyFill="1" applyAlignment="1">
      <alignment horizontal="center" vertical="center"/>
    </xf>
    <xf numFmtId="0" fontId="28" fillId="0" borderId="0" xfId="0" applyFont="1" applyAlignment="1">
      <alignment horizontal="center"/>
    </xf>
    <xf numFmtId="0" fontId="29" fillId="0" borderId="0" xfId="0" applyFont="1" applyAlignment="1">
      <alignment horizontal="left" vertical="top" wrapText="1"/>
    </xf>
    <xf numFmtId="0" fontId="2" fillId="3" borderId="69" xfId="0" applyFont="1" applyFill="1" applyBorder="1" applyAlignment="1">
      <alignment horizontal="right"/>
    </xf>
    <xf numFmtId="0" fontId="2" fillId="3" borderId="3" xfId="0" applyFont="1" applyFill="1" applyBorder="1" applyAlignment="1">
      <alignment horizontal="right"/>
    </xf>
    <xf numFmtId="0" fontId="2" fillId="3" borderId="4" xfId="0" applyFont="1" applyFill="1" applyBorder="1" applyAlignment="1">
      <alignment horizontal="right"/>
    </xf>
    <xf numFmtId="0" fontId="2" fillId="3" borderId="56" xfId="0" applyFont="1" applyFill="1" applyBorder="1" applyAlignment="1">
      <alignment horizontal="right"/>
    </xf>
    <xf numFmtId="0" fontId="2" fillId="3" borderId="97" xfId="0" applyFont="1" applyFill="1" applyBorder="1" applyAlignment="1">
      <alignment horizontal="right"/>
    </xf>
    <xf numFmtId="0" fontId="2" fillId="3" borderId="64" xfId="0" applyFont="1" applyFill="1" applyBorder="1" applyAlignment="1">
      <alignment horizontal="right"/>
    </xf>
    <xf numFmtId="0" fontId="2" fillId="9" borderId="0" xfId="0" applyFont="1" applyFill="1" applyAlignment="1">
      <alignment horizontal="left" vertical="top" wrapText="1"/>
    </xf>
    <xf numFmtId="0" fontId="40" fillId="9" borderId="0" xfId="18" applyFont="1" applyFill="1" applyAlignment="1" applyProtection="1">
      <alignment horizontal="left" vertical="top" wrapText="1"/>
    </xf>
    <xf numFmtId="0" fontId="12" fillId="11" borderId="41" xfId="0" applyFont="1" applyFill="1" applyBorder="1" applyAlignment="1">
      <alignment horizontal="left"/>
    </xf>
    <xf numFmtId="0" fontId="12" fillId="11" borderId="43" xfId="0" applyFont="1" applyFill="1" applyBorder="1" applyAlignment="1">
      <alignment horizontal="left"/>
    </xf>
    <xf numFmtId="0" fontId="2" fillId="0" borderId="29" xfId="0" applyFont="1" applyBorder="1"/>
    <xf numFmtId="0" fontId="2" fillId="0" borderId="67" xfId="0" applyFont="1" applyBorder="1"/>
    <xf numFmtId="0" fontId="12" fillId="11" borderId="44" xfId="0" applyFont="1" applyFill="1" applyBorder="1" applyAlignment="1">
      <alignment horizontal="left"/>
    </xf>
    <xf numFmtId="0" fontId="12" fillId="11" borderId="45" xfId="0" applyFont="1" applyFill="1" applyBorder="1" applyAlignment="1">
      <alignment horizontal="left"/>
    </xf>
    <xf numFmtId="0" fontId="2" fillId="0" borderId="41" xfId="0" applyFont="1" applyBorder="1" applyAlignment="1">
      <alignment horizontal="left"/>
    </xf>
    <xf numFmtId="0" fontId="2" fillId="0" borderId="42" xfId="0" applyFont="1" applyBorder="1" applyAlignment="1">
      <alignment horizontal="left"/>
    </xf>
    <xf numFmtId="0" fontId="12" fillId="11" borderId="42" xfId="0" applyFont="1" applyFill="1" applyBorder="1" applyAlignment="1">
      <alignment horizontal="left"/>
    </xf>
    <xf numFmtId="0" fontId="2" fillId="0" borderId="56" xfId="0" applyFont="1" applyBorder="1"/>
    <xf numFmtId="0" fontId="2" fillId="0" borderId="64" xfId="0" applyFont="1" applyBorder="1"/>
    <xf numFmtId="0" fontId="31" fillId="3" borderId="37" xfId="0" applyFont="1" applyFill="1" applyBorder="1" applyAlignment="1">
      <alignment horizontal="center" vertical="center"/>
    </xf>
    <xf numFmtId="0" fontId="31" fillId="3" borderId="38" xfId="0" applyFont="1" applyFill="1" applyBorder="1" applyAlignment="1">
      <alignment horizontal="center" vertical="center"/>
    </xf>
    <xf numFmtId="0" fontId="31" fillId="3" borderId="39" xfId="0" applyFont="1" applyFill="1" applyBorder="1" applyAlignment="1">
      <alignment horizontal="center" vertical="center"/>
    </xf>
    <xf numFmtId="0" fontId="31" fillId="3" borderId="44" xfId="0" applyFont="1" applyFill="1" applyBorder="1" applyAlignment="1">
      <alignment horizontal="center" vertical="center"/>
    </xf>
    <xf numFmtId="0" fontId="31" fillId="3" borderId="45" xfId="0" applyFont="1" applyFill="1" applyBorder="1" applyAlignment="1">
      <alignment horizontal="center" vertical="center"/>
    </xf>
    <xf numFmtId="0" fontId="2" fillId="13" borderId="61" xfId="0" applyFont="1" applyFill="1" applyBorder="1" applyProtection="1">
      <protection locked="0"/>
    </xf>
    <xf numFmtId="0" fontId="2" fillId="13" borderId="62" xfId="0" applyFont="1" applyFill="1" applyBorder="1" applyProtection="1">
      <protection locked="0"/>
    </xf>
    <xf numFmtId="0" fontId="2" fillId="0" borderId="69" xfId="0" applyFont="1" applyBorder="1"/>
    <xf numFmtId="0" fontId="2" fillId="0" borderId="4" xfId="0" applyFont="1" applyBorder="1"/>
    <xf numFmtId="168" fontId="2" fillId="0" borderId="2" xfId="0" applyNumberFormat="1" applyFont="1" applyBorder="1" applyAlignment="1">
      <alignment horizontal="center"/>
    </xf>
    <xf numFmtId="168" fontId="2" fillId="0" borderId="63" xfId="0" applyNumberFormat="1" applyFont="1" applyBorder="1" applyAlignment="1">
      <alignment horizontal="center"/>
    </xf>
    <xf numFmtId="0" fontId="2" fillId="0" borderId="69" xfId="0" applyFont="1" applyBorder="1" applyAlignment="1">
      <alignment horizontal="left" indent="1"/>
    </xf>
    <xf numFmtId="0" fontId="2" fillId="0" borderId="4" xfId="0" applyFont="1" applyBorder="1" applyAlignment="1">
      <alignment horizontal="left" indent="1"/>
    </xf>
    <xf numFmtId="0" fontId="11" fillId="11" borderId="0" xfId="18" applyFill="1" applyAlignment="1" applyProtection="1">
      <alignment horizontal="right" vertical="center"/>
    </xf>
    <xf numFmtId="0" fontId="11" fillId="12" borderId="0" xfId="18" applyFill="1" applyAlignment="1" applyProtection="1">
      <alignment horizontal="center" vertical="center"/>
    </xf>
    <xf numFmtId="0" fontId="11" fillId="11" borderId="0" xfId="18" applyFill="1" applyAlignment="1" applyProtection="1">
      <alignment horizontal="center" vertical="center" wrapText="1"/>
    </xf>
    <xf numFmtId="168" fontId="2" fillId="13" borderId="68" xfId="1" applyNumberFormat="1" applyFont="1" applyFill="1" applyBorder="1" applyAlignment="1" applyProtection="1">
      <alignment horizontal="center"/>
      <protection locked="0"/>
    </xf>
    <xf numFmtId="168" fontId="2" fillId="13" borderId="62" xfId="1" applyNumberFormat="1" applyFont="1" applyFill="1" applyBorder="1" applyAlignment="1" applyProtection="1">
      <alignment horizontal="center"/>
      <protection locked="0"/>
    </xf>
    <xf numFmtId="0" fontId="18" fillId="11" borderId="41" xfId="0" applyFont="1" applyFill="1" applyBorder="1" applyAlignment="1">
      <alignment horizontal="center"/>
    </xf>
    <xf numFmtId="0" fontId="18" fillId="11" borderId="43" xfId="0" applyFont="1" applyFill="1" applyBorder="1" applyAlignment="1">
      <alignment horizontal="center"/>
    </xf>
    <xf numFmtId="14" fontId="14" fillId="3" borderId="0" xfId="0" applyNumberFormat="1" applyFont="1" applyFill="1" applyAlignment="1">
      <alignment horizontal="right"/>
    </xf>
    <xf numFmtId="0" fontId="11" fillId="11" borderId="0" xfId="18" applyFill="1" applyAlignment="1">
      <alignment horizontal="center" vertical="center"/>
    </xf>
    <xf numFmtId="0" fontId="11" fillId="12" borderId="0" xfId="18" applyFill="1" applyAlignment="1">
      <alignment horizontal="center" vertical="center"/>
    </xf>
    <xf numFmtId="0" fontId="34" fillId="9" borderId="0" xfId="18" quotePrefix="1" applyFont="1" applyFill="1" applyAlignment="1">
      <alignment vertical="top" wrapText="1"/>
    </xf>
    <xf numFmtId="0" fontId="34" fillId="9" borderId="0" xfId="18" applyFont="1" applyFill="1" applyAlignment="1">
      <alignment vertical="top" wrapText="1"/>
    </xf>
    <xf numFmtId="0" fontId="33" fillId="9" borderId="0" xfId="0" applyFont="1" applyFill="1" applyAlignment="1">
      <alignment horizontal="left" vertical="top" wrapText="1"/>
    </xf>
    <xf numFmtId="0" fontId="10" fillId="11" borderId="44" xfId="0" applyFont="1" applyFill="1" applyBorder="1" applyAlignment="1">
      <alignment horizontal="center" vertical="center"/>
    </xf>
    <xf numFmtId="0" fontId="10" fillId="11" borderId="71" xfId="0" applyFont="1" applyFill="1" applyBorder="1" applyAlignment="1">
      <alignment horizontal="center" vertical="center"/>
    </xf>
    <xf numFmtId="0" fontId="10" fillId="11" borderId="45" xfId="0" applyFont="1" applyFill="1" applyBorder="1" applyAlignment="1">
      <alignment horizontal="center" vertical="center"/>
    </xf>
    <xf numFmtId="0" fontId="2" fillId="0" borderId="69" xfId="0" quotePrefix="1" applyFont="1" applyBorder="1"/>
    <xf numFmtId="0" fontId="2" fillId="0" borderId="4" xfId="0" quotePrefix="1" applyFont="1" applyBorder="1"/>
    <xf numFmtId="0" fontId="2" fillId="0" borderId="56" xfId="0" quotePrefix="1" applyFont="1" applyBorder="1"/>
    <xf numFmtId="0" fontId="2" fillId="0" borderId="64" xfId="0" quotePrefix="1" applyFont="1" applyBorder="1"/>
    <xf numFmtId="0" fontId="2" fillId="0" borderId="51" xfId="0" quotePrefix="1" applyFont="1" applyBorder="1"/>
    <xf numFmtId="0" fontId="2" fillId="0" borderId="65" xfId="0" quotePrefix="1" applyFont="1" applyBorder="1"/>
    <xf numFmtId="0" fontId="2" fillId="0" borderId="53" xfId="0" applyFont="1" applyBorder="1"/>
    <xf numFmtId="0" fontId="2" fillId="0" borderId="82" xfId="0" applyFont="1" applyBorder="1"/>
    <xf numFmtId="0" fontId="2" fillId="0" borderId="46" xfId="0" quotePrefix="1" applyFont="1" applyBorder="1"/>
    <xf numFmtId="0" fontId="2" fillId="0" borderId="70" xfId="0" quotePrefix="1" applyFont="1" applyBorder="1"/>
    <xf numFmtId="0" fontId="2" fillId="0" borderId="69" xfId="0" quotePrefix="1" applyFont="1" applyBorder="1" applyAlignment="1">
      <alignment horizontal="left"/>
    </xf>
    <xf numFmtId="0" fontId="2" fillId="0" borderId="4" xfId="0" quotePrefix="1" applyFont="1" applyBorder="1" applyAlignment="1">
      <alignment horizontal="left"/>
    </xf>
    <xf numFmtId="0" fontId="11" fillId="12" borderId="0" xfId="0" applyFont="1" applyFill="1" applyAlignment="1">
      <alignment horizontal="center" vertical="center"/>
    </xf>
    <xf numFmtId="0" fontId="2" fillId="0" borderId="56" xfId="0" quotePrefix="1" applyFont="1" applyBorder="1" applyAlignment="1">
      <alignment horizontal="right"/>
    </xf>
    <xf numFmtId="0" fontId="2" fillId="0" borderId="64" xfId="0" quotePrefix="1" applyFont="1" applyBorder="1" applyAlignment="1">
      <alignment horizontal="right"/>
    </xf>
    <xf numFmtId="0" fontId="2" fillId="0" borderId="69" xfId="0" quotePrefix="1" applyFont="1" applyBorder="1" applyAlignment="1">
      <alignment horizontal="right"/>
    </xf>
    <xf numFmtId="0" fontId="2" fillId="0" borderId="4" xfId="0" quotePrefix="1" applyFont="1" applyBorder="1" applyAlignment="1">
      <alignment horizontal="right"/>
    </xf>
    <xf numFmtId="0" fontId="2" fillId="0" borderId="69" xfId="0" applyFont="1" applyBorder="1" applyAlignment="1">
      <alignment horizontal="left"/>
    </xf>
    <xf numFmtId="0" fontId="2" fillId="0" borderId="4" xfId="0" applyFont="1" applyBorder="1" applyAlignment="1">
      <alignment horizontal="left"/>
    </xf>
    <xf numFmtId="0" fontId="2" fillId="0" borderId="34" xfId="0" applyFont="1" applyBorder="1"/>
    <xf numFmtId="0" fontId="2" fillId="0" borderId="84" xfId="0" applyFont="1" applyBorder="1"/>
    <xf numFmtId="0" fontId="2" fillId="0" borderId="69" xfId="0" applyFont="1" applyBorder="1" applyAlignment="1">
      <alignment horizontal="right"/>
    </xf>
    <xf numFmtId="0" fontId="2" fillId="0" borderId="4" xfId="0" applyFont="1" applyBorder="1" applyAlignment="1">
      <alignment horizontal="right"/>
    </xf>
    <xf numFmtId="0" fontId="0" fillId="9" borderId="69" xfId="0" applyFill="1" applyBorder="1"/>
    <xf numFmtId="0" fontId="0" fillId="9" borderId="3" xfId="0" applyFill="1" applyBorder="1"/>
    <xf numFmtId="0" fontId="17" fillId="11" borderId="87" xfId="0" applyFont="1" applyFill="1" applyBorder="1" applyAlignment="1">
      <alignment horizontal="center" vertical="center" wrapText="1"/>
    </xf>
    <xf numFmtId="0" fontId="17" fillId="11" borderId="90" xfId="0" applyFont="1" applyFill="1" applyBorder="1" applyAlignment="1">
      <alignment horizontal="center" vertical="center" wrapText="1"/>
    </xf>
    <xf numFmtId="0" fontId="17" fillId="11" borderId="29" xfId="0" applyFont="1" applyFill="1" applyBorder="1" applyAlignment="1">
      <alignment horizontal="center" vertical="center"/>
    </xf>
    <xf numFmtId="0" fontId="17" fillId="11" borderId="89" xfId="0" applyFont="1" applyFill="1" applyBorder="1" applyAlignment="1">
      <alignment horizontal="center" vertical="center"/>
    </xf>
    <xf numFmtId="0" fontId="17" fillId="11" borderId="94" xfId="0" applyFont="1" applyFill="1" applyBorder="1" applyAlignment="1">
      <alignment horizontal="center" vertical="center" wrapText="1"/>
    </xf>
    <xf numFmtId="0" fontId="17" fillId="8" borderId="94"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11" borderId="88" xfId="0" applyFont="1" applyFill="1" applyBorder="1" applyAlignment="1">
      <alignment horizontal="center" vertical="center" wrapText="1"/>
    </xf>
    <xf numFmtId="0" fontId="17" fillId="11" borderId="91" xfId="0" applyFont="1" applyFill="1" applyBorder="1" applyAlignment="1">
      <alignment horizontal="center" vertical="center" wrapText="1"/>
    </xf>
    <xf numFmtId="0" fontId="17" fillId="8" borderId="87" xfId="0" applyFont="1" applyFill="1" applyBorder="1" applyAlignment="1">
      <alignment horizontal="center" vertical="center" wrapText="1"/>
    </xf>
    <xf numFmtId="0" fontId="17" fillId="11" borderId="93" xfId="0" applyFont="1" applyFill="1" applyBorder="1" applyAlignment="1">
      <alignment horizontal="center" vertical="center" wrapText="1"/>
    </xf>
    <xf numFmtId="0" fontId="17" fillId="11" borderId="86" xfId="0" applyFont="1" applyFill="1" applyBorder="1" applyAlignment="1">
      <alignment horizontal="center" vertical="center"/>
    </xf>
    <xf numFmtId="0" fontId="17" fillId="8" borderId="93" xfId="0" applyFont="1" applyFill="1" applyBorder="1" applyAlignment="1">
      <alignment horizontal="center" vertical="center" wrapText="1"/>
    </xf>
    <xf numFmtId="0" fontId="2" fillId="9" borderId="56" xfId="0" applyFont="1" applyFill="1" applyBorder="1"/>
    <xf numFmtId="0" fontId="2" fillId="9" borderId="97" xfId="0" applyFont="1" applyFill="1" applyBorder="1"/>
    <xf numFmtId="0" fontId="2" fillId="9" borderId="64" xfId="0" applyFont="1" applyFill="1" applyBorder="1"/>
    <xf numFmtId="0" fontId="17" fillId="11" borderId="30"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2" xfId="0" applyFont="1" applyFill="1" applyBorder="1" applyAlignment="1">
      <alignment horizontal="center" vertical="center"/>
    </xf>
    <xf numFmtId="0" fontId="17" fillId="11" borderId="0" xfId="0" applyFont="1" applyFill="1" applyAlignment="1">
      <alignment horizontal="center" vertical="center"/>
    </xf>
    <xf numFmtId="0" fontId="17" fillId="11" borderId="33" xfId="0" applyFont="1" applyFill="1" applyBorder="1" applyAlignment="1">
      <alignment horizontal="center" vertical="center"/>
    </xf>
    <xf numFmtId="0" fontId="2" fillId="9" borderId="53" xfId="0" applyFont="1" applyFill="1" applyBorder="1"/>
    <xf numFmtId="0" fontId="2" fillId="9" borderId="61" xfId="0" applyFont="1" applyFill="1" applyBorder="1"/>
    <xf numFmtId="0" fontId="2" fillId="9" borderId="82" xfId="0" applyFont="1" applyFill="1" applyBorder="1"/>
    <xf numFmtId="0" fontId="2" fillId="9" borderId="69" xfId="0" applyFont="1" applyFill="1" applyBorder="1"/>
    <xf numFmtId="0" fontId="2" fillId="9" borderId="3" xfId="0" applyFont="1" applyFill="1" applyBorder="1"/>
    <xf numFmtId="0" fontId="2" fillId="9" borderId="4" xfId="0" applyFont="1" applyFill="1" applyBorder="1"/>
    <xf numFmtId="0" fontId="21" fillId="9" borderId="0" xfId="0" applyFont="1" applyFill="1" applyAlignment="1">
      <alignment horizontal="center" vertical="center"/>
    </xf>
    <xf numFmtId="0" fontId="11" fillId="11" borderId="0" xfId="18" applyFill="1" applyAlignment="1">
      <alignment horizontal="left" vertical="center"/>
    </xf>
    <xf numFmtId="0" fontId="31" fillId="13" borderId="44" xfId="0" applyFont="1" applyFill="1" applyBorder="1" applyAlignment="1" applyProtection="1">
      <alignment horizontal="left"/>
      <protection locked="0"/>
    </xf>
    <xf numFmtId="0" fontId="31" fillId="13" borderId="45" xfId="0" applyFont="1" applyFill="1" applyBorder="1" applyAlignment="1" applyProtection="1">
      <alignment horizontal="left"/>
      <protection locked="0"/>
    </xf>
    <xf numFmtId="0" fontId="2" fillId="0" borderId="61" xfId="0" applyFont="1" applyBorder="1"/>
    <xf numFmtId="0" fontId="2" fillId="0" borderId="3" xfId="0" quotePrefix="1" applyFont="1" applyBorder="1"/>
    <xf numFmtId="0" fontId="2" fillId="0" borderId="97" xfId="0" quotePrefix="1" applyFont="1" applyBorder="1" applyAlignment="1">
      <alignment horizontal="right"/>
    </xf>
    <xf numFmtId="0" fontId="31" fillId="3" borderId="44" xfId="0" applyFont="1" applyFill="1" applyBorder="1" applyAlignment="1" applyProtection="1">
      <alignment horizontal="left"/>
      <protection locked="0"/>
    </xf>
    <xf numFmtId="0" fontId="31" fillId="3" borderId="45" xfId="0" applyFont="1" applyFill="1" applyBorder="1" applyAlignment="1" applyProtection="1">
      <alignment horizontal="left"/>
      <protection locked="0"/>
    </xf>
    <xf numFmtId="0" fontId="12" fillId="11" borderId="50" xfId="0" applyFont="1" applyFill="1" applyBorder="1" applyAlignment="1">
      <alignment horizontal="left"/>
    </xf>
    <xf numFmtId="0" fontId="12" fillId="11" borderId="92" xfId="0" applyFont="1" applyFill="1" applyBorder="1" applyAlignment="1">
      <alignment horizontal="left"/>
    </xf>
    <xf numFmtId="0" fontId="2" fillId="3" borderId="100" xfId="0" applyFont="1" applyFill="1" applyBorder="1" applyAlignment="1">
      <alignment horizontal="left"/>
    </xf>
    <xf numFmtId="0" fontId="0" fillId="3" borderId="28" xfId="0" applyFill="1" applyBorder="1" applyAlignment="1">
      <alignment horizontal="left"/>
    </xf>
    <xf numFmtId="0" fontId="12" fillId="11" borderId="101" xfId="0" applyFont="1" applyFill="1" applyBorder="1" applyAlignment="1">
      <alignment horizontal="left"/>
    </xf>
    <xf numFmtId="0" fontId="16" fillId="11" borderId="102" xfId="0" applyFont="1" applyFill="1" applyBorder="1" applyAlignment="1">
      <alignment horizontal="left"/>
    </xf>
    <xf numFmtId="168" fontId="2" fillId="13" borderId="2" xfId="0" applyNumberFormat="1" applyFont="1" applyFill="1" applyBorder="1" applyProtection="1">
      <protection locked="0"/>
    </xf>
    <xf numFmtId="168" fontId="2" fillId="13" borderId="63" xfId="0" applyNumberFormat="1" applyFont="1" applyFill="1" applyBorder="1" applyProtection="1">
      <protection locked="0"/>
    </xf>
    <xf numFmtId="0" fontId="12" fillId="11" borderId="80" xfId="0" applyFont="1" applyFill="1" applyBorder="1" applyAlignment="1">
      <alignment wrapText="1"/>
    </xf>
    <xf numFmtId="0" fontId="12" fillId="11" borderId="81" xfId="0" applyFont="1" applyFill="1" applyBorder="1" applyAlignment="1">
      <alignment wrapText="1"/>
    </xf>
    <xf numFmtId="168" fontId="17" fillId="11" borderId="80" xfId="0" applyNumberFormat="1" applyFont="1" applyFill="1" applyBorder="1"/>
    <xf numFmtId="168" fontId="17" fillId="11" borderId="81" xfId="0" applyNumberFormat="1" applyFont="1" applyFill="1" applyBorder="1"/>
    <xf numFmtId="168" fontId="2" fillId="13" borderId="68" xfId="0" applyNumberFormat="1" applyFont="1" applyFill="1" applyBorder="1" applyProtection="1">
      <protection locked="0"/>
    </xf>
    <xf numFmtId="168" fontId="2" fillId="13" borderId="62" xfId="0" applyNumberFormat="1" applyFont="1" applyFill="1" applyBorder="1" applyProtection="1">
      <protection locked="0"/>
    </xf>
    <xf numFmtId="168" fontId="2" fillId="13" borderId="14" xfId="0" applyNumberFormat="1" applyFont="1" applyFill="1" applyBorder="1" applyProtection="1">
      <protection locked="0"/>
    </xf>
    <xf numFmtId="168" fontId="2" fillId="13" borderId="74" xfId="0" applyNumberFormat="1" applyFont="1" applyFill="1" applyBorder="1" applyProtection="1">
      <protection locked="0"/>
    </xf>
    <xf numFmtId="168" fontId="2" fillId="13" borderId="99" xfId="0" applyNumberFormat="1" applyFont="1" applyFill="1" applyBorder="1" applyProtection="1">
      <protection locked="0"/>
    </xf>
    <xf numFmtId="168" fontId="2" fillId="13" borderId="66" xfId="0" applyNumberFormat="1" applyFont="1" applyFill="1" applyBorder="1" applyProtection="1">
      <protection locked="0"/>
    </xf>
    <xf numFmtId="0" fontId="2" fillId="9" borderId="71" xfId="0" applyFont="1" applyFill="1" applyBorder="1"/>
    <xf numFmtId="0" fontId="2" fillId="9" borderId="0" xfId="0" applyFont="1" applyFill="1" applyAlignment="1">
      <alignment vertical="top" wrapText="1"/>
    </xf>
    <xf numFmtId="0" fontId="0" fillId="9" borderId="0" xfId="0" applyFill="1" applyAlignment="1">
      <alignment horizontal="left" vertical="top" wrapText="1"/>
    </xf>
    <xf numFmtId="0" fontId="27" fillId="9" borderId="0" xfId="18" applyFont="1" applyFill="1" applyAlignment="1" applyProtection="1">
      <alignment horizontal="left" vertical="top"/>
    </xf>
    <xf numFmtId="0" fontId="0" fillId="9" borderId="0" xfId="0" applyFill="1" applyAlignment="1">
      <alignment horizontal="left" wrapText="1"/>
    </xf>
    <xf numFmtId="0" fontId="21" fillId="0" borderId="0" xfId="0" applyFont="1" applyAlignment="1" applyProtection="1">
      <alignment horizontal="center"/>
      <protection locked="0"/>
    </xf>
    <xf numFmtId="0" fontId="11" fillId="11" borderId="0" xfId="18" applyFill="1" applyAlignment="1" applyProtection="1">
      <alignment horizontal="left" vertical="center"/>
    </xf>
  </cellXfs>
  <cellStyles count="20">
    <cellStyle name="Currency 2" xfId="17" xr:uid="{00000000-0005-0000-0000-000000000000}"/>
    <cellStyle name="Euro" xfId="5" xr:uid="{00000000-0005-0000-0000-000001000000}"/>
    <cellStyle name="Hyperlink 2" xfId="19" xr:uid="{00000000-0005-0000-0000-000003000000}"/>
    <cellStyle name="Komma 2" xfId="6" xr:uid="{00000000-0005-0000-0000-000004000000}"/>
    <cellStyle name="Komma 2 2" xfId="4" xr:uid="{00000000-0005-0000-0000-000005000000}"/>
    <cellStyle name="Link" xfId="18" builtinId="8" customBuiltin="1"/>
    <cellStyle name="Normal 2" xfId="16" xr:uid="{00000000-0005-0000-0000-000007000000}"/>
    <cellStyle name="Proz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xfId="0" builtinId="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4">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s>
  <tableStyles count="0" defaultTableStyle="TableStyleMedium2" defaultPivotStyle="PivotStyleMedium9"/>
  <colors>
    <mruColors>
      <color rgb="FFFBFFFD"/>
      <color rgb="FFE5FFE5"/>
      <color rgb="FF009900"/>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de-DE"/>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104000</c:v>
                </c:pt>
                <c:pt idx="1">
                  <c:v>#N/A</c:v>
                </c:pt>
                <c:pt idx="2">
                  <c:v>49858</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de-DE"/>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 ##0\ "€"</c:formatCode>
                <c:ptCount val="2"/>
                <c:pt idx="1">
                  <c:v>73.900000000000006</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 ##0\ "€"</c:formatCode>
                <c:ptCount val="2"/>
                <c:pt idx="1">
                  <c:v>260</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 ##0\ "€"</c:formatCode>
                <c:ptCount val="2"/>
                <c:pt idx="1">
                  <c:v>303.33333333333337</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 ##0\ "€"</c:formatCode>
                <c:ptCount val="2"/>
                <c:pt idx="0">
                  <c:v>570</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de-DE"/>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Darlehen'!$D$41:$BA$41</c:f>
              <c:numCache>
                <c:formatCode>#,##0</c:formatCode>
                <c:ptCount val="50"/>
                <c:pt idx="0">
                  <c:v>104000</c:v>
                </c:pt>
                <c:pt idx="1">
                  <c:v>100880</c:v>
                </c:pt>
                <c:pt idx="2">
                  <c:v>97650.8</c:v>
                </c:pt>
                <c:pt idx="3">
                  <c:v>94308.578000000009</c:v>
                </c:pt>
                <c:pt idx="4">
                  <c:v>90849.378230000002</c:v>
                </c:pt>
                <c:pt idx="5">
                  <c:v>87269.106468049999</c:v>
                </c:pt>
                <c:pt idx="6">
                  <c:v>83563.525194431742</c:v>
                </c:pt>
                <c:pt idx="7">
                  <c:v>79728.24857623686</c:v>
                </c:pt>
                <c:pt idx="8">
                  <c:v>75758.737276405154</c:v>
                </c:pt>
                <c:pt idx="9">
                  <c:v>71650.293081079333</c:v>
                </c:pt>
                <c:pt idx="10">
                  <c:v>67398.053338917118</c:v>
                </c:pt>
                <c:pt idx="11">
                  <c:v>62996.985205779216</c:v>
                </c:pt>
                <c:pt idx="12">
                  <c:v>58441.879687981491</c:v>
                </c:pt>
                <c:pt idx="13">
                  <c:v>53727.345477060844</c:v>
                </c:pt>
                <c:pt idx="14">
                  <c:v>48847.802568757972</c:v>
                </c:pt>
                <c:pt idx="15">
                  <c:v>43797.475658664502</c:v>
                </c:pt>
                <c:pt idx="16">
                  <c:v>38570.387306717763</c:v>
                </c:pt>
                <c:pt idx="17">
                  <c:v>33160.350862452884</c:v>
                </c:pt>
                <c:pt idx="18">
                  <c:v>27560.963142638735</c:v>
                </c:pt>
                <c:pt idx="19">
                  <c:v>21765.59685263109</c:v>
                </c:pt>
                <c:pt idx="20">
                  <c:v>15767.392742473177</c:v>
                </c:pt>
                <c:pt idx="21">
                  <c:v>9559.2514884597385</c:v>
                </c:pt>
                <c:pt idx="22">
                  <c:v>3133.8252905558293</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Darlehen'!$D$108:$BA$108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'Wert, AfA, Darlehen'!$D$105:$BA$105</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Darlehen'!$D$111:$BA$111</c:f>
              <c:numCache>
                <c:formatCode>#,##0</c:formatCode>
                <c:ptCount val="50"/>
                <c:pt idx="0">
                  <c:v>3640.0000000000005</c:v>
                </c:pt>
                <c:pt idx="1">
                  <c:v>7170.8000000000011</c:v>
                </c:pt>
                <c:pt idx="2">
                  <c:v>10588.578000000001</c:v>
                </c:pt>
                <c:pt idx="3">
                  <c:v>13889.378230000002</c:v>
                </c:pt>
                <c:pt idx="4">
                  <c:v>17069.106468050002</c:v>
                </c:pt>
                <c:pt idx="5">
                  <c:v>20123.525194431753</c:v>
                </c:pt>
                <c:pt idx="6">
                  <c:v>23048.248576236863</c:v>
                </c:pt>
                <c:pt idx="7">
                  <c:v>25838.737276405154</c:v>
                </c:pt>
                <c:pt idx="8">
                  <c:v>28490.293081079333</c:v>
                </c:pt>
                <c:pt idx="9">
                  <c:v>30998.053338917111</c:v>
                </c:pt>
                <c:pt idx="10">
                  <c:v>33356.985205779209</c:v>
                </c:pt>
                <c:pt idx="11">
                  <c:v>35561.879687981484</c:v>
                </c:pt>
                <c:pt idx="12">
                  <c:v>37607.345477060837</c:v>
                </c:pt>
                <c:pt idx="13">
                  <c:v>39487.802568757965</c:v>
                </c:pt>
                <c:pt idx="14">
                  <c:v>41197.475658664494</c:v>
                </c:pt>
                <c:pt idx="15">
                  <c:v>42730.387306717756</c:v>
                </c:pt>
                <c:pt idx="16">
                  <c:v>44080.350862452877</c:v>
                </c:pt>
                <c:pt idx="17">
                  <c:v>45240.963142638728</c:v>
                </c:pt>
                <c:pt idx="18">
                  <c:v>46205.596852631083</c:v>
                </c:pt>
                <c:pt idx="19">
                  <c:v>46967.392742473174</c:v>
                </c:pt>
                <c:pt idx="20">
                  <c:v>47519.251488459733</c:v>
                </c:pt>
                <c:pt idx="21">
                  <c:v>47853.825290555826</c:v>
                </c:pt>
                <c:pt idx="22">
                  <c:v>47963.509175725281</c:v>
                </c:pt>
                <c:pt idx="23">
                  <c:v>47963.509175725281</c:v>
                </c:pt>
                <c:pt idx="24">
                  <c:v>47963.509175725281</c:v>
                </c:pt>
                <c:pt idx="25">
                  <c:v>47963.509175725281</c:v>
                </c:pt>
                <c:pt idx="26">
                  <c:v>47963.509175725281</c:v>
                </c:pt>
                <c:pt idx="27">
                  <c:v>47963.509175725281</c:v>
                </c:pt>
                <c:pt idx="28">
                  <c:v>47963.509175725281</c:v>
                </c:pt>
                <c:pt idx="29">
                  <c:v>47963.509175725281</c:v>
                </c:pt>
                <c:pt idx="30">
                  <c:v>47963.509175725281</c:v>
                </c:pt>
                <c:pt idx="31">
                  <c:v>47963.509175725281</c:v>
                </c:pt>
                <c:pt idx="32">
                  <c:v>47963.509175725281</c:v>
                </c:pt>
                <c:pt idx="33">
                  <c:v>47963.509175725281</c:v>
                </c:pt>
                <c:pt idx="34">
                  <c:v>47963.509175725281</c:v>
                </c:pt>
                <c:pt idx="35">
                  <c:v>47963.509175725281</c:v>
                </c:pt>
                <c:pt idx="36">
                  <c:v>47963.509175725281</c:v>
                </c:pt>
                <c:pt idx="37">
                  <c:v>47963.509175725281</c:v>
                </c:pt>
                <c:pt idx="38">
                  <c:v>47963.509175725281</c:v>
                </c:pt>
                <c:pt idx="39">
                  <c:v>47963.509175725281</c:v>
                </c:pt>
                <c:pt idx="40">
                  <c:v>47963.509175725281</c:v>
                </c:pt>
                <c:pt idx="41">
                  <c:v>47963.509175725281</c:v>
                </c:pt>
                <c:pt idx="42">
                  <c:v>47963.509175725281</c:v>
                </c:pt>
                <c:pt idx="43">
                  <c:v>47963.509175725281</c:v>
                </c:pt>
                <c:pt idx="44">
                  <c:v>47963.509175725281</c:v>
                </c:pt>
                <c:pt idx="45">
                  <c:v>47963.509175725281</c:v>
                </c:pt>
                <c:pt idx="46">
                  <c:v>47963.509175725281</c:v>
                </c:pt>
                <c:pt idx="47">
                  <c:v>47963.509175725281</c:v>
                </c:pt>
                <c:pt idx="48">
                  <c:v>47963.509175725281</c:v>
                </c:pt>
                <c:pt idx="49">
                  <c:v>47963.509175725281</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de-DE"/>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Darlehen'!$D$9:$BA$9</c:f>
              <c:numCache>
                <c:formatCode>#,##0</c:formatCode>
                <c:ptCount val="50"/>
                <c:pt idx="0">
                  <c:v>34000</c:v>
                </c:pt>
                <c:pt idx="1">
                  <c:v>39880</c:v>
                </c:pt>
                <c:pt idx="2">
                  <c:v>45924.400000000009</c:v>
                </c:pt>
                <c:pt idx="3">
                  <c:v>52138.125999999989</c:v>
                </c:pt>
                <c:pt idx="4">
                  <c:v>58526.259850000002</c:v>
                </c:pt>
                <c:pt idx="5">
                  <c:v>65094.044373550001</c:v>
                </c:pt>
                <c:pt idx="6">
                  <c:v>71846.88866400026</c:v>
                </c:pt>
                <c:pt idx="7">
                  <c:v>78790.373559363798</c:v>
                </c:pt>
                <c:pt idx="8">
                  <c:v>85930.257301907521</c:v>
                </c:pt>
                <c:pt idx="9">
                  <c:v>93272.481388799599</c:v>
                </c:pt>
                <c:pt idx="10">
                  <c:v>100823.17662035939</c:v>
                </c:pt>
                <c:pt idx="11">
                  <c:v>108588.66935268282</c:v>
                </c:pt>
                <c:pt idx="12">
                  <c:v>116575.48796164979</c:v>
                </c:pt>
                <c:pt idx="13">
                  <c:v>124790.36952556306</c:v>
                </c:pt>
                <c:pt idx="14">
                  <c:v>133240.26673391843</c:v>
                </c:pt>
                <c:pt idx="15">
                  <c:v>141932.3550300654</c:v>
                </c:pt>
                <c:pt idx="16">
                  <c:v>150874.03999578673</c:v>
                </c:pt>
                <c:pt idx="17">
                  <c:v>160072.96498610172</c:v>
                </c:pt>
                <c:pt idx="18">
                  <c:v>169537.01902288696</c:v>
                </c:pt>
                <c:pt idx="19">
                  <c:v>179274.34495620511</c:v>
                </c:pt>
                <c:pt idx="20">
                  <c:v>189293.34790253977</c:v>
                </c:pt>
                <c:pt idx="21">
                  <c:v>199602.70396945346</c:v>
                </c:pt>
                <c:pt idx="22">
                  <c:v>210211.36927651562</c:v>
                </c:pt>
                <c:pt idx="23">
                  <c:v>217612.09845841289</c:v>
                </c:pt>
                <c:pt idx="24">
                  <c:v>221964.34042758113</c:v>
                </c:pt>
                <c:pt idx="25">
                  <c:v>226403.62723613274</c:v>
                </c:pt>
                <c:pt idx="26">
                  <c:v>230931.69978085539</c:v>
                </c:pt>
                <c:pt idx="27">
                  <c:v>235550.33377647249</c:v>
                </c:pt>
                <c:pt idx="28">
                  <c:v>240261.34045200192</c:v>
                </c:pt>
                <c:pt idx="29">
                  <c:v>245066.56726104196</c:v>
                </c:pt>
                <c:pt idx="30">
                  <c:v>249967.89860626281</c:v>
                </c:pt>
                <c:pt idx="31">
                  <c:v>254967.25657838807</c:v>
                </c:pt>
                <c:pt idx="32">
                  <c:v>260066.60170995584</c:v>
                </c:pt>
                <c:pt idx="33">
                  <c:v>265267.93374415493</c:v>
                </c:pt>
                <c:pt idx="34">
                  <c:v>270573.29241903801</c:v>
                </c:pt>
                <c:pt idx="35">
                  <c:v>275984.75826741877</c:v>
                </c:pt>
                <c:pt idx="36">
                  <c:v>281504.45343276713</c:v>
                </c:pt>
                <c:pt idx="37">
                  <c:v>287134.54250142246</c:v>
                </c:pt>
                <c:pt idx="38">
                  <c:v>292877.23335145094</c:v>
                </c:pt>
                <c:pt idx="39">
                  <c:v>298734.77801847993</c:v>
                </c:pt>
                <c:pt idx="40">
                  <c:v>304709.47357884952</c:v>
                </c:pt>
                <c:pt idx="41">
                  <c:v>310803.66305042652</c:v>
                </c:pt>
                <c:pt idx="42">
                  <c:v>317019.73631143506</c:v>
                </c:pt>
                <c:pt idx="43">
                  <c:v>323360.13103766378</c:v>
                </c:pt>
                <c:pt idx="44">
                  <c:v>329827.33365841705</c:v>
                </c:pt>
                <c:pt idx="45">
                  <c:v>336423.88033158542</c:v>
                </c:pt>
                <c:pt idx="46">
                  <c:v>343152.35793821712</c:v>
                </c:pt>
                <c:pt idx="47">
                  <c:v>350015.40509698144</c:v>
                </c:pt>
                <c:pt idx="48">
                  <c:v>357015.71319892106</c:v>
                </c:pt>
                <c:pt idx="49">
                  <c:v>364156.02746289951</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Darlehen'!$D$8:$BA$8</c:f>
              <c:numCache>
                <c:formatCode>#,##0</c:formatCode>
                <c:ptCount val="50"/>
                <c:pt idx="0">
                  <c:v>138000</c:v>
                </c:pt>
                <c:pt idx="1">
                  <c:v>140760</c:v>
                </c:pt>
                <c:pt idx="2">
                  <c:v>143575.20000000001</c:v>
                </c:pt>
                <c:pt idx="3">
                  <c:v>146446.704</c:v>
                </c:pt>
                <c:pt idx="4">
                  <c:v>149375.63808</c:v>
                </c:pt>
                <c:pt idx="5">
                  <c:v>152363.1508416</c:v>
                </c:pt>
                <c:pt idx="6">
                  <c:v>155410.413858432</c:v>
                </c:pt>
                <c:pt idx="7">
                  <c:v>158518.62213560066</c:v>
                </c:pt>
                <c:pt idx="8">
                  <c:v>161688.99457831268</c:v>
                </c:pt>
                <c:pt idx="9">
                  <c:v>164922.77446987893</c:v>
                </c:pt>
                <c:pt idx="10">
                  <c:v>168221.2299592765</c:v>
                </c:pt>
                <c:pt idx="11">
                  <c:v>171585.65455846203</c:v>
                </c:pt>
                <c:pt idx="12">
                  <c:v>175017.36764963128</c:v>
                </c:pt>
                <c:pt idx="13">
                  <c:v>178517.71500262391</c:v>
                </c:pt>
                <c:pt idx="14">
                  <c:v>182088.06930267639</c:v>
                </c:pt>
                <c:pt idx="15">
                  <c:v>185729.83068872991</c:v>
                </c:pt>
                <c:pt idx="16">
                  <c:v>189444.42730250451</c:v>
                </c:pt>
                <c:pt idx="17">
                  <c:v>193233.3158485546</c:v>
                </c:pt>
                <c:pt idx="18">
                  <c:v>197097.9821655257</c:v>
                </c:pt>
                <c:pt idx="19">
                  <c:v>201039.94180883621</c:v>
                </c:pt>
                <c:pt idx="20">
                  <c:v>205060.74064501293</c:v>
                </c:pt>
                <c:pt idx="21">
                  <c:v>209161.95545791319</c:v>
                </c:pt>
                <c:pt idx="22">
                  <c:v>213345.19456707145</c:v>
                </c:pt>
                <c:pt idx="23">
                  <c:v>217612.09845841289</c:v>
                </c:pt>
                <c:pt idx="24">
                  <c:v>221964.34042758113</c:v>
                </c:pt>
                <c:pt idx="25">
                  <c:v>226403.62723613274</c:v>
                </c:pt>
                <c:pt idx="26">
                  <c:v>230931.69978085539</c:v>
                </c:pt>
                <c:pt idx="27">
                  <c:v>235550.33377647249</c:v>
                </c:pt>
                <c:pt idx="28">
                  <c:v>240261.34045200192</c:v>
                </c:pt>
                <c:pt idx="29">
                  <c:v>245066.56726104196</c:v>
                </c:pt>
                <c:pt idx="30">
                  <c:v>249967.89860626281</c:v>
                </c:pt>
                <c:pt idx="31">
                  <c:v>254967.25657838807</c:v>
                </c:pt>
                <c:pt idx="32">
                  <c:v>260066.60170995584</c:v>
                </c:pt>
                <c:pt idx="33">
                  <c:v>265267.93374415493</c:v>
                </c:pt>
                <c:pt idx="34">
                  <c:v>270573.29241903801</c:v>
                </c:pt>
                <c:pt idx="35">
                  <c:v>275984.75826741877</c:v>
                </c:pt>
                <c:pt idx="36">
                  <c:v>281504.45343276713</c:v>
                </c:pt>
                <c:pt idx="37">
                  <c:v>287134.54250142246</c:v>
                </c:pt>
                <c:pt idx="38">
                  <c:v>292877.23335145094</c:v>
                </c:pt>
                <c:pt idx="39">
                  <c:v>298734.77801847993</c:v>
                </c:pt>
                <c:pt idx="40">
                  <c:v>304709.47357884952</c:v>
                </c:pt>
                <c:pt idx="41">
                  <c:v>310803.66305042652</c:v>
                </c:pt>
                <c:pt idx="42">
                  <c:v>317019.73631143506</c:v>
                </c:pt>
                <c:pt idx="43">
                  <c:v>323360.13103766378</c:v>
                </c:pt>
                <c:pt idx="44">
                  <c:v>329827.33365841705</c:v>
                </c:pt>
                <c:pt idx="45">
                  <c:v>336423.88033158542</c:v>
                </c:pt>
                <c:pt idx="46">
                  <c:v>343152.35793821712</c:v>
                </c:pt>
                <c:pt idx="47">
                  <c:v>350015.40509698144</c:v>
                </c:pt>
                <c:pt idx="48">
                  <c:v>357015.71319892106</c:v>
                </c:pt>
                <c:pt idx="49">
                  <c:v>364156.02746289951</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de-DE"/>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0E6B-44FB-8016-D60CA38A1E64}"/>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Diagramme!$C$10:$C$12</c:f>
              <c:strCache>
                <c:ptCount val="3"/>
                <c:pt idx="0">
                  <c:v>Kaufpreis</c:v>
                </c:pt>
                <c:pt idx="1">
                  <c:v>Nebenkosten</c:v>
                </c:pt>
                <c:pt idx="2">
                  <c:v>Anfängl. Invest.</c:v>
                </c:pt>
              </c:strCache>
            </c:strRef>
          </c:cat>
          <c:val>
            <c:numRef>
              <c:f>Diagramme!$D$10:$D$12</c:f>
              <c:numCache>
                <c:formatCode>#\ ##0\ "€"</c:formatCode>
                <c:ptCount val="3"/>
                <c:pt idx="0">
                  <c:v>130000</c:v>
                </c:pt>
                <c:pt idx="1">
                  <c:v>13858</c:v>
                </c:pt>
                <c:pt idx="2">
                  <c:v>10000</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de-DE"/>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F3DD-4548-9A17-DB7CEA3856BE}"/>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de-DE"/>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104000</c:v>
                </c:pt>
                <c:pt idx="1">
                  <c:v>#N/A</c:v>
                </c:pt>
                <c:pt idx="2">
                  <c:v>49858</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de-DE"/>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Diagramme!$L$11</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Diagramme!$M$11:$N$11</c:f>
              <c:numCache>
                <c:formatCode>0</c:formatCode>
                <c:ptCount val="2"/>
                <c:pt idx="1">
                  <c:v>133.9</c:v>
                </c:pt>
              </c:numCache>
            </c:numRef>
          </c:val>
          <c:extLst>
            <c:ext xmlns:c16="http://schemas.microsoft.com/office/drawing/2014/chart" uri="{C3380CC4-5D6E-409C-BE32-E72D297353CC}">
              <c16:uniqueId val="{00000007-D5E1-42F8-A469-89C362C3B0DF}"/>
            </c:ext>
          </c:extLst>
        </c:ser>
        <c:ser>
          <c:idx val="5"/>
          <c:order val="1"/>
          <c:tx>
            <c:strRef>
              <c:f>Diagramme!$L$12</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303.33333333333337</c:v>
                </c:pt>
              </c:numCache>
            </c:numRef>
          </c:val>
          <c:extLst>
            <c:ext xmlns:c16="http://schemas.microsoft.com/office/drawing/2014/chart" uri="{C3380CC4-5D6E-409C-BE32-E72D297353CC}">
              <c16:uniqueId val="{00000005-D5E1-42F8-A469-89C362C3B0DF}"/>
            </c:ext>
          </c:extLst>
        </c:ser>
        <c:ser>
          <c:idx val="4"/>
          <c:order val="2"/>
          <c:tx>
            <c:strRef>
              <c:f>Diagramme!$L$14</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29.661444444444431</c:v>
                </c:pt>
              </c:numCache>
            </c:numRef>
          </c:val>
          <c:extLst>
            <c:ext xmlns:c16="http://schemas.microsoft.com/office/drawing/2014/chart" uri="{C3380CC4-5D6E-409C-BE32-E72D297353CC}">
              <c16:uniqueId val="{00000003-D5E1-42F8-A469-89C362C3B0DF}"/>
            </c:ext>
          </c:extLst>
        </c:ser>
        <c:ser>
          <c:idx val="3"/>
          <c:order val="3"/>
          <c:tx>
            <c:strRef>
              <c:f>Diagramme!$L$13</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260</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Bruttokaltmiete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630</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crossAx val="190957440"/>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Cashflow im Zeitverlauf</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Cashflow nach Steuern pro Monat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Steuern'!$D$28:$BA$28</c:f>
              <c:numCache>
                <c:formatCode>#\ ##0\ "€"</c:formatCode>
                <c:ptCount val="50"/>
                <c:pt idx="0">
                  <c:v>-96.894777777777776</c:v>
                </c:pt>
                <c:pt idx="1">
                  <c:v>-91.683777777777749</c:v>
                </c:pt>
                <c:pt idx="2">
                  <c:v>-86.325687777777773</c:v>
                </c:pt>
                <c:pt idx="3">
                  <c:v>-80.81655287777761</c:v>
                </c:pt>
                <c:pt idx="4">
                  <c:v>-75.152318241777763</c:v>
                </c:pt>
                <c:pt idx="5">
                  <c:v>-69.328826808342669</c:v>
                </c:pt>
                <c:pt idx="6">
                  <c:v>-63.341816958362415</c:v>
                </c:pt>
                <c:pt idx="7">
                  <c:v>-57.186920139648947</c:v>
                </c:pt>
                <c:pt idx="8">
                  <c:v>-50.85965844803664</c:v>
                </c:pt>
                <c:pt idx="9">
                  <c:v>-44.355442164676361</c:v>
                </c:pt>
                <c:pt idx="10">
                  <c:v>-37.669567249234092</c:v>
                </c:pt>
                <c:pt idx="11">
                  <c:v>-30.797212788743252</c:v>
                </c:pt>
                <c:pt idx="12">
                  <c:v>-23.733438401877606</c:v>
                </c:pt>
                <c:pt idx="13">
                  <c:v>-16.473181598456733</c:v>
                </c:pt>
                <c:pt idx="14">
                  <c:v>-9.0112550940174856</c:v>
                </c:pt>
                <c:pt idx="15">
                  <c:v>-23.564566301557193</c:v>
                </c:pt>
                <c:pt idx="16">
                  <c:v>-15.683225667025681</c:v>
                </c:pt>
                <c:pt idx="17">
                  <c:v>-7.5838771818666828</c:v>
                </c:pt>
                <c:pt idx="18">
                  <c:v>0.73919337183991729</c:v>
                </c:pt>
                <c:pt idx="19">
                  <c:v>9.2918391102413125</c:v>
                </c:pt>
                <c:pt idx="20">
                  <c:v>18.080055003814778</c:v>
                </c:pt>
                <c:pt idx="21">
                  <c:v>27.109980878325416</c:v>
                </c:pt>
                <c:pt idx="22">
                  <c:v>329.42880648331698</c:v>
                </c:pt>
                <c:pt idx="23">
                  <c:v>613.35617042925992</c:v>
                </c:pt>
                <c:pt idx="24">
                  <c:v>631.17981641249548</c:v>
                </c:pt>
                <c:pt idx="25">
                  <c:v>649.55230079263492</c:v>
                </c:pt>
                <c:pt idx="26">
                  <c:v>668.49037130193437</c:v>
                </c:pt>
                <c:pt idx="27">
                  <c:v>688.01128375622284</c:v>
                </c:pt>
                <c:pt idx="28">
                  <c:v>708.13281741044466</c:v>
                </c:pt>
                <c:pt idx="29">
                  <c:v>728.87329077712411</c:v>
                </c:pt>
                <c:pt idx="30">
                  <c:v>750.25157792169102</c:v>
                </c:pt>
                <c:pt idx="31">
                  <c:v>772.28712524902016</c:v>
                </c:pt>
                <c:pt idx="32">
                  <c:v>794.99996879596267</c:v>
                </c:pt>
                <c:pt idx="33">
                  <c:v>818.41075204510264</c:v>
                </c:pt>
                <c:pt idx="34">
                  <c:v>842.54074427542241</c:v>
                </c:pt>
                <c:pt idx="35">
                  <c:v>867.41185946603093</c:v>
                </c:pt>
                <c:pt idx="36">
                  <c:v>893.04667576960469</c:v>
                </c:pt>
                <c:pt idx="37">
                  <c:v>919.4684555726775</c:v>
                </c:pt>
                <c:pt idx="38">
                  <c:v>946.70116616044209</c:v>
                </c:pt>
                <c:pt idx="39">
                  <c:v>974.76950100425142</c:v>
                </c:pt>
                <c:pt idx="40">
                  <c:v>1003.6989016905552</c:v>
                </c:pt>
                <c:pt idx="41">
                  <c:v>1033.5155805105712</c:v>
                </c:pt>
                <c:pt idx="42">
                  <c:v>1064.2465437305736</c:v>
                </c:pt>
                <c:pt idx="43">
                  <c:v>1095.9196155632703</c:v>
                </c:pt>
                <c:pt idx="44">
                  <c:v>1128.5634628613634</c:v>
                </c:pt>
                <c:pt idx="45">
                  <c:v>1162.2076205550227</c:v>
                </c:pt>
                <c:pt idx="46">
                  <c:v>1196.8825178556485</c:v>
                </c:pt>
                <c:pt idx="47">
                  <c:v>1232.619505248972</c:v>
                </c:pt>
                <c:pt idx="48">
                  <c:v>1269.4508823012493</c:v>
                </c:pt>
                <c:pt idx="49">
                  <c:v>1307.4099263029907</c:v>
                </c:pt>
              </c:numCache>
            </c:numRef>
          </c:val>
          <c:extLst>
            <c:ext xmlns:c16="http://schemas.microsoft.com/office/drawing/2014/chart" uri="{C3380CC4-5D6E-409C-BE32-E72D297353CC}">
              <c16:uniqueId val="{00000000-296C-4CCA-82E2-ED1E075C500E}"/>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Cashflow nach Steuern im Zeitverlauf (</a:t>
            </a:r>
            <a:r>
              <a:rPr lang="de-DE" sz="1600" b="0" i="0" u="none" strike="noStrike" baseline="0">
                <a:effectLst/>
              </a:rPr>
              <a:t>inkl. Eigenkapitaleinsatz)</a:t>
            </a:r>
            <a:endParaRPr lang="de-DE" sz="1600" b="0" i="0" u="none" strike="noStrike" kern="1200" baseline="0">
              <a:solidFill>
                <a:sysClr val="windowText" lastClr="000000"/>
              </a:solidFill>
              <a:latin typeface="Century Gothic" panose="020B0502020202020204" pitchFamily="34" charset="0"/>
              <a:ea typeface="+mn-ea"/>
              <a:cs typeface="+mn-cs"/>
            </a:endParaRP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Cashflow nach Steuern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Steuern'!$D$33:$BA$33</c:f>
              <c:numCache>
                <c:formatCode>#\ ##0\ "€"</c:formatCode>
                <c:ptCount val="50"/>
                <c:pt idx="0">
                  <c:v>-51020.737333333331</c:v>
                </c:pt>
                <c:pt idx="1">
                  <c:v>-52120.94266666667</c:v>
                </c:pt>
                <c:pt idx="2">
                  <c:v>-53156.850919999997</c:v>
                </c:pt>
                <c:pt idx="3">
                  <c:v>-54126.649554533331</c:v>
                </c:pt>
                <c:pt idx="4">
                  <c:v>-55028.477373434667</c:v>
                </c:pt>
                <c:pt idx="5">
                  <c:v>-55860.423295134773</c:v>
                </c:pt>
                <c:pt idx="6">
                  <c:v>-56620.525098635124</c:v>
                </c:pt>
                <c:pt idx="7">
                  <c:v>-57306.768140310909</c:v>
                </c:pt>
                <c:pt idx="8">
                  <c:v>-57917.084041687354</c:v>
                </c:pt>
                <c:pt idx="9">
                  <c:v>-58449.349347663469</c:v>
                </c:pt>
                <c:pt idx="10">
                  <c:v>-58901.384154654275</c:v>
                </c:pt>
                <c:pt idx="11">
                  <c:v>-59270.950708119199</c:v>
                </c:pt>
                <c:pt idx="12">
                  <c:v>-59555.751968941724</c:v>
                </c:pt>
                <c:pt idx="13">
                  <c:v>-59753.430148123211</c:v>
                </c:pt>
                <c:pt idx="14">
                  <c:v>-59861.565209251421</c:v>
                </c:pt>
                <c:pt idx="15">
                  <c:v>-60144.340004870108</c:v>
                </c:pt>
                <c:pt idx="16">
                  <c:v>-60332.538712874419</c:v>
                </c:pt>
                <c:pt idx="17">
                  <c:v>-60423.545239056817</c:v>
                </c:pt>
                <c:pt idx="18">
                  <c:v>-60414.674918594734</c:v>
                </c:pt>
                <c:pt idx="19">
                  <c:v>-60303.172849271839</c:v>
                </c:pt>
                <c:pt idx="20">
                  <c:v>-60086.212189226062</c:v>
                </c:pt>
                <c:pt idx="21">
                  <c:v>-59760.892418686155</c:v>
                </c:pt>
                <c:pt idx="22">
                  <c:v>-55807.746740886352</c:v>
                </c:pt>
                <c:pt idx="23">
                  <c:v>-48447.472695735232</c:v>
                </c:pt>
                <c:pt idx="24">
                  <c:v>-40873.314898785291</c:v>
                </c:pt>
                <c:pt idx="25">
                  <c:v>-33078.687289273672</c:v>
                </c:pt>
                <c:pt idx="26">
                  <c:v>-25056.802833650458</c:v>
                </c:pt>
                <c:pt idx="27">
                  <c:v>-16800.667428575784</c:v>
                </c:pt>
                <c:pt idx="28">
                  <c:v>-8303.073619650444</c:v>
                </c:pt>
                <c:pt idx="29">
                  <c:v>443.4058696750435</c:v>
                </c:pt>
                <c:pt idx="30">
                  <c:v>9446.4248047353321</c:v>
                </c:pt>
                <c:pt idx="31">
                  <c:v>18713.87030772357</c:v>
                </c:pt>
                <c:pt idx="32">
                  <c:v>28253.869933275128</c:v>
                </c:pt>
                <c:pt idx="33">
                  <c:v>38074.798957816354</c:v>
                </c:pt>
                <c:pt idx="34">
                  <c:v>48185.28788912142</c:v>
                </c:pt>
                <c:pt idx="35">
                  <c:v>58594.230202713792</c:v>
                </c:pt>
                <c:pt idx="36">
                  <c:v>69310.790311949051</c:v>
                </c:pt>
                <c:pt idx="37">
                  <c:v>80344.411778821173</c:v>
                </c:pt>
                <c:pt idx="38">
                  <c:v>91704.825772746466</c:v>
                </c:pt>
                <c:pt idx="39">
                  <c:v>103402.05978479749</c:v>
                </c:pt>
                <c:pt idx="40">
                  <c:v>115446.44660508414</c:v>
                </c:pt>
                <c:pt idx="41">
                  <c:v>127848.63357121099</c:v>
                </c:pt>
                <c:pt idx="42">
                  <c:v>140619.59209597786</c:v>
                </c:pt>
                <c:pt idx="43">
                  <c:v>153770.62748273709</c:v>
                </c:pt>
                <c:pt idx="44">
                  <c:v>167313.38903707344</c:v>
                </c:pt>
                <c:pt idx="45">
                  <c:v>181259.88048373372</c:v>
                </c:pt>
                <c:pt idx="46">
                  <c:v>195622.4706980015</c:v>
                </c:pt>
                <c:pt idx="47">
                  <c:v>210413.90476098916</c:v>
                </c:pt>
                <c:pt idx="48">
                  <c:v>225647.31534860417</c:v>
                </c:pt>
                <c:pt idx="49">
                  <c:v>241336.23446424009</c:v>
                </c:pt>
              </c:numCache>
            </c:numRef>
          </c:val>
          <c:extLst>
            <c:ext xmlns:c16="http://schemas.microsoft.com/office/drawing/2014/chart" uri="{C3380CC4-5D6E-409C-BE32-E72D297353CC}">
              <c16:uniqueId val="{00000000-E98F-4825-B564-7A59FEAC57D3}"/>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79951061117360334"/>
          <c:y val="6.9060586176727903E-2"/>
          <c:w val="0.1821615298087739"/>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93DD1D7E-0324-44AB-967F-F352C06A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66675</xdr:colOff>
      <xdr:row>0</xdr:row>
      <xdr:rowOff>76200</xdr:rowOff>
    </xdr:from>
    <xdr:to>
      <xdr:col>0</xdr:col>
      <xdr:colOff>472542</xdr:colOff>
      <xdr:row>2</xdr:row>
      <xdr:rowOff>104775</xdr:rowOff>
    </xdr:to>
    <xdr:pic>
      <xdr:nvPicPr>
        <xdr:cNvPr id="3" name="Picture 2">
          <a:extLst>
            <a:ext uri="{FF2B5EF4-FFF2-40B4-BE49-F238E27FC236}">
              <a16:creationId xmlns:a16="http://schemas.microsoft.com/office/drawing/2014/main" id="{54C076A3-0608-47A8-B449-BB6289DD4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0</xdr:row>
      <xdr:rowOff>76200</xdr:rowOff>
    </xdr:from>
    <xdr:to>
      <xdr:col>18</xdr:col>
      <xdr:colOff>685800</xdr:colOff>
      <xdr:row>2</xdr:row>
      <xdr:rowOff>85725</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4992350" y="76200"/>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76200</xdr:colOff>
      <xdr:row>0</xdr:row>
      <xdr:rowOff>76200</xdr:rowOff>
    </xdr:from>
    <xdr:to>
      <xdr:col>1</xdr:col>
      <xdr:colOff>253467</xdr:colOff>
      <xdr:row>2</xdr:row>
      <xdr:rowOff>104775</xdr:rowOff>
    </xdr:to>
    <xdr:pic>
      <xdr:nvPicPr>
        <xdr:cNvPr id="6" name="Picture 5">
          <a:extLst>
            <a:ext uri="{FF2B5EF4-FFF2-40B4-BE49-F238E27FC236}">
              <a16:creationId xmlns:a16="http://schemas.microsoft.com/office/drawing/2014/main" id="{08C3F073-B5E9-4105-829F-B0C69452F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twoCellAnchor editAs="oneCell">
    <xdr:from>
      <xdr:col>18</xdr:col>
      <xdr:colOff>85725</xdr:colOff>
      <xdr:row>0</xdr:row>
      <xdr:rowOff>152400</xdr:rowOff>
    </xdr:from>
    <xdr:to>
      <xdr:col>18</xdr:col>
      <xdr:colOff>323850</xdr:colOff>
      <xdr:row>2</xdr:row>
      <xdr:rowOff>38100</xdr:rowOff>
    </xdr:to>
    <xdr:pic>
      <xdr:nvPicPr>
        <xdr:cNvPr id="7" name="Picture 6">
          <a:hlinkClick xmlns:r="http://schemas.openxmlformats.org/officeDocument/2006/relationships" r:id="rId3"/>
          <a:extLst>
            <a:ext uri="{FF2B5EF4-FFF2-40B4-BE49-F238E27FC236}">
              <a16:creationId xmlns:a16="http://schemas.microsoft.com/office/drawing/2014/main" id="{028E440F-8CE8-4B41-84A1-3502D6AB9E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16150" y="152400"/>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75142</xdr:rowOff>
    </xdr:from>
    <xdr:to>
      <xdr:col>9</xdr:col>
      <xdr:colOff>646964</xdr:colOff>
      <xdr:row>21</xdr:row>
      <xdr:rowOff>22042</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stretch>
          <a:fillRect/>
        </a:stretch>
      </xdr:blipFill>
      <xdr:spPr>
        <a:xfrm>
          <a:off x="5326595" y="1865842"/>
          <a:ext cx="3416619" cy="23472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4035" t="-449" r="13985" b="449"/>
        <a:stretch/>
      </xdr:blipFill>
      <xdr:spPr>
        <a:xfrm>
          <a:off x="503767" y="2530474"/>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47625</xdr:colOff>
      <xdr:row>0</xdr:row>
      <xdr:rowOff>76200</xdr:rowOff>
    </xdr:from>
    <xdr:to>
      <xdr:col>2</xdr:col>
      <xdr:colOff>24867</xdr:colOff>
      <xdr:row>2</xdr:row>
      <xdr:rowOff>104775</xdr:rowOff>
    </xdr:to>
    <xdr:pic>
      <xdr:nvPicPr>
        <xdr:cNvPr id="8" name="Picture 7">
          <a:extLst>
            <a:ext uri="{FF2B5EF4-FFF2-40B4-BE49-F238E27FC236}">
              <a16:creationId xmlns:a16="http://schemas.microsoft.com/office/drawing/2014/main" id="{B7C18A3D-5607-4FC7-BE7E-25BAA35F40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234417</xdr:colOff>
      <xdr:row>2</xdr:row>
      <xdr:rowOff>95250</xdr:rowOff>
    </xdr:to>
    <xdr:pic>
      <xdr:nvPicPr>
        <xdr:cNvPr id="3" name="Picture 2">
          <a:extLst>
            <a:ext uri="{FF2B5EF4-FFF2-40B4-BE49-F238E27FC236}">
              <a16:creationId xmlns:a16="http://schemas.microsoft.com/office/drawing/2014/main" id="{C82DABBE-A599-43D6-B875-8B0EA2425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66675"/>
          <a:ext cx="405867"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1</xdr:col>
      <xdr:colOff>234417</xdr:colOff>
      <xdr:row>2</xdr:row>
      <xdr:rowOff>104775</xdr:rowOff>
    </xdr:to>
    <xdr:pic>
      <xdr:nvPicPr>
        <xdr:cNvPr id="4" name="Picture 3">
          <a:extLst>
            <a:ext uri="{FF2B5EF4-FFF2-40B4-BE49-F238E27FC236}">
              <a16:creationId xmlns:a16="http://schemas.microsoft.com/office/drawing/2014/main" id="{B8B82143-C217-46A4-8C28-29D96CB0B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405867"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85725</xdr:rowOff>
    </xdr:from>
    <xdr:to>
      <xdr:col>1</xdr:col>
      <xdr:colOff>243942</xdr:colOff>
      <xdr:row>2</xdr:row>
      <xdr:rowOff>76200</xdr:rowOff>
    </xdr:to>
    <xdr:pic>
      <xdr:nvPicPr>
        <xdr:cNvPr id="3" name="Picture 2">
          <a:extLst>
            <a:ext uri="{FF2B5EF4-FFF2-40B4-BE49-F238E27FC236}">
              <a16:creationId xmlns:a16="http://schemas.microsoft.com/office/drawing/2014/main" id="{B9E017DD-CC5C-4FDB-A811-01862DB12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85725"/>
          <a:ext cx="405867"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54</xdr:row>
      <xdr:rowOff>0</xdr:rowOff>
    </xdr:from>
    <xdr:to>
      <xdr:col>18</xdr:col>
      <xdr:colOff>19050</xdr:colOff>
      <xdr:row>71</xdr:row>
      <xdr:rowOff>28575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28576</xdr:colOff>
      <xdr:row>90</xdr:row>
      <xdr:rowOff>28575</xdr:rowOff>
    </xdr:from>
    <xdr:to>
      <xdr:col>18</xdr:col>
      <xdr:colOff>38101</xdr:colOff>
      <xdr:row>104</xdr:row>
      <xdr:rowOff>104775</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72</xdr:row>
      <xdr:rowOff>9525</xdr:rowOff>
    </xdr:from>
    <xdr:to>
      <xdr:col>18</xdr:col>
      <xdr:colOff>28575</xdr:colOff>
      <xdr:row>89</xdr:row>
      <xdr:rowOff>39825</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752474</xdr:colOff>
      <xdr:row>6</xdr:row>
      <xdr:rowOff>114300</xdr:rowOff>
    </xdr:from>
    <xdr:to>
      <xdr:col>18</xdr:col>
      <xdr:colOff>9524</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21</xdr:row>
      <xdr:rowOff>123825</xdr:rowOff>
    </xdr:from>
    <xdr:to>
      <xdr:col>18</xdr:col>
      <xdr:colOff>28575</xdr:colOff>
      <xdr:row>36</xdr:row>
      <xdr:rowOff>0</xdr:rowOff>
    </xdr:to>
    <xdr:graphicFrame macro="">
      <xdr:nvGraphicFramePr>
        <xdr:cNvPr id="14" name="Diagramm 2">
          <a:extLst>
            <a:ext uri="{FF2B5EF4-FFF2-40B4-BE49-F238E27FC236}">
              <a16:creationId xmlns:a16="http://schemas.microsoft.com/office/drawing/2014/main" id="{BFBD9BD7-CAD4-42DF-BA59-F0BA6DE6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36</xdr:row>
      <xdr:rowOff>152400</xdr:rowOff>
    </xdr:from>
    <xdr:to>
      <xdr:col>18</xdr:col>
      <xdr:colOff>28575</xdr:colOff>
      <xdr:row>51</xdr:row>
      <xdr:rowOff>28575</xdr:rowOff>
    </xdr:to>
    <xdr:graphicFrame macro="">
      <xdr:nvGraphicFramePr>
        <xdr:cNvPr id="13" name="Diagramm 2">
          <a:extLst>
            <a:ext uri="{FF2B5EF4-FFF2-40B4-BE49-F238E27FC236}">
              <a16:creationId xmlns:a16="http://schemas.microsoft.com/office/drawing/2014/main" id="{844469DE-4E38-4190-9DB4-B7A26DD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0</xdr:row>
      <xdr:rowOff>66675</xdr:rowOff>
    </xdr:from>
    <xdr:to>
      <xdr:col>0</xdr:col>
      <xdr:colOff>472542</xdr:colOff>
      <xdr:row>2</xdr:row>
      <xdr:rowOff>95250</xdr:rowOff>
    </xdr:to>
    <xdr:pic>
      <xdr:nvPicPr>
        <xdr:cNvPr id="11" name="Picture 10">
          <a:extLst>
            <a:ext uri="{FF2B5EF4-FFF2-40B4-BE49-F238E27FC236}">
              <a16:creationId xmlns:a16="http://schemas.microsoft.com/office/drawing/2014/main" id="{22D3FE39-9A89-4D9C-9698-5475159A54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675" y="66675"/>
          <a:ext cx="405867"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282042</xdr:colOff>
      <xdr:row>2</xdr:row>
      <xdr:rowOff>104775</xdr:rowOff>
    </xdr:to>
    <xdr:pic>
      <xdr:nvPicPr>
        <xdr:cNvPr id="3" name="Picture 2">
          <a:extLst>
            <a:ext uri="{FF2B5EF4-FFF2-40B4-BE49-F238E27FC236}">
              <a16:creationId xmlns:a16="http://schemas.microsoft.com/office/drawing/2014/main" id="{02997BF2-73DA-40C7-B73D-CA74461C3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186792</xdr:colOff>
      <xdr:row>2</xdr:row>
      <xdr:rowOff>104775</xdr:rowOff>
    </xdr:to>
    <xdr:pic>
      <xdr:nvPicPr>
        <xdr:cNvPr id="4" name="Picture 3">
          <a:extLst>
            <a:ext uri="{FF2B5EF4-FFF2-40B4-BE49-F238E27FC236}">
              <a16:creationId xmlns:a16="http://schemas.microsoft.com/office/drawing/2014/main" id="{A50F2F82-DDBF-4DDE-95D5-9DE0131C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3" name="Picture 2">
          <a:extLst>
            <a:ext uri="{FF2B5EF4-FFF2-40B4-BE49-F238E27FC236}">
              <a16:creationId xmlns:a16="http://schemas.microsoft.com/office/drawing/2014/main" id="{49D6A657-1B3B-4B5C-8D64-CEE1C1BB4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2" name="Picture 1">
          <a:extLst>
            <a:ext uri="{FF2B5EF4-FFF2-40B4-BE49-F238E27FC236}">
              <a16:creationId xmlns:a16="http://schemas.microsoft.com/office/drawing/2014/main" id="{05D2EF2C-E2EE-41A5-81C0-63625626B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twoCellAnchor editAs="oneCell">
    <xdr:from>
      <xdr:col>12</xdr:col>
      <xdr:colOff>409574</xdr:colOff>
      <xdr:row>5</xdr:row>
      <xdr:rowOff>38101</xdr:rowOff>
    </xdr:from>
    <xdr:to>
      <xdr:col>13</xdr:col>
      <xdr:colOff>723899</xdr:colOff>
      <xdr:row>8</xdr:row>
      <xdr:rowOff>126821</xdr:rowOff>
    </xdr:to>
    <xdr:pic>
      <xdr:nvPicPr>
        <xdr:cNvPr id="4" name="Picture 3">
          <a:extLst>
            <a:ext uri="{FF2B5EF4-FFF2-40B4-BE49-F238E27FC236}">
              <a16:creationId xmlns:a16="http://schemas.microsoft.com/office/drawing/2014/main" id="{759C5F01-ACE3-4332-8886-7C04181886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2649" y="952501"/>
          <a:ext cx="1076325" cy="717370"/>
        </a:xfrm>
        <a:prstGeom prst="rect">
          <a:avLst/>
        </a:prstGeom>
        <a:ln w="12700">
          <a:solidFill>
            <a:schemeClr val="bg1">
              <a:lumMod val="75000"/>
            </a:schemeClr>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0</xdr:col>
      <xdr:colOff>472542</xdr:colOff>
      <xdr:row>2</xdr:row>
      <xdr:rowOff>104775</xdr:rowOff>
    </xdr:to>
    <xdr:pic>
      <xdr:nvPicPr>
        <xdr:cNvPr id="5" name="Picture 4">
          <a:extLst>
            <a:ext uri="{FF2B5EF4-FFF2-40B4-BE49-F238E27FC236}">
              <a16:creationId xmlns:a16="http://schemas.microsoft.com/office/drawing/2014/main" id="{9AFAC9B0-4085-4C24-A7B1-40F8DBE24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482067</xdr:colOff>
      <xdr:row>2</xdr:row>
      <xdr:rowOff>104775</xdr:rowOff>
    </xdr:to>
    <xdr:pic>
      <xdr:nvPicPr>
        <xdr:cNvPr id="3" name="Picture 2">
          <a:extLst>
            <a:ext uri="{FF2B5EF4-FFF2-40B4-BE49-F238E27FC236}">
              <a16:creationId xmlns:a16="http://schemas.microsoft.com/office/drawing/2014/main" id="{6BCA3846-C6A0-4F51-A190-72CEA84E1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activeCell="B1" sqref="B1:C3"/>
    </sheetView>
  </sheetViews>
  <sheetFormatPr baseColWidth="10" defaultColWidth="9.140625" defaultRowHeight="15"/>
  <cols>
    <col min="1" max="1" width="9.140625" style="6"/>
    <col min="2" max="2" width="8" style="6" customWidth="1"/>
    <col min="3" max="3" width="33.7109375" style="6" customWidth="1"/>
    <col min="4" max="12" width="10.7109375" style="6" customWidth="1"/>
    <col min="13" max="16384" width="9.140625" style="6"/>
  </cols>
  <sheetData>
    <row r="1" spans="2:29" s="150" customFormat="1" ht="12.75" customHeight="1">
      <c r="B1" s="427" t="s">
        <v>351</v>
      </c>
      <c r="C1" s="427"/>
      <c r="K1" s="147"/>
      <c r="L1" s="147"/>
      <c r="M1" s="427"/>
      <c r="N1" s="427"/>
      <c r="O1" s="427"/>
      <c r="P1" s="427"/>
      <c r="Q1" s="427"/>
      <c r="U1" s="237"/>
      <c r="X1" s="237"/>
      <c r="AB1" s="427"/>
      <c r="AC1" s="428"/>
    </row>
    <row r="2" spans="2:29" s="150" customFormat="1" ht="15" customHeight="1">
      <c r="B2" s="427"/>
      <c r="C2" s="427"/>
      <c r="K2" s="147"/>
      <c r="L2" s="147"/>
      <c r="M2" s="427"/>
      <c r="N2" s="427"/>
      <c r="O2" s="427"/>
      <c r="P2" s="427"/>
      <c r="Q2" s="427"/>
      <c r="U2" s="237"/>
      <c r="X2" s="237"/>
      <c r="AB2" s="427"/>
      <c r="AC2" s="428"/>
    </row>
    <row r="3" spans="2:29" s="150" customFormat="1" ht="12.75" customHeight="1">
      <c r="B3" s="427"/>
      <c r="C3" s="427"/>
      <c r="K3" s="147"/>
      <c r="L3" s="147"/>
      <c r="M3" s="427"/>
      <c r="N3" s="427"/>
      <c r="O3" s="427"/>
      <c r="P3" s="427"/>
      <c r="Q3" s="427"/>
      <c r="U3" s="237"/>
      <c r="X3" s="237"/>
      <c r="AB3" s="427"/>
      <c r="AC3" s="428"/>
    </row>
    <row r="4" spans="2:29" ht="18.75" customHeight="1">
      <c r="U4" s="5"/>
      <c r="V4" s="5"/>
      <c r="W4" s="5"/>
      <c r="X4" s="5"/>
    </row>
    <row r="5" spans="2:29" ht="12.75" customHeight="1" thickBot="1"/>
    <row r="6" spans="2:29">
      <c r="B6" s="138"/>
      <c r="C6" s="139"/>
      <c r="D6" s="139"/>
      <c r="E6" s="139"/>
      <c r="F6" s="139"/>
      <c r="G6" s="139"/>
      <c r="H6" s="139"/>
      <c r="I6" s="139"/>
      <c r="J6" s="139"/>
      <c r="K6" s="139"/>
      <c r="L6" s="139"/>
      <c r="M6" s="140"/>
    </row>
    <row r="7" spans="2:29" ht="33">
      <c r="B7" s="141"/>
      <c r="C7" s="429" t="s">
        <v>374</v>
      </c>
      <c r="D7" s="429"/>
      <c r="E7" s="429"/>
      <c r="F7" s="429"/>
      <c r="G7" s="429"/>
      <c r="H7" s="429"/>
      <c r="I7" s="429"/>
      <c r="J7" s="429"/>
      <c r="K7" s="429"/>
      <c r="L7" s="429"/>
      <c r="M7" s="142"/>
    </row>
    <row r="8" spans="2:29">
      <c r="B8" s="141"/>
      <c r="C8"/>
      <c r="D8"/>
      <c r="E8"/>
      <c r="F8"/>
      <c r="G8"/>
      <c r="H8"/>
      <c r="I8"/>
      <c r="J8"/>
      <c r="K8"/>
      <c r="L8"/>
      <c r="M8" s="142"/>
    </row>
    <row r="9" spans="2:29">
      <c r="B9" s="141"/>
      <c r="C9"/>
      <c r="D9"/>
      <c r="E9"/>
      <c r="F9"/>
      <c r="G9"/>
      <c r="H9"/>
      <c r="I9"/>
      <c r="J9"/>
      <c r="K9"/>
      <c r="L9"/>
      <c r="M9" s="142"/>
    </row>
    <row r="10" spans="2:29">
      <c r="B10" s="141"/>
      <c r="C10"/>
      <c r="D10"/>
      <c r="E10"/>
      <c r="F10"/>
      <c r="G10"/>
      <c r="H10"/>
      <c r="I10"/>
      <c r="J10"/>
      <c r="K10"/>
      <c r="L10"/>
      <c r="M10" s="142"/>
    </row>
    <row r="11" spans="2:29">
      <c r="B11" s="141"/>
      <c r="C11"/>
      <c r="D11"/>
      <c r="E11"/>
      <c r="F11"/>
      <c r="G11"/>
      <c r="H11"/>
      <c r="I11"/>
      <c r="J11"/>
      <c r="K11"/>
      <c r="L11"/>
      <c r="M11" s="142"/>
    </row>
    <row r="12" spans="2:29">
      <c r="B12" s="141"/>
      <c r="C12"/>
      <c r="D12"/>
      <c r="E12"/>
      <c r="F12"/>
      <c r="G12"/>
      <c r="H12"/>
      <c r="I12"/>
      <c r="J12"/>
      <c r="K12"/>
      <c r="L12"/>
      <c r="M12" s="142"/>
    </row>
    <row r="13" spans="2:29">
      <c r="B13" s="141"/>
      <c r="C13"/>
      <c r="D13"/>
      <c r="E13"/>
      <c r="F13"/>
      <c r="G13"/>
      <c r="H13"/>
      <c r="I13"/>
      <c r="J13"/>
      <c r="K13"/>
      <c r="L13"/>
      <c r="M13" s="142"/>
    </row>
    <row r="14" spans="2:29">
      <c r="B14" s="141"/>
      <c r="C14"/>
      <c r="D14"/>
      <c r="E14"/>
      <c r="F14"/>
      <c r="G14"/>
      <c r="H14"/>
      <c r="I14"/>
      <c r="J14"/>
      <c r="K14"/>
      <c r="L14"/>
      <c r="M14" s="142"/>
    </row>
    <row r="15" spans="2:29">
      <c r="B15" s="141"/>
      <c r="C15"/>
      <c r="D15"/>
      <c r="E15"/>
      <c r="F15"/>
      <c r="G15"/>
      <c r="H15"/>
      <c r="I15"/>
      <c r="J15"/>
      <c r="K15"/>
      <c r="L15"/>
      <c r="M15" s="142"/>
    </row>
    <row r="16" spans="2:29">
      <c r="B16" s="141"/>
      <c r="C16"/>
      <c r="D16"/>
      <c r="E16"/>
      <c r="F16"/>
      <c r="G16"/>
      <c r="H16"/>
      <c r="I16"/>
      <c r="J16"/>
      <c r="K16"/>
      <c r="L16"/>
      <c r="M16" s="142"/>
    </row>
    <row r="17" spans="2:13" ht="22.5" customHeight="1">
      <c r="B17" s="141"/>
      <c r="C17"/>
      <c r="D17"/>
      <c r="E17"/>
      <c r="F17"/>
      <c r="G17"/>
      <c r="H17"/>
      <c r="I17"/>
      <c r="J17"/>
      <c r="K17"/>
      <c r="L17"/>
      <c r="M17" s="142"/>
    </row>
    <row r="18" spans="2:13" ht="15" customHeight="1">
      <c r="B18" s="141"/>
      <c r="C18" s="430" t="s">
        <v>375</v>
      </c>
      <c r="D18" s="430"/>
      <c r="E18" s="430"/>
      <c r="F18" s="430"/>
      <c r="G18" s="430"/>
      <c r="H18" s="430"/>
      <c r="I18" s="430"/>
      <c r="J18" s="430"/>
      <c r="K18" s="430"/>
      <c r="L18" s="430"/>
      <c r="M18" s="142"/>
    </row>
    <row r="19" spans="2:13">
      <c r="B19" s="141"/>
      <c r="C19" s="430"/>
      <c r="D19" s="430"/>
      <c r="E19" s="430"/>
      <c r="F19" s="430"/>
      <c r="G19" s="430"/>
      <c r="H19" s="430"/>
      <c r="I19" s="430"/>
      <c r="J19" s="430"/>
      <c r="K19" s="430"/>
      <c r="L19" s="430"/>
      <c r="M19" s="142"/>
    </row>
    <row r="20" spans="2:13">
      <c r="B20" s="141"/>
      <c r="C20" s="430"/>
      <c r="D20" s="430"/>
      <c r="E20" s="430"/>
      <c r="F20" s="430"/>
      <c r="G20" s="430"/>
      <c r="H20" s="430"/>
      <c r="I20" s="430"/>
      <c r="J20" s="430"/>
      <c r="K20" s="430"/>
      <c r="L20" s="430"/>
      <c r="M20" s="142"/>
    </row>
    <row r="21" spans="2:13">
      <c r="B21" s="141"/>
      <c r="C21" s="430"/>
      <c r="D21" s="430"/>
      <c r="E21" s="430"/>
      <c r="F21" s="430"/>
      <c r="G21" s="430"/>
      <c r="H21" s="430"/>
      <c r="I21" s="430"/>
      <c r="J21" s="430"/>
      <c r="K21" s="430"/>
      <c r="L21" s="430"/>
      <c r="M21" s="142"/>
    </row>
    <row r="22" spans="2:13">
      <c r="B22" s="141"/>
      <c r="C22" s="430"/>
      <c r="D22" s="430"/>
      <c r="E22" s="430"/>
      <c r="F22" s="430"/>
      <c r="G22" s="430"/>
      <c r="H22" s="430"/>
      <c r="I22" s="430"/>
      <c r="J22" s="430"/>
      <c r="K22" s="430"/>
      <c r="L22" s="430"/>
      <c r="M22" s="142"/>
    </row>
    <row r="23" spans="2:13">
      <c r="B23" s="141"/>
      <c r="C23" s="430"/>
      <c r="D23" s="430"/>
      <c r="E23" s="430"/>
      <c r="F23" s="430"/>
      <c r="G23" s="430"/>
      <c r="H23" s="430"/>
      <c r="I23" s="430"/>
      <c r="J23" s="430"/>
      <c r="K23" s="430"/>
      <c r="L23" s="430"/>
      <c r="M23" s="142"/>
    </row>
    <row r="24" spans="2:13">
      <c r="B24" s="141"/>
      <c r="C24" s="430"/>
      <c r="D24" s="430"/>
      <c r="E24" s="430"/>
      <c r="F24" s="430"/>
      <c r="G24" s="430"/>
      <c r="H24" s="430"/>
      <c r="I24" s="430"/>
      <c r="J24" s="430"/>
      <c r="K24" s="430"/>
      <c r="L24" s="430"/>
      <c r="M24" s="142"/>
    </row>
    <row r="25" spans="2:13">
      <c r="B25" s="141"/>
      <c r="C25" s="430"/>
      <c r="D25" s="430"/>
      <c r="E25" s="430"/>
      <c r="F25" s="430"/>
      <c r="G25" s="430"/>
      <c r="H25" s="430"/>
      <c r="I25" s="430"/>
      <c r="J25" s="430"/>
      <c r="K25" s="430"/>
      <c r="L25" s="430"/>
      <c r="M25" s="142"/>
    </row>
    <row r="26" spans="2:13">
      <c r="B26" s="141"/>
      <c r="C26" s="430"/>
      <c r="D26" s="430"/>
      <c r="E26" s="430"/>
      <c r="F26" s="430"/>
      <c r="G26" s="430"/>
      <c r="H26" s="430"/>
      <c r="I26" s="430"/>
      <c r="J26" s="430"/>
      <c r="K26" s="430"/>
      <c r="L26" s="430"/>
      <c r="M26" s="142"/>
    </row>
    <row r="27" spans="2:13">
      <c r="B27" s="141"/>
      <c r="C27" s="430"/>
      <c r="D27" s="430"/>
      <c r="E27" s="430"/>
      <c r="F27" s="430"/>
      <c r="G27" s="430"/>
      <c r="H27" s="430"/>
      <c r="I27" s="430"/>
      <c r="J27" s="430"/>
      <c r="K27" s="430"/>
      <c r="L27" s="430"/>
      <c r="M27" s="142"/>
    </row>
    <row r="28" spans="2:13">
      <c r="B28" s="141"/>
      <c r="C28" s="430"/>
      <c r="D28" s="430"/>
      <c r="E28" s="430"/>
      <c r="F28" s="430"/>
      <c r="G28" s="430"/>
      <c r="H28" s="430"/>
      <c r="I28" s="430"/>
      <c r="J28" s="430"/>
      <c r="K28" s="430"/>
      <c r="L28" s="430"/>
      <c r="M28" s="142"/>
    </row>
    <row r="29" spans="2:13">
      <c r="B29" s="141"/>
      <c r="C29" s="430"/>
      <c r="D29" s="430"/>
      <c r="E29" s="430"/>
      <c r="F29" s="430"/>
      <c r="G29" s="430"/>
      <c r="H29" s="430"/>
      <c r="I29" s="430"/>
      <c r="J29" s="430"/>
      <c r="K29" s="430"/>
      <c r="L29" s="430"/>
      <c r="M29" s="142"/>
    </row>
    <row r="30" spans="2:13">
      <c r="B30" s="141"/>
      <c r="C30" s="430"/>
      <c r="D30" s="430"/>
      <c r="E30" s="430"/>
      <c r="F30" s="430"/>
      <c r="G30" s="430"/>
      <c r="H30" s="430"/>
      <c r="I30" s="430"/>
      <c r="J30" s="430"/>
      <c r="K30" s="430"/>
      <c r="L30" s="430"/>
      <c r="M30" s="142"/>
    </row>
    <row r="31" spans="2:13">
      <c r="B31" s="141"/>
      <c r="C31" s="430"/>
      <c r="D31" s="430"/>
      <c r="E31" s="430"/>
      <c r="F31" s="430"/>
      <c r="G31" s="430"/>
      <c r="H31" s="430"/>
      <c r="I31" s="430"/>
      <c r="J31" s="430"/>
      <c r="K31" s="430"/>
      <c r="L31" s="430"/>
      <c r="M31" s="142"/>
    </row>
    <row r="32" spans="2:13">
      <c r="B32" s="141"/>
      <c r="C32" s="430"/>
      <c r="D32" s="430"/>
      <c r="E32" s="430"/>
      <c r="F32" s="430"/>
      <c r="G32" s="430"/>
      <c r="H32" s="430"/>
      <c r="I32" s="430"/>
      <c r="J32" s="430"/>
      <c r="K32" s="430"/>
      <c r="L32" s="430"/>
      <c r="M32" s="142"/>
    </row>
    <row r="33" spans="2:13">
      <c r="B33" s="141"/>
      <c r="C33" s="430"/>
      <c r="D33" s="430"/>
      <c r="E33" s="430"/>
      <c r="F33" s="430"/>
      <c r="G33" s="430"/>
      <c r="H33" s="430"/>
      <c r="I33" s="430"/>
      <c r="J33" s="430"/>
      <c r="K33" s="430"/>
      <c r="L33" s="430"/>
      <c r="M33" s="142"/>
    </row>
    <row r="34" spans="2:13">
      <c r="B34" s="141"/>
      <c r="C34" s="430"/>
      <c r="D34" s="430"/>
      <c r="E34" s="430"/>
      <c r="F34" s="430"/>
      <c r="G34" s="430"/>
      <c r="H34" s="430"/>
      <c r="I34" s="430"/>
      <c r="J34" s="430"/>
      <c r="K34" s="430"/>
      <c r="L34" s="430"/>
      <c r="M34" s="142"/>
    </row>
    <row r="35" spans="2:13">
      <c r="B35" s="141"/>
      <c r="C35" s="430"/>
      <c r="D35" s="430"/>
      <c r="E35" s="430"/>
      <c r="F35" s="430"/>
      <c r="G35" s="430"/>
      <c r="H35" s="430"/>
      <c r="I35" s="430"/>
      <c r="J35" s="430"/>
      <c r="K35" s="430"/>
      <c r="L35" s="430"/>
      <c r="M35" s="142"/>
    </row>
    <row r="36" spans="2:13">
      <c r="B36" s="141"/>
      <c r="C36" s="430"/>
      <c r="D36" s="430"/>
      <c r="E36" s="430"/>
      <c r="F36" s="430"/>
      <c r="G36" s="430"/>
      <c r="H36" s="430"/>
      <c r="I36" s="430"/>
      <c r="J36" s="430"/>
      <c r="K36" s="430"/>
      <c r="L36" s="430"/>
      <c r="M36" s="142"/>
    </row>
    <row r="37" spans="2:13">
      <c r="B37" s="141"/>
      <c r="C37" s="430"/>
      <c r="D37" s="430"/>
      <c r="E37" s="430"/>
      <c r="F37" s="430"/>
      <c r="G37" s="430"/>
      <c r="H37" s="430"/>
      <c r="I37" s="430"/>
      <c r="J37" s="430"/>
      <c r="K37" s="430"/>
      <c r="L37" s="430"/>
      <c r="M37" s="142"/>
    </row>
    <row r="38" spans="2:13">
      <c r="B38" s="141"/>
      <c r="C38" s="430"/>
      <c r="D38" s="430"/>
      <c r="E38" s="430"/>
      <c r="F38" s="430"/>
      <c r="G38" s="430"/>
      <c r="H38" s="430"/>
      <c r="I38" s="430"/>
      <c r="J38" s="430"/>
      <c r="K38" s="430"/>
      <c r="L38" s="430"/>
      <c r="M38" s="142"/>
    </row>
    <row r="39" spans="2:13">
      <c r="B39" s="141"/>
      <c r="C39" s="430"/>
      <c r="D39" s="430"/>
      <c r="E39" s="430"/>
      <c r="F39" s="430"/>
      <c r="G39" s="430"/>
      <c r="H39" s="430"/>
      <c r="I39" s="430"/>
      <c r="J39" s="430"/>
      <c r="K39" s="430"/>
      <c r="L39" s="430"/>
      <c r="M39" s="142"/>
    </row>
    <row r="40" spans="2:13">
      <c r="B40" s="141"/>
      <c r="C40" s="424"/>
      <c r="D40" s="424"/>
      <c r="E40" s="424"/>
      <c r="F40" s="424"/>
      <c r="G40" s="424"/>
      <c r="H40" s="424"/>
      <c r="I40" s="424"/>
      <c r="J40" s="424"/>
      <c r="K40" s="424"/>
      <c r="L40" s="424"/>
      <c r="M40" s="142"/>
    </row>
    <row r="41" spans="2:13">
      <c r="B41" s="141"/>
      <c r="C41" s="425" t="s">
        <v>471</v>
      </c>
      <c r="D41" s="425"/>
      <c r="E41" s="425"/>
      <c r="F41" s="425"/>
      <c r="G41" s="425"/>
      <c r="H41" s="425"/>
      <c r="I41" s="425"/>
      <c r="J41" s="425"/>
      <c r="K41" s="425"/>
      <c r="L41" s="425"/>
      <c r="M41" s="142"/>
    </row>
    <row r="42" spans="2:13">
      <c r="B42" s="141"/>
      <c r="C42" s="426" t="s">
        <v>376</v>
      </c>
      <c r="D42" s="426"/>
      <c r="E42" s="426"/>
      <c r="F42" s="426"/>
      <c r="G42" s="426"/>
      <c r="H42" s="426"/>
      <c r="I42" s="426"/>
      <c r="J42" s="426"/>
      <c r="K42" s="426"/>
      <c r="L42" s="426"/>
      <c r="M42" s="142"/>
    </row>
    <row r="43" spans="2:13" ht="15.75" thickBot="1">
      <c r="B43" s="143"/>
      <c r="C43" s="144"/>
      <c r="D43" s="144"/>
      <c r="E43" s="144"/>
      <c r="F43" s="144"/>
      <c r="G43" s="144"/>
      <c r="H43" s="144"/>
      <c r="I43" s="144"/>
      <c r="J43" s="144"/>
      <c r="K43" s="144"/>
      <c r="L43" s="144"/>
      <c r="M43" s="145"/>
    </row>
  </sheetData>
  <sheetProtection algorithmName="SHA-512" hashValue="jDEsJkGCzgaPsIJ5H6/JkbjosThEwcid3u4M45n5ygDPWYCQm/ex/pEBPFD0ZcSFcm3ftJo3Yp4JLohBg41jOA==" saltValue="myA+c0tt2Tn26jI2TB2t8w==" spinCount="100000" sheet="1" objects="1" scenarios="1"/>
  <mergeCells count="10">
    <mergeCell ref="AC1:AC3"/>
    <mergeCell ref="M1:O3"/>
    <mergeCell ref="B1:C3"/>
    <mergeCell ref="C7:L7"/>
    <mergeCell ref="C18:L39"/>
    <mergeCell ref="C40:L40"/>
    <mergeCell ref="C41:L41"/>
    <mergeCell ref="C42:L42"/>
    <mergeCell ref="P1:Q3"/>
    <mergeCell ref="AB1:AB3"/>
  </mergeCells>
  <hyperlinks>
    <hyperlink ref="B1:C3" location="Cockpit!A1" display="zurück zum Cockpit" xr:uid="{00000000-0004-0000-0000-000000000000}"/>
    <hyperlink ref="C42" r:id="rId1"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W71"/>
  <sheetViews>
    <sheetView showGridLines="0" showRowColHeaders="0" tabSelected="1" zoomScale="110" zoomScaleNormal="110" workbookViewId="0">
      <pane ySplit="4" topLeftCell="A5" activePane="bottomLeft" state="frozen"/>
      <selection pane="bottomLeft" activeCell="N20" sqref="N20"/>
    </sheetView>
  </sheetViews>
  <sheetFormatPr baseColWidth="10" defaultColWidth="9.140625" defaultRowHeight="15"/>
  <cols>
    <col min="1" max="1" width="3.42578125" style="6" customWidth="1"/>
    <col min="2" max="2" width="10.85546875" style="6" customWidth="1"/>
    <col min="3" max="3" width="11.7109375" style="6" customWidth="1"/>
    <col min="4" max="5" width="11.42578125" style="6" customWidth="1"/>
    <col min="6" max="6" width="4.28515625" style="6" customWidth="1"/>
    <col min="7" max="7" width="31.140625" style="6" customWidth="1"/>
    <col min="8" max="8" width="10.7109375" style="6" customWidth="1"/>
    <col min="9" max="9" width="4.28515625" style="6" customWidth="1"/>
    <col min="10" max="10" width="29" style="6" customWidth="1"/>
    <col min="11" max="11" width="9" style="6" customWidth="1"/>
    <col min="12" max="12" width="4.28515625" style="5" customWidth="1"/>
    <col min="13" max="13" width="24.42578125" style="5" customWidth="1"/>
    <col min="14" max="14" width="10.42578125" style="5" customWidth="1"/>
    <col min="15" max="15" width="4.28515625" style="5" customWidth="1"/>
    <col min="16" max="16" width="27.85546875" style="6" customWidth="1"/>
    <col min="17" max="17" width="9.5703125" style="6" customWidth="1"/>
    <col min="18" max="18" width="4.28515625" style="6" customWidth="1"/>
    <col min="19" max="19" width="28" style="6" customWidth="1"/>
    <col min="20" max="20" width="10.7109375" style="6" customWidth="1"/>
    <col min="21" max="21" width="3.7109375" style="6" customWidth="1"/>
    <col min="22" max="22" width="31.7109375" style="6" customWidth="1"/>
    <col min="23" max="23" width="11.28515625" style="6" customWidth="1"/>
    <col min="24" max="24" width="3.28515625" style="6" customWidth="1"/>
    <col min="25" max="16384" width="9.140625" style="6"/>
  </cols>
  <sheetData>
    <row r="1" spans="1:23" s="150" customFormat="1" ht="12.75" customHeight="1">
      <c r="A1" s="146"/>
      <c r="B1" s="146"/>
      <c r="C1" s="464" t="s">
        <v>353</v>
      </c>
      <c r="D1" s="427" t="s">
        <v>346</v>
      </c>
      <c r="E1" s="427"/>
      <c r="F1" s="147"/>
      <c r="G1" s="465" t="s">
        <v>350</v>
      </c>
      <c r="H1" s="465"/>
      <c r="I1" s="148"/>
      <c r="J1" s="427" t="s">
        <v>348</v>
      </c>
      <c r="K1" s="427"/>
      <c r="L1" s="149"/>
      <c r="M1" s="427" t="s">
        <v>114</v>
      </c>
      <c r="N1" s="427" t="s">
        <v>347</v>
      </c>
      <c r="O1" s="149"/>
      <c r="P1" s="427" t="s">
        <v>349</v>
      </c>
      <c r="Q1" s="427"/>
      <c r="S1" s="463" t="s">
        <v>373</v>
      </c>
      <c r="T1" s="463"/>
      <c r="V1" s="427"/>
      <c r="W1" s="427"/>
    </row>
    <row r="2" spans="1:23" s="150" customFormat="1" ht="15" customHeight="1">
      <c r="A2" s="146"/>
      <c r="B2" s="146"/>
      <c r="C2" s="464"/>
      <c r="D2" s="427"/>
      <c r="E2" s="427"/>
      <c r="F2" s="147"/>
      <c r="G2" s="465"/>
      <c r="H2" s="465"/>
      <c r="I2" s="148"/>
      <c r="J2" s="427"/>
      <c r="K2" s="427"/>
      <c r="L2" s="149"/>
      <c r="M2" s="427"/>
      <c r="N2" s="427"/>
      <c r="O2" s="149"/>
      <c r="P2" s="427"/>
      <c r="Q2" s="427"/>
      <c r="S2" s="463"/>
      <c r="T2" s="463"/>
      <c r="V2" s="427"/>
      <c r="W2" s="427"/>
    </row>
    <row r="3" spans="1:23" s="150" customFormat="1" ht="12.75" customHeight="1">
      <c r="A3" s="146"/>
      <c r="B3" s="146"/>
      <c r="C3" s="464"/>
      <c r="D3" s="427"/>
      <c r="E3" s="427"/>
      <c r="F3" s="147"/>
      <c r="G3" s="465"/>
      <c r="H3" s="465"/>
      <c r="I3" s="148"/>
      <c r="J3" s="427"/>
      <c r="K3" s="427"/>
      <c r="L3" s="149"/>
      <c r="M3" s="427"/>
      <c r="N3" s="427"/>
      <c r="O3" s="149"/>
      <c r="P3" s="427"/>
      <c r="Q3" s="427"/>
      <c r="S3" s="463"/>
      <c r="T3" s="463"/>
      <c r="V3" s="427"/>
      <c r="W3" s="427"/>
    </row>
    <row r="4" spans="1:23" ht="18.75" customHeight="1"/>
    <row r="5" spans="1:23" ht="8.25" customHeight="1" thickBot="1"/>
    <row r="6" spans="1:23" s="21" customFormat="1" ht="23.25" customHeight="1" thickBot="1">
      <c r="B6" s="450" t="s">
        <v>118</v>
      </c>
      <c r="C6" s="451"/>
      <c r="D6" s="451"/>
      <c r="E6" s="452"/>
      <c r="G6" s="453" t="s">
        <v>119</v>
      </c>
      <c r="H6" s="454"/>
      <c r="J6" s="453" t="s">
        <v>79</v>
      </c>
      <c r="K6" s="454"/>
      <c r="L6" s="22"/>
      <c r="M6" s="453" t="s">
        <v>19</v>
      </c>
      <c r="N6" s="454"/>
      <c r="O6" s="22"/>
      <c r="P6" s="453" t="s">
        <v>115</v>
      </c>
      <c r="Q6" s="454"/>
      <c r="S6" s="453" t="s">
        <v>96</v>
      </c>
      <c r="T6" s="454"/>
      <c r="V6" s="453" t="s">
        <v>342</v>
      </c>
      <c r="W6" s="454"/>
    </row>
    <row r="7" spans="1:23" ht="15.75" thickBot="1"/>
    <row r="8" spans="1:23" ht="15.75" thickBot="1">
      <c r="B8" s="439" t="s">
        <v>355</v>
      </c>
      <c r="C8" s="447"/>
      <c r="D8" s="447"/>
      <c r="E8" s="440"/>
      <c r="G8" s="443" t="s">
        <v>15</v>
      </c>
      <c r="H8" s="444"/>
      <c r="J8" s="439" t="s">
        <v>400</v>
      </c>
      <c r="K8" s="440"/>
      <c r="M8" s="443" t="s">
        <v>116</v>
      </c>
      <c r="N8" s="444"/>
      <c r="P8" s="443" t="s">
        <v>121</v>
      </c>
      <c r="Q8" s="444"/>
      <c r="S8" s="439" t="s">
        <v>341</v>
      </c>
      <c r="T8" s="440"/>
      <c r="V8" s="443" t="s">
        <v>270</v>
      </c>
      <c r="W8" s="444"/>
    </row>
    <row r="9" spans="1:23">
      <c r="B9" s="166" t="s">
        <v>110</v>
      </c>
      <c r="C9" s="455" t="s">
        <v>479</v>
      </c>
      <c r="D9" s="455"/>
      <c r="E9" s="456"/>
      <c r="G9" s="151" t="s">
        <v>259</v>
      </c>
      <c r="H9" s="219">
        <v>19</v>
      </c>
      <c r="J9" s="166" t="s">
        <v>390</v>
      </c>
      <c r="K9" s="167">
        <f>K23</f>
        <v>60</v>
      </c>
      <c r="M9" s="166" t="s">
        <v>21</v>
      </c>
      <c r="N9" s="181">
        <f>N17+N25+N32+N39</f>
        <v>104000</v>
      </c>
      <c r="P9" s="166" t="s">
        <v>127</v>
      </c>
      <c r="Q9" s="181">
        <f>12*(-Q22+Q25)+'Wert, AfA, Darlehen'!D11</f>
        <v>4717.2626666666665</v>
      </c>
      <c r="S9" s="166" t="s">
        <v>95</v>
      </c>
      <c r="T9" s="236">
        <v>2044</v>
      </c>
      <c r="V9" s="194" t="s">
        <v>275</v>
      </c>
      <c r="W9" s="195">
        <f ca="1">IFERROR(OFFSET('Miete, Cashflow, Steuern'!C18,0,MATCH(TRUE,INDEX('Miete, Cashflow, Steuern'!$D$28:$BA$28&gt;0,0),0)),"-")</f>
        <v>2042</v>
      </c>
    </row>
    <row r="10" spans="1:23" ht="15.75" thickBot="1">
      <c r="B10" s="163" t="s">
        <v>356</v>
      </c>
      <c r="C10" s="211">
        <v>45292</v>
      </c>
      <c r="D10" s="23" t="s">
        <v>357</v>
      </c>
      <c r="E10" s="210" t="s">
        <v>358</v>
      </c>
      <c r="G10" s="152" t="s">
        <v>260</v>
      </c>
      <c r="H10" s="220">
        <f>C11*H9</f>
        <v>570</v>
      </c>
      <c r="J10" s="163" t="s">
        <v>391</v>
      </c>
      <c r="K10" s="157">
        <f>K30</f>
        <v>73.900000000000006</v>
      </c>
      <c r="M10" s="163" t="s">
        <v>26</v>
      </c>
      <c r="N10" s="178">
        <f>E35-N9</f>
        <v>49858</v>
      </c>
      <c r="P10" s="183" t="s">
        <v>93</v>
      </c>
      <c r="Q10" s="175">
        <f>Q9-'Wert, AfA, Darlehen'!D11</f>
        <v>1957.2626666666665</v>
      </c>
      <c r="S10" s="162" t="s">
        <v>97</v>
      </c>
      <c r="T10" s="193">
        <f>T9-'Wert, AfA, Darlehen'!D37</f>
        <v>20</v>
      </c>
      <c r="V10" s="196" t="s">
        <v>269</v>
      </c>
      <c r="W10" s="155">
        <f ca="1">OFFSET('Miete, Cashflow, Steuern'!C32,0,MATCH(TRUE,INDEX('Miete, Cashflow, Steuern'!$D$28:$BA$28&gt;0,0),0)-1)</f>
        <v>-10565.545239056815</v>
      </c>
    </row>
    <row r="11" spans="1:23" ht="15.75" thickBot="1">
      <c r="B11" s="162" t="s">
        <v>11</v>
      </c>
      <c r="C11" s="212">
        <v>30</v>
      </c>
      <c r="D11" s="204" t="s">
        <v>111</v>
      </c>
      <c r="E11" s="209">
        <v>1</v>
      </c>
      <c r="G11" s="153" t="s">
        <v>68</v>
      </c>
      <c r="H11" s="221">
        <v>0</v>
      </c>
      <c r="J11" s="168" t="s">
        <v>124</v>
      </c>
      <c r="K11" s="169">
        <f>K10/H15</f>
        <v>0.12964912280701754</v>
      </c>
      <c r="M11" s="163" t="s">
        <v>27</v>
      </c>
      <c r="N11" s="182">
        <f>IF(N9=0,"n/a",((N18*$N$17)+(N26*$N$25)+(N33*$N$32)+(N40*$N$39))/$N$9)</f>
        <v>3.5000000000000003E-2</v>
      </c>
      <c r="P11" s="5"/>
      <c r="Q11" s="5"/>
      <c r="S11" s="5"/>
      <c r="T11" s="5"/>
      <c r="V11" s="196" t="s">
        <v>271</v>
      </c>
      <c r="W11" s="197">
        <f ca="1">IFERROR(OFFSET('Miete, Cashflow, Steuern'!C18,0,MATCH(TRUE,INDEX('Miete, Cashflow, Steuern'!$D$32:$BA$32&gt;0,0),0)),"-")</f>
        <v>2047</v>
      </c>
    </row>
    <row r="12" spans="1:23" ht="15.75" thickBot="1">
      <c r="B12" s="5"/>
      <c r="C12" s="5"/>
      <c r="D12" s="5"/>
      <c r="E12" s="5"/>
      <c r="G12" s="153" t="s">
        <v>90</v>
      </c>
      <c r="H12" s="221">
        <v>0</v>
      </c>
      <c r="J12" s="170" t="s">
        <v>94</v>
      </c>
      <c r="K12" s="171">
        <f>K9+K10</f>
        <v>133.9</v>
      </c>
      <c r="M12" s="163" t="s">
        <v>28</v>
      </c>
      <c r="N12" s="182">
        <f>IF(N9=0,"n/a",((N19*$N$17)+(N27*$N$25)+(N34*$N$32)+(N41*$N$39))/$N$9)</f>
        <v>0.03</v>
      </c>
      <c r="P12" s="443" t="s">
        <v>125</v>
      </c>
      <c r="Q12" s="444"/>
      <c r="S12" s="439" t="s">
        <v>126</v>
      </c>
      <c r="T12" s="440"/>
      <c r="V12" s="198" t="s">
        <v>276</v>
      </c>
      <c r="W12" s="199">
        <f ca="1">IFERROR(OFFSET('Miete, Cashflow, Steuern'!C18,0,MATCH(TRUE,INDEX('Miete, Cashflow, Steuern'!$D$33:$BA$33&gt;0,0),0)),"-")</f>
        <v>2053</v>
      </c>
    </row>
    <row r="13" spans="1:23" ht="15.75" thickBot="1">
      <c r="B13" s="439" t="s">
        <v>117</v>
      </c>
      <c r="C13" s="447"/>
      <c r="D13" s="447"/>
      <c r="E13" s="440"/>
      <c r="G13" s="153" t="s">
        <v>67</v>
      </c>
      <c r="H13" s="154">
        <f>H10+H11+H12</f>
        <v>570</v>
      </c>
      <c r="J13" s="5"/>
      <c r="K13" s="24"/>
      <c r="M13" s="162" t="s">
        <v>385</v>
      </c>
      <c r="N13" s="175">
        <f>N20+N28+N35+N42</f>
        <v>563.33333333333337</v>
      </c>
      <c r="P13" s="166" t="s">
        <v>14</v>
      </c>
      <c r="Q13" s="181">
        <f>12*H15</f>
        <v>6840</v>
      </c>
      <c r="S13" s="151" t="s">
        <v>14</v>
      </c>
      <c r="T13" s="181">
        <f ca="1">OFFSET('Miete, Cashflow, Steuern'!D12,,Cockpit!T10)*12</f>
        <v>12353.800845138801</v>
      </c>
    </row>
    <row r="14" spans="1:23" ht="15.75" thickBot="1">
      <c r="B14" s="441" t="s">
        <v>1</v>
      </c>
      <c r="C14" s="442"/>
      <c r="D14" s="466">
        <v>130000</v>
      </c>
      <c r="E14" s="467"/>
      <c r="G14" s="153" t="s">
        <v>329</v>
      </c>
      <c r="H14" s="154">
        <f>'MFH-Kalkulator'!E12</f>
        <v>1287.5</v>
      </c>
      <c r="K14" s="5"/>
      <c r="N14" s="25"/>
      <c r="P14" s="184" t="s">
        <v>16</v>
      </c>
      <c r="Q14" s="185">
        <f>Q13/D14</f>
        <v>5.2615384615384612E-2</v>
      </c>
      <c r="S14" s="168" t="s">
        <v>366</v>
      </c>
      <c r="T14" s="190">
        <f ca="1">T13/12/C11</f>
        <v>34.316113458718888</v>
      </c>
      <c r="V14" s="439" t="s">
        <v>267</v>
      </c>
      <c r="W14" s="440"/>
    </row>
    <row r="15" spans="1:23" ht="15.75" thickBot="1">
      <c r="B15" s="461" t="s">
        <v>123</v>
      </c>
      <c r="C15" s="462"/>
      <c r="D15" s="459">
        <f>D14/C11</f>
        <v>4333.333333333333</v>
      </c>
      <c r="E15" s="460"/>
      <c r="G15" s="153" t="s">
        <v>327</v>
      </c>
      <c r="H15" s="155">
        <f>IF('MFH-Kalkulator'!$C$6="Ein",H14,H13)</f>
        <v>570</v>
      </c>
      <c r="J15" s="443" t="s">
        <v>386</v>
      </c>
      <c r="K15" s="444"/>
      <c r="M15" s="443" t="s">
        <v>20</v>
      </c>
      <c r="N15" s="444"/>
      <c r="P15" s="163" t="s">
        <v>18</v>
      </c>
      <c r="Q15" s="186">
        <f>D14/Q13</f>
        <v>19.005847953216374</v>
      </c>
      <c r="S15" s="173" t="s">
        <v>280</v>
      </c>
      <c r="T15" s="178">
        <f ca="1">OFFSET('Wert, AfA, Darlehen'!E8,,Cockpit!T10)</f>
        <v>209161.95545791319</v>
      </c>
      <c r="V15" s="151" t="s">
        <v>14</v>
      </c>
      <c r="W15" s="181">
        <f ca="1">OFFSET('Miete, Cashflow, Steuern'!D12,,Cockpit!T10)*12</f>
        <v>12353.800845138801</v>
      </c>
    </row>
    <row r="16" spans="1:23" ht="15.75" thickBot="1">
      <c r="B16" s="457" t="s">
        <v>4</v>
      </c>
      <c r="C16" s="458"/>
      <c r="D16" s="213">
        <v>3.5999999999999997E-2</v>
      </c>
      <c r="E16" s="214">
        <f>D16*$D$14</f>
        <v>4680</v>
      </c>
      <c r="G16" s="156" t="s">
        <v>476</v>
      </c>
      <c r="H16" s="157">
        <f>K9</f>
        <v>60</v>
      </c>
      <c r="J16" s="151" t="s">
        <v>389</v>
      </c>
      <c r="K16" s="227">
        <v>90</v>
      </c>
      <c r="M16" s="166" t="s">
        <v>340</v>
      </c>
      <c r="N16" s="233">
        <v>0.8</v>
      </c>
      <c r="P16" s="162" t="s">
        <v>17</v>
      </c>
      <c r="Q16" s="187">
        <f>(Q13-12*K10)/E35</f>
        <v>3.8692820652809733E-2</v>
      </c>
      <c r="S16" s="191" t="s">
        <v>2</v>
      </c>
      <c r="T16" s="192">
        <f ca="1">T15/C11</f>
        <v>6972.0651819304394</v>
      </c>
      <c r="V16" s="173" t="s">
        <v>18</v>
      </c>
      <c r="W16" s="235">
        <v>15</v>
      </c>
    </row>
    <row r="17" spans="2:23" ht="15.75" thickBot="1">
      <c r="B17" s="457" t="s">
        <v>5</v>
      </c>
      <c r="C17" s="458"/>
      <c r="D17" s="213">
        <v>1.4999999999999999E-2</v>
      </c>
      <c r="E17" s="214">
        <f>D17*$D$14</f>
        <v>1950</v>
      </c>
      <c r="G17" s="158" t="s">
        <v>477</v>
      </c>
      <c r="H17" s="159">
        <f>H15+H16</f>
        <v>630</v>
      </c>
      <c r="J17" s="176" t="s">
        <v>388</v>
      </c>
      <c r="K17" s="228">
        <v>30</v>
      </c>
      <c r="M17" s="163" t="s">
        <v>21</v>
      </c>
      <c r="N17" s="221">
        <f>N16*D14</f>
        <v>104000</v>
      </c>
      <c r="P17" s="5"/>
      <c r="Q17" s="5"/>
      <c r="S17" s="5"/>
      <c r="T17" s="5"/>
      <c r="V17" s="173" t="s">
        <v>51</v>
      </c>
      <c r="W17" s="178">
        <f ca="1">W15*W16</f>
        <v>185307.01267708204</v>
      </c>
    </row>
    <row r="18" spans="2:23" ht="15.75" thickBot="1">
      <c r="B18" s="457" t="s">
        <v>383</v>
      </c>
      <c r="C18" s="458"/>
      <c r="D18" s="213">
        <v>1.0999999999999999E-2</v>
      </c>
      <c r="E18" s="214">
        <f>D18*$D$14</f>
        <v>1430</v>
      </c>
      <c r="J18" s="203" t="s">
        <v>392</v>
      </c>
      <c r="K18" s="175">
        <f>K16-K17</f>
        <v>60</v>
      </c>
      <c r="M18" s="163" t="s">
        <v>22</v>
      </c>
      <c r="N18" s="232">
        <v>3.5000000000000003E-2</v>
      </c>
      <c r="P18" s="439" t="s">
        <v>91</v>
      </c>
      <c r="Q18" s="440"/>
      <c r="S18" s="439" t="s">
        <v>91</v>
      </c>
      <c r="T18" s="440"/>
      <c r="V18" s="191" t="s">
        <v>2</v>
      </c>
      <c r="W18" s="192">
        <f ca="1">W17/C11</f>
        <v>6176.9004225694016</v>
      </c>
    </row>
    <row r="19" spans="2:23" ht="15.75" thickBot="1">
      <c r="B19" s="457" t="s">
        <v>6</v>
      </c>
      <c r="C19" s="458"/>
      <c r="D19" s="213">
        <v>3.5000000000000003E-2</v>
      </c>
      <c r="E19" s="214">
        <f>D19*$D$14</f>
        <v>4550</v>
      </c>
      <c r="G19" s="439" t="s">
        <v>101</v>
      </c>
      <c r="H19" s="440"/>
      <c r="K19" s="5"/>
      <c r="M19" s="163" t="s">
        <v>23</v>
      </c>
      <c r="N19" s="232">
        <v>0.03</v>
      </c>
      <c r="P19" s="166" t="s">
        <v>478</v>
      </c>
      <c r="Q19" s="181">
        <f>H17</f>
        <v>630</v>
      </c>
      <c r="S19" s="166" t="s">
        <v>478</v>
      </c>
      <c r="T19" s="181">
        <f ca="1">OFFSET('Miete, Cashflow, Steuern'!D14,,Cockpit!T10)</f>
        <v>1118.6402475202681</v>
      </c>
    </row>
    <row r="20" spans="2:23" ht="15.75" thickBot="1">
      <c r="B20" s="457" t="s">
        <v>8</v>
      </c>
      <c r="C20" s="458"/>
      <c r="D20" s="213">
        <v>0</v>
      </c>
      <c r="E20" s="214">
        <f>D20*$D$14</f>
        <v>0</v>
      </c>
      <c r="G20" s="160" t="s">
        <v>35</v>
      </c>
      <c r="H20" s="222">
        <v>1.4999999999999999E-2</v>
      </c>
      <c r="J20" s="439" t="s">
        <v>393</v>
      </c>
      <c r="K20" s="440"/>
      <c r="M20" s="163" t="s">
        <v>385</v>
      </c>
      <c r="N20" s="178">
        <f>(N18+N19)*N17/12</f>
        <v>563.33333333333337</v>
      </c>
      <c r="P20" s="153" t="s">
        <v>29</v>
      </c>
      <c r="Q20" s="178">
        <f>-K12</f>
        <v>-133.9</v>
      </c>
      <c r="S20" s="153" t="s">
        <v>29</v>
      </c>
      <c r="T20" s="178">
        <f ca="1">OFFSET('Miete, Cashflow, Steuern'!D23,,Cockpit!T10)</f>
        <v>-204.44315796311884</v>
      </c>
      <c r="V20" s="439" t="s">
        <v>122</v>
      </c>
      <c r="W20" s="440"/>
    </row>
    <row r="21" spans="2:23" ht="15.75" thickBot="1">
      <c r="B21" s="457" t="s">
        <v>384</v>
      </c>
      <c r="C21" s="458"/>
      <c r="D21" s="213">
        <v>1.2E-2</v>
      </c>
      <c r="E21" s="214">
        <f>D21*$N$9</f>
        <v>1248</v>
      </c>
      <c r="G21" s="161" t="s">
        <v>105</v>
      </c>
      <c r="H21" s="223">
        <v>0.6</v>
      </c>
      <c r="J21" s="151" t="s">
        <v>397</v>
      </c>
      <c r="K21" s="167">
        <f>K18</f>
        <v>60</v>
      </c>
      <c r="M21" s="162" t="s">
        <v>98</v>
      </c>
      <c r="N21" s="180">
        <f>IFERROR(HLOOKUP(0,'Wert, AfA, Darlehen'!D50:BA105,56,FALSE),"-")</f>
        <v>2046</v>
      </c>
      <c r="P21" s="153" t="s">
        <v>31</v>
      </c>
      <c r="Q21" s="178">
        <f>-N11*N9/12</f>
        <v>-303.33333333333337</v>
      </c>
      <c r="S21" s="153" t="s">
        <v>31</v>
      </c>
      <c r="T21" s="178">
        <f ca="1">-OFFSET('Wert, AfA, Darlehen'!D110,,Cockpit!T10)/12</f>
        <v>-45.988228832213444</v>
      </c>
      <c r="U21" s="26"/>
      <c r="V21" s="151" t="s">
        <v>57</v>
      </c>
      <c r="W21" s="181">
        <f ca="1">-(T21-T25/(1-T33))</f>
        <v>76.121653838571405</v>
      </c>
    </row>
    <row r="22" spans="2:23" ht="15.75" thickBot="1">
      <c r="B22" s="448" t="s">
        <v>7</v>
      </c>
      <c r="C22" s="449"/>
      <c r="D22" s="205">
        <f>SUM(D16:D21)</f>
        <v>0.109</v>
      </c>
      <c r="E22" s="159">
        <f>SUM(E16:E21)</f>
        <v>13858</v>
      </c>
      <c r="G22" s="162" t="s">
        <v>76</v>
      </c>
      <c r="H22" s="159">
        <f>H21*(D14+E22-E21)+SUMIF(D26:D29,"Aktivieren",C26:C29)</f>
        <v>85566</v>
      </c>
      <c r="J22" s="173" t="s">
        <v>398</v>
      </c>
      <c r="K22" s="157">
        <f>K38</f>
        <v>0</v>
      </c>
      <c r="N22" s="30"/>
      <c r="P22" s="153" t="s">
        <v>32</v>
      </c>
      <c r="Q22" s="178">
        <f>-N12*N9/12</f>
        <v>-260</v>
      </c>
      <c r="S22" s="153" t="s">
        <v>32</v>
      </c>
      <c r="T22" s="178">
        <f ca="1">-OFFSET('Wert, AfA, Darlehen'!D114,,Cockpit!T10)/12</f>
        <v>-517.34510450111986</v>
      </c>
      <c r="V22" s="162" t="s">
        <v>58</v>
      </c>
      <c r="W22" s="200">
        <f ca="1">IF(OFFSET('Wert, AfA, Darlehen'!D106,,Cockpit!T10)=0,"n/a",W21*12/OFFSET('Wert, AfA, Darlehen'!D106,,Cockpit!T10))</f>
        <v>5.7933474543463238E-2</v>
      </c>
    </row>
    <row r="23" spans="2:23" ht="15.75" thickBot="1">
      <c r="B23" s="5"/>
      <c r="C23" s="5"/>
      <c r="D23" s="5"/>
      <c r="E23" s="5"/>
      <c r="J23" s="174" t="s">
        <v>7</v>
      </c>
      <c r="K23" s="175">
        <f>SUM(K21:K22)</f>
        <v>60</v>
      </c>
      <c r="M23" s="6"/>
      <c r="N23" s="27"/>
      <c r="P23" s="153" t="s">
        <v>30</v>
      </c>
      <c r="Q23" s="178">
        <f>SUM(Q19:Q22)</f>
        <v>-67.233333333333348</v>
      </c>
      <c r="S23" s="153" t="s">
        <v>30</v>
      </c>
      <c r="T23" s="178">
        <f ca="1">SUM(T19:T22)</f>
        <v>350.86375622381593</v>
      </c>
    </row>
    <row r="24" spans="2:23" ht="15.75" thickBot="1">
      <c r="B24" s="439" t="s">
        <v>12</v>
      </c>
      <c r="C24" s="447"/>
      <c r="D24" s="447"/>
      <c r="E24" s="440"/>
      <c r="G24" s="439" t="s">
        <v>100</v>
      </c>
      <c r="H24" s="440"/>
      <c r="M24" s="443" t="s">
        <v>25</v>
      </c>
      <c r="N24" s="444"/>
      <c r="P24" s="153" t="s">
        <v>39</v>
      </c>
      <c r="Q24" s="178">
        <f>-Q34</f>
        <v>-29.661444444444431</v>
      </c>
      <c r="S24" s="153" t="s">
        <v>39</v>
      </c>
      <c r="T24" s="178">
        <f ca="1">-T34</f>
        <v>-332.78370122000115</v>
      </c>
      <c r="V24" s="439" t="s">
        <v>281</v>
      </c>
      <c r="W24" s="440"/>
    </row>
    <row r="25" spans="2:23" ht="15.75" thickBot="1">
      <c r="B25" s="206" t="s">
        <v>106</v>
      </c>
      <c r="C25" s="207" t="s">
        <v>107</v>
      </c>
      <c r="D25" s="207" t="s">
        <v>108</v>
      </c>
      <c r="E25" s="208" t="s">
        <v>109</v>
      </c>
      <c r="G25" s="160" t="s">
        <v>61</v>
      </c>
      <c r="H25" s="224">
        <v>0.03</v>
      </c>
      <c r="J25" s="439" t="s">
        <v>394</v>
      </c>
      <c r="K25" s="440"/>
      <c r="M25" s="166" t="s">
        <v>21</v>
      </c>
      <c r="N25" s="229">
        <v>0</v>
      </c>
      <c r="P25" s="158" t="s">
        <v>41</v>
      </c>
      <c r="Q25" s="175">
        <f>Q23+Q24</f>
        <v>-96.894777777777776</v>
      </c>
      <c r="R25"/>
      <c r="S25" s="158" t="s">
        <v>41</v>
      </c>
      <c r="T25" s="175">
        <f ca="1">T23+T24</f>
        <v>18.080055003814778</v>
      </c>
      <c r="V25" s="151" t="s">
        <v>51</v>
      </c>
      <c r="W25" s="181">
        <f ca="1">OFFSET('Wert, AfA, Darlehen'!E8,,Cockpit!T10)</f>
        <v>209161.95545791319</v>
      </c>
    </row>
    <row r="26" spans="2:23" ht="15.75" thickBot="1">
      <c r="B26" s="215" t="s">
        <v>485</v>
      </c>
      <c r="C26" s="216">
        <v>10000</v>
      </c>
      <c r="D26" s="217" t="s">
        <v>475</v>
      </c>
      <c r="E26" s="218">
        <v>8000</v>
      </c>
      <c r="G26" s="163" t="s">
        <v>334</v>
      </c>
      <c r="H26" s="221">
        <v>10</v>
      </c>
      <c r="J26" s="151" t="s">
        <v>387</v>
      </c>
      <c r="K26" s="157">
        <f>K17</f>
        <v>30</v>
      </c>
      <c r="M26" s="163" t="s">
        <v>22</v>
      </c>
      <c r="N26" s="232">
        <v>0.02</v>
      </c>
      <c r="P26"/>
      <c r="Q26"/>
      <c r="S26"/>
      <c r="T26"/>
      <c r="V26" s="173" t="s">
        <v>52</v>
      </c>
      <c r="W26" s="178">
        <f ca="1">-OFFSET('Wert, AfA, Darlehen'!D118,,Cockpit!T10)</f>
        <v>-9559.2514884597385</v>
      </c>
    </row>
    <row r="27" spans="2:23" ht="15.75" thickBot="1">
      <c r="B27" s="215"/>
      <c r="C27" s="216"/>
      <c r="D27" s="217" t="s">
        <v>467</v>
      </c>
      <c r="E27" s="218"/>
      <c r="G27" s="164" t="s">
        <v>333</v>
      </c>
      <c r="H27" s="165">
        <f>((H21*D14)*(1/80*1.5)-(12*K26))/C11</f>
        <v>36.750000000000007</v>
      </c>
      <c r="J27" s="176" t="s">
        <v>330</v>
      </c>
      <c r="K27" s="409">
        <f>C11*H26/12</f>
        <v>25</v>
      </c>
      <c r="M27" s="163" t="s">
        <v>23</v>
      </c>
      <c r="N27" s="232">
        <v>0.08</v>
      </c>
      <c r="P27" s="439" t="s">
        <v>38</v>
      </c>
      <c r="Q27" s="440"/>
      <c r="S27" s="439" t="s">
        <v>38</v>
      </c>
      <c r="T27" s="440"/>
      <c r="V27" s="201" t="s">
        <v>277</v>
      </c>
      <c r="W27" s="202">
        <f>-N10</f>
        <v>-49858</v>
      </c>
    </row>
    <row r="28" spans="2:23" ht="15.75" thickBot="1">
      <c r="B28" s="215"/>
      <c r="C28" s="216"/>
      <c r="D28" s="217" t="s">
        <v>467</v>
      </c>
      <c r="E28" s="218"/>
      <c r="J28" s="152" t="s">
        <v>331</v>
      </c>
      <c r="K28" s="157">
        <f>H25*H17</f>
        <v>18.899999999999999</v>
      </c>
      <c r="M28" s="163" t="s">
        <v>385</v>
      </c>
      <c r="N28" s="178">
        <f>(N26+N27)*N25/12</f>
        <v>0</v>
      </c>
      <c r="P28" s="166" t="s">
        <v>478</v>
      </c>
      <c r="Q28" s="181">
        <f>Q19</f>
        <v>630</v>
      </c>
      <c r="S28" s="166" t="s">
        <v>478</v>
      </c>
      <c r="T28" s="181">
        <f ca="1">T19</f>
        <v>1118.6402475202681</v>
      </c>
      <c r="V28" s="201" t="s">
        <v>278</v>
      </c>
      <c r="W28" s="202">
        <f ca="1">OFFSET('Miete, Cashflow, Steuern'!D32,,Cockpit!T10)</f>
        <v>-10228.212189226062</v>
      </c>
    </row>
    <row r="29" spans="2:23" ht="15.75" thickBot="1">
      <c r="B29" s="215"/>
      <c r="C29" s="216"/>
      <c r="D29" s="217" t="s">
        <v>467</v>
      </c>
      <c r="E29" s="218"/>
      <c r="G29" s="439" t="s">
        <v>120</v>
      </c>
      <c r="H29" s="440"/>
      <c r="J29" s="152" t="s">
        <v>399</v>
      </c>
      <c r="K29" s="157">
        <f>K46</f>
        <v>0</v>
      </c>
      <c r="M29" s="162" t="s">
        <v>98</v>
      </c>
      <c r="N29" s="179">
        <f>HLOOKUP(0,'Wert, AfA, Darlehen'!D67:BA105,39,FALSE)</f>
        <v>2024</v>
      </c>
      <c r="P29" s="153" t="s">
        <v>335</v>
      </c>
      <c r="Q29" s="178">
        <f>-K12+K27+K28</f>
        <v>-90</v>
      </c>
      <c r="S29" s="153" t="s">
        <v>335</v>
      </c>
      <c r="T29" s="178">
        <f ca="1">OFFSET('Miete, Cashflow, Steuern'!D38,,Cockpit!T10)</f>
        <v>-133.73526563805191</v>
      </c>
      <c r="V29" s="203" t="s">
        <v>279</v>
      </c>
      <c r="W29" s="175">
        <f ca="1">SUM(W25:W28)</f>
        <v>139516.4917802274</v>
      </c>
    </row>
    <row r="30" spans="2:23" ht="15.75" thickBot="1">
      <c r="B30" s="163" t="s">
        <v>7</v>
      </c>
      <c r="C30" s="28">
        <f>SUM(C26:C29)</f>
        <v>10000</v>
      </c>
      <c r="D30" s="422" t="s">
        <v>7</v>
      </c>
      <c r="E30" s="157">
        <f>SUM(E26:E29)</f>
        <v>8000</v>
      </c>
      <c r="G30" s="166" t="s">
        <v>102</v>
      </c>
      <c r="H30" s="222">
        <v>0.02</v>
      </c>
      <c r="J30" s="177" t="s">
        <v>332</v>
      </c>
      <c r="K30" s="192">
        <f>K26+K27+K28+K29</f>
        <v>73.900000000000006</v>
      </c>
      <c r="L30" s="1"/>
      <c r="N30" s="27"/>
      <c r="P30" s="153" t="s">
        <v>31</v>
      </c>
      <c r="Q30" s="178">
        <f>Q21</f>
        <v>-303.33333333333337</v>
      </c>
      <c r="S30" s="153" t="s">
        <v>31</v>
      </c>
      <c r="T30" s="178">
        <f ca="1">T21</f>
        <v>-45.988228832213444</v>
      </c>
    </row>
    <row r="31" spans="2:23" ht="15.75" thickBot="1">
      <c r="B31" s="431" t="s">
        <v>112</v>
      </c>
      <c r="C31" s="432"/>
      <c r="D31" s="433"/>
      <c r="E31" s="157">
        <f>D14+E30</f>
        <v>138000</v>
      </c>
      <c r="G31" s="163" t="s">
        <v>103</v>
      </c>
      <c r="H31" s="225">
        <v>0.03</v>
      </c>
      <c r="M31" s="443" t="s">
        <v>245</v>
      </c>
      <c r="N31" s="444"/>
      <c r="P31" s="153" t="s">
        <v>293</v>
      </c>
      <c r="Q31" s="178">
        <f>-'Wert, AfA, Darlehen'!D19-'Wert, AfA, Darlehen'!D24-IF(E32="Abziehen",'Wert, AfA, Darlehen'!D34,'Wert, AfA, Darlehen'!D34-'Wert, AfA, Darlehen'!D28/12)</f>
        <v>-162.51305555555555</v>
      </c>
      <c r="S31" s="153" t="s">
        <v>293</v>
      </c>
      <c r="T31" s="178">
        <f ca="1">OFFSET('Miete, Cashflow, Steuern'!D40,,Cockpit!T10)</f>
        <v>-106.9575</v>
      </c>
      <c r="U31" s="29"/>
      <c r="V31" s="439" t="s">
        <v>377</v>
      </c>
      <c r="W31" s="440"/>
    </row>
    <row r="32" spans="2:23" ht="15.75" thickBot="1">
      <c r="B32" s="434" t="s">
        <v>474</v>
      </c>
      <c r="C32" s="435"/>
      <c r="D32" s="436"/>
      <c r="E32" s="423" t="s">
        <v>473</v>
      </c>
      <c r="G32" s="162" t="s">
        <v>104</v>
      </c>
      <c r="H32" s="226">
        <v>0.02</v>
      </c>
      <c r="J32" s="439" t="s">
        <v>395</v>
      </c>
      <c r="K32" s="440"/>
      <c r="M32" s="166" t="s">
        <v>21</v>
      </c>
      <c r="N32" s="229">
        <v>0</v>
      </c>
      <c r="P32" s="153" t="s">
        <v>37</v>
      </c>
      <c r="Q32" s="178">
        <f>SUM(Q28:Q31)</f>
        <v>74.153611111111076</v>
      </c>
      <c r="S32" s="153" t="s">
        <v>37</v>
      </c>
      <c r="T32" s="178">
        <f ca="1">SUM(T28:T31)</f>
        <v>831.95925305000276</v>
      </c>
      <c r="V32" s="151" t="s">
        <v>51</v>
      </c>
      <c r="W32" s="181">
        <f ca="1">W25</f>
        <v>209161.95545791319</v>
      </c>
    </row>
    <row r="33" spans="2:23" ht="15.75" thickBot="1">
      <c r="J33" s="230" t="s">
        <v>336</v>
      </c>
      <c r="K33" s="227"/>
      <c r="M33" s="163" t="s">
        <v>22</v>
      </c>
      <c r="N33" s="232">
        <v>0.03</v>
      </c>
      <c r="P33" s="163" t="s">
        <v>294</v>
      </c>
      <c r="Q33" s="234">
        <v>0.4</v>
      </c>
      <c r="S33" s="163" t="s">
        <v>294</v>
      </c>
      <c r="T33" s="169">
        <f ca="1">OFFSET('Miete, Cashflow, Steuern'!D42,,Cockpit!T10)</f>
        <v>0.4</v>
      </c>
      <c r="V33" s="173" t="s">
        <v>52</v>
      </c>
      <c r="W33" s="178">
        <f ca="1">W26</f>
        <v>-9559.2514884597385</v>
      </c>
    </row>
    <row r="34" spans="2:23" ht="15.75" thickBot="1">
      <c r="B34" s="439" t="s">
        <v>9</v>
      </c>
      <c r="C34" s="447"/>
      <c r="D34" s="447"/>
      <c r="E34" s="440"/>
      <c r="J34" s="231" t="s">
        <v>337</v>
      </c>
      <c r="K34" s="228"/>
      <c r="M34" s="163" t="s">
        <v>23</v>
      </c>
      <c r="N34" s="232">
        <v>0.05</v>
      </c>
      <c r="P34" s="158" t="s">
        <v>40</v>
      </c>
      <c r="Q34" s="175">
        <f>Q33*Q32</f>
        <v>29.661444444444431</v>
      </c>
      <c r="S34" s="158" t="s">
        <v>40</v>
      </c>
      <c r="T34" s="175">
        <f ca="1">T33*T32</f>
        <v>332.78370122000115</v>
      </c>
      <c r="V34" s="203" t="s">
        <v>378</v>
      </c>
      <c r="W34" s="175">
        <f ca="1">W32+W33</f>
        <v>199602.70396945346</v>
      </c>
    </row>
    <row r="35" spans="2:23" ht="15.75" thickBot="1">
      <c r="B35" s="445" t="s">
        <v>7</v>
      </c>
      <c r="C35" s="446"/>
      <c r="D35" s="446"/>
      <c r="E35" s="172">
        <f>D14+E22+C30</f>
        <v>153858</v>
      </c>
      <c r="J35" s="231" t="s">
        <v>338</v>
      </c>
      <c r="K35" s="228"/>
      <c r="M35" s="163" t="s">
        <v>385</v>
      </c>
      <c r="N35" s="178">
        <f>(N33+N34)*N32/12</f>
        <v>0</v>
      </c>
    </row>
    <row r="36" spans="2:23" ht="15.75" thickBot="1">
      <c r="J36" s="231" t="s">
        <v>339</v>
      </c>
      <c r="K36" s="228"/>
      <c r="M36" s="162" t="s">
        <v>98</v>
      </c>
      <c r="N36" s="179">
        <f>HLOOKUP(0,'Wert, AfA, Darlehen'!D84:BA105,22,FALSE)</f>
        <v>2024</v>
      </c>
      <c r="P36" s="443" t="s">
        <v>73</v>
      </c>
      <c r="Q36" s="444"/>
      <c r="V36" s="439" t="s">
        <v>379</v>
      </c>
      <c r="W36" s="440"/>
    </row>
    <row r="37" spans="2:23" ht="15.75" customHeight="1" thickBot="1">
      <c r="B37" s="437" t="s">
        <v>482</v>
      </c>
      <c r="C37" s="437"/>
      <c r="D37" s="437"/>
      <c r="E37" s="437"/>
      <c r="F37" s="437"/>
      <c r="G37" s="437"/>
      <c r="H37" s="437"/>
      <c r="J37" s="173" t="s">
        <v>128</v>
      </c>
      <c r="K37" s="214"/>
      <c r="L37"/>
      <c r="N37" s="27"/>
      <c r="P37" s="166" t="s">
        <v>33</v>
      </c>
      <c r="Q37" s="188">
        <f>IF(N10&gt;0,Q9/N10,"n/a")</f>
        <v>9.4613956971131341E-2</v>
      </c>
      <c r="V37" s="151" t="s">
        <v>381</v>
      </c>
      <c r="W37" s="181">
        <f>W27</f>
        <v>-49858</v>
      </c>
    </row>
    <row r="38" spans="2:23" ht="15.75" thickBot="1">
      <c r="B38" s="437"/>
      <c r="C38" s="437"/>
      <c r="D38" s="437"/>
      <c r="E38" s="437"/>
      <c r="F38" s="437"/>
      <c r="G38" s="437"/>
      <c r="H38" s="437"/>
      <c r="J38" s="174" t="s">
        <v>7</v>
      </c>
      <c r="K38" s="175">
        <f>SUM(K33:K37)</f>
        <v>0</v>
      </c>
      <c r="L38" s="6"/>
      <c r="M38" s="443" t="s">
        <v>246</v>
      </c>
      <c r="N38" s="444"/>
      <c r="P38" s="183" t="s">
        <v>93</v>
      </c>
      <c r="Q38" s="189">
        <f>Q10/N10</f>
        <v>3.925674248198216E-2</v>
      </c>
      <c r="V38" s="152" t="s">
        <v>278</v>
      </c>
      <c r="W38" s="178">
        <f ca="1">W28</f>
        <v>-10228.212189226062</v>
      </c>
    </row>
    <row r="39" spans="2:23" ht="15.75" thickBot="1">
      <c r="B39" s="437"/>
      <c r="C39" s="437"/>
      <c r="D39" s="437"/>
      <c r="E39" s="437"/>
      <c r="F39" s="437"/>
      <c r="G39" s="437"/>
      <c r="H39" s="437"/>
      <c r="L39" s="6"/>
      <c r="M39" s="166" t="s">
        <v>21</v>
      </c>
      <c r="N39" s="229">
        <v>0</v>
      </c>
      <c r="O39" s="6"/>
      <c r="V39" s="203" t="s">
        <v>380</v>
      </c>
      <c r="W39" s="175">
        <f ca="1">W37+W38</f>
        <v>-60086.212189226062</v>
      </c>
    </row>
    <row r="40" spans="2:23" ht="15.75" thickBot="1">
      <c r="B40" s="437"/>
      <c r="C40" s="437"/>
      <c r="D40" s="437"/>
      <c r="E40" s="437"/>
      <c r="F40" s="437"/>
      <c r="G40" s="437"/>
      <c r="H40" s="437"/>
      <c r="J40" s="439" t="s">
        <v>396</v>
      </c>
      <c r="K40" s="440"/>
      <c r="L40" s="6"/>
      <c r="M40" s="163" t="s">
        <v>22</v>
      </c>
      <c r="N40" s="232"/>
      <c r="O40" s="6"/>
      <c r="S40" s="5"/>
      <c r="T40" s="5"/>
    </row>
    <row r="41" spans="2:23">
      <c r="B41" s="437"/>
      <c r="C41" s="437"/>
      <c r="D41" s="437"/>
      <c r="E41" s="437"/>
      <c r="F41" s="437"/>
      <c r="G41" s="437"/>
      <c r="H41" s="437"/>
      <c r="J41" s="230" t="s">
        <v>336</v>
      </c>
      <c r="K41" s="227"/>
      <c r="L41" s="6"/>
      <c r="M41" s="163" t="s">
        <v>23</v>
      </c>
      <c r="N41" s="232"/>
      <c r="O41" s="6"/>
    </row>
    <row r="42" spans="2:23">
      <c r="B42" s="438" t="s">
        <v>466</v>
      </c>
      <c r="C42" s="438"/>
      <c r="D42" s="438"/>
      <c r="E42" s="438"/>
      <c r="F42" s="438"/>
      <c r="G42" s="438"/>
      <c r="H42" s="438"/>
      <c r="J42" s="231" t="s">
        <v>337</v>
      </c>
      <c r="K42" s="228"/>
      <c r="L42" s="6"/>
      <c r="M42" s="163" t="s">
        <v>385</v>
      </c>
      <c r="N42" s="178">
        <f>(N40+N41)*N39/12</f>
        <v>0</v>
      </c>
      <c r="O42" s="6"/>
    </row>
    <row r="43" spans="2:23" ht="15.75" thickBot="1">
      <c r="B43" s="410"/>
      <c r="C43" s="410"/>
      <c r="D43" s="410"/>
      <c r="E43" s="410"/>
      <c r="F43" s="410"/>
      <c r="G43" s="410"/>
      <c r="H43" s="410"/>
      <c r="J43" s="231" t="s">
        <v>338</v>
      </c>
      <c r="K43" s="228"/>
      <c r="L43" s="6"/>
      <c r="M43" s="162" t="s">
        <v>98</v>
      </c>
      <c r="N43" s="179">
        <f>HLOOKUP(0,'Wert, AfA, Darlehen'!D101:BA105,5,FALSE)</f>
        <v>2024</v>
      </c>
      <c r="O43" s="6"/>
    </row>
    <row r="44" spans="2:23">
      <c r="B44" s="410"/>
      <c r="C44" s="410"/>
      <c r="D44" s="410"/>
      <c r="E44" s="410"/>
      <c r="F44" s="410"/>
      <c r="G44" s="410"/>
      <c r="H44" s="410"/>
      <c r="J44" s="231" t="s">
        <v>339</v>
      </c>
      <c r="K44" s="228"/>
      <c r="L44" s="6"/>
      <c r="M44" s="6"/>
      <c r="N44" s="6"/>
      <c r="O44" s="6"/>
    </row>
    <row r="45" spans="2:23">
      <c r="F45" s="410"/>
      <c r="G45" s="410"/>
      <c r="H45" s="410"/>
      <c r="J45" s="173" t="s">
        <v>128</v>
      </c>
      <c r="K45" s="214"/>
      <c r="L45" s="6"/>
      <c r="O45" s="6"/>
    </row>
    <row r="46" spans="2:23" ht="15.75" thickBot="1">
      <c r="F46" s="410"/>
      <c r="G46" s="410"/>
      <c r="H46" s="410"/>
      <c r="J46" s="174" t="s">
        <v>7</v>
      </c>
      <c r="K46" s="175">
        <f>SUM(K41:K45)</f>
        <v>0</v>
      </c>
      <c r="L46" s="6"/>
      <c r="O46" s="6"/>
    </row>
    <row r="47" spans="2:23">
      <c r="L47" s="6"/>
      <c r="O47" s="6"/>
    </row>
    <row r="48" spans="2:23">
      <c r="L48" s="6"/>
      <c r="O48" s="6"/>
    </row>
    <row r="49" spans="2:18">
      <c r="B49" s="135" t="s">
        <v>372</v>
      </c>
      <c r="L49" s="6"/>
    </row>
    <row r="50" spans="2:18">
      <c r="L50" s="6"/>
    </row>
    <row r="51" spans="2:18">
      <c r="L51" s="6"/>
      <c r="M51" s="6"/>
      <c r="N51" s="6"/>
    </row>
    <row r="52" spans="2:18">
      <c r="M52" s="6"/>
      <c r="N52" s="6"/>
      <c r="R52" s="7"/>
    </row>
    <row r="59" spans="2:18">
      <c r="M59" s="6"/>
      <c r="N59" s="6"/>
    </row>
    <row r="60" spans="2:18">
      <c r="M60" s="6"/>
      <c r="N60" s="6"/>
    </row>
    <row r="61" spans="2:18">
      <c r="M61" s="6"/>
      <c r="N61" s="6"/>
    </row>
    <row r="62" spans="2:18">
      <c r="M62" s="6"/>
      <c r="N62" s="6"/>
    </row>
    <row r="63" spans="2:18">
      <c r="M63" s="6"/>
      <c r="N63" s="6"/>
    </row>
    <row r="64" spans="2:18">
      <c r="M64" s="6"/>
      <c r="N64" s="6"/>
    </row>
    <row r="65" spans="13:14">
      <c r="M65" s="6"/>
      <c r="N65" s="6"/>
    </row>
    <row r="66" spans="13:14">
      <c r="M66" s="6"/>
      <c r="N66" s="6"/>
    </row>
    <row r="67" spans="13:14">
      <c r="M67" s="6"/>
      <c r="N67" s="6"/>
    </row>
    <row r="68" spans="13:14">
      <c r="M68" s="6"/>
      <c r="N68" s="6"/>
    </row>
    <row r="69" spans="13:14">
      <c r="M69" s="6"/>
      <c r="N69" s="6"/>
    </row>
    <row r="70" spans="13:14">
      <c r="M70" s="6"/>
      <c r="N70" s="6"/>
    </row>
    <row r="71" spans="13:14">
      <c r="M71" s="6"/>
      <c r="N71" s="6"/>
    </row>
  </sheetData>
  <sheetProtection algorithmName="SHA-512" hashValue="4RUEKeiWYTESjtlm/s2aRNz3h56ozKNGT7CVXUeec3XvWyfX8tof8fx5deHIL17KxeFKwSYDidh0e/YMsoek2w==" saltValue="Zn4ZGlTc66XCxz2Hm0pvlw==" spinCount="100000" sheet="1" formatCells="0" formatColumns="0"/>
  <mergeCells count="67">
    <mergeCell ref="V31:W31"/>
    <mergeCell ref="V36:W36"/>
    <mergeCell ref="D1:E3"/>
    <mergeCell ref="M1:M3"/>
    <mergeCell ref="C1:C3"/>
    <mergeCell ref="J1:K3"/>
    <mergeCell ref="G1:H3"/>
    <mergeCell ref="V24:W24"/>
    <mergeCell ref="V20:W20"/>
    <mergeCell ref="S12:T12"/>
    <mergeCell ref="B8:E8"/>
    <mergeCell ref="G8:H8"/>
    <mergeCell ref="M15:N15"/>
    <mergeCell ref="D14:E14"/>
    <mergeCell ref="M24:N24"/>
    <mergeCell ref="G19:H19"/>
    <mergeCell ref="G24:H24"/>
    <mergeCell ref="B16:C16"/>
    <mergeCell ref="B21:C21"/>
    <mergeCell ref="B17:C17"/>
    <mergeCell ref="J15:K15"/>
    <mergeCell ref="V6:W6"/>
    <mergeCell ref="V8:W8"/>
    <mergeCell ref="V1:W3"/>
    <mergeCell ref="S1:T3"/>
    <mergeCell ref="M8:N8"/>
    <mergeCell ref="S8:T8"/>
    <mergeCell ref="B13:E13"/>
    <mergeCell ref="C9:E9"/>
    <mergeCell ref="S27:T27"/>
    <mergeCell ref="P18:Q18"/>
    <mergeCell ref="P1:Q3"/>
    <mergeCell ref="N1:N3"/>
    <mergeCell ref="J20:K20"/>
    <mergeCell ref="S18:T18"/>
    <mergeCell ref="J25:K25"/>
    <mergeCell ref="P27:Q27"/>
    <mergeCell ref="J8:K8"/>
    <mergeCell ref="B20:C20"/>
    <mergeCell ref="D15:E15"/>
    <mergeCell ref="B15:C15"/>
    <mergeCell ref="B18:C18"/>
    <mergeCell ref="B19:C19"/>
    <mergeCell ref="B6:E6"/>
    <mergeCell ref="P8:Q8"/>
    <mergeCell ref="G6:H6"/>
    <mergeCell ref="P12:Q12"/>
    <mergeCell ref="S6:T6"/>
    <mergeCell ref="J6:K6"/>
    <mergeCell ref="M6:N6"/>
    <mergeCell ref="P6:Q6"/>
    <mergeCell ref="B31:D31"/>
    <mergeCell ref="B32:D32"/>
    <mergeCell ref="B37:H41"/>
    <mergeCell ref="B42:H42"/>
    <mergeCell ref="V14:W14"/>
    <mergeCell ref="B14:C14"/>
    <mergeCell ref="M38:N38"/>
    <mergeCell ref="J32:K32"/>
    <mergeCell ref="P36:Q36"/>
    <mergeCell ref="M31:N31"/>
    <mergeCell ref="J40:K40"/>
    <mergeCell ref="B35:D35"/>
    <mergeCell ref="B34:E34"/>
    <mergeCell ref="B22:C22"/>
    <mergeCell ref="G29:H29"/>
    <mergeCell ref="B24:E24"/>
  </mergeCells>
  <dataValidations count="148">
    <dataValidation allowBlank="1" showInputMessage="1" showErrorMessage="1" promptTitle="Adresse" prompt="Hier gibst du die Adresse deiner Immobilie ein. Sie erscheint dann automatisch auch auf allen Blättern und Ausdrucken." sqref="C9:E9" xr:uid="{00000000-0002-0000-0100-000001000000}"/>
    <dataValidation type="date" allowBlank="1" showInputMessage="1" showErrorMessage="1" errorTitle="Kaufdatum"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02000000}">
      <formula1>1</formula1>
      <formula2>109574</formula2>
    </dataValidation>
    <dataValidation type="decimal" operator="greaterThan" showInputMessage="1" showErrorMessage="1" errorTitle="Wohnfläche" error="Bitte gib die Wohnfläche in m² als positive Zahl ein, bspw. 31." promptTitle="Wohnfläche" prompt="Hier gibst du die Gesamt-Wohnfläche der Immobilie ein._x000a__x000a_Format: Wohnfläche in m² als positive Zahl, bspw. 31." sqref="C11" xr:uid="{00000000-0002-0000-0100-000003000000}">
      <formula1>0</formula1>
    </dataValidation>
    <dataValidation type="decimal" operator="greaterThanOrEqual" allowBlank="1" showInputMessage="1" showErrorMessage="1" errorTitle="Stellplätze" error="Bitte gib die Anzahl der Stellplätze als nicht negative Zahl ein, bspw. 1." promptTitle="Stellplätze" prompt="Hier gibst du die Anzahl an Stellplätzen ein, die zur Immobilie gehören. Dies dient lediglich deiner eigenen Informationen._x000a__x000a_Format: Anzahl Stellplätze als nicht negative Zahl, bspw. 1." sqref="E11" xr:uid="{00000000-0002-0000-0100-000004000000}">
      <formula1>0</formula1>
    </dataValidation>
    <dataValidation type="decimal" operator="greaterThanOrEqual" showInputMessage="1" showErrorMessage="1" errorTitle="Kaufpreis" error="Bitte gib den Kaufpreis in Euro ein, bspw. 55000. Der Kaufpreis darf nicht negativ sein. " promptTitle="Kaufpreis" prompt="Hier gibst du den Kaufpreis ein._x000a__x000a_Format: Kaufpreis in Euro, bspw. 55000." sqref="D14:E14" xr:uid="{00000000-0002-0000-0100-000005000000}">
      <formula1>0</formula1>
    </dataValidation>
    <dataValidation type="decimal" operator="greaterThanOrEqual" allowBlank="1" showInputMessage="1" showErrorMessage="1" errorTitle="Notar" error="Bitte gib die Notarkosten in % des Kaufpreises ein, bspw. 1,50%. Der Wert darf nicht negativ sein." promptTitle="Notar" prompt="Hier gibst du die Notarkosten (inkl. USt.) ein. Eine übliche Annahme ist 1,50% des Kaufpreises._x000a__x000a_Format: Notarkosten in % des Kaufpreises, bspw. 1,50%." sqref="D17" xr:uid="{00000000-0002-0000-0100-000007000000}">
      <formula1>0</formula1>
    </dataValidation>
    <dataValidation type="decimal" operator="greaterThanOrEqual" allowBlank="1" showInputMessage="1" showErrorMessage="1" errorTitle="Grundbucheintragung" error="Bitte gib die Kosten für die Grundbucheintragung in % des Kaufpreises ein, bspw. 1,10%. Der Wert darf nicht negativ sein." promptTitle="Grundbucheintragungsgebühr" prompt="Die Kosten für die Grundbucheintragung beim Erwerb einer Liegenschaft betragen in Österreich 1,10% vom Kaufpreis._x000a__x000a_Format: Grundbucheintragungsk. in % des Kaufpreises, bspw. 1,10%." sqref="D18" xr:uid="{00000000-0002-0000-0100-000008000000}">
      <formula1>0</formula1>
    </dataValidation>
    <dataValidation type="decimal" operator="greaterThanOrEqual" allowBlank="1" showInputMessage="1" showErrorMessage="1" errorTitle="Grunderwerbsteuer" error="Bitte gib die Grunderwerbsteuer in % des Kaufpreises ein, bspw. 3,50%. Der Wert darf nicht negativ sein." promptTitle="Grunderwerbsteuer" prompt="Hier gibst du die Grunderwerbsteuer ein. Diese beträgt in Österreich im Allgemeinen 3,50%. In Ausnahmefällen (bspw. Erwerb im Familienkreis) kann diese allerdings abweichen._x000a__x000a_Format: Grunderwerbsteuer in % des Kaufpreises, bspw. 3,50%." sqref="D19" xr:uid="{00000000-0002-0000-0100-00000900000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Sonstige Kaufnebenkosten" prompt="Hier gibst du sonstige Kaufnebenkosten ein. Bspw. für einen Bausachverständigen._x000a__x000a_Format: Sonstige Kaufnebenkosten in % des Kaufpreises, bspw. 1,00%." sqref="D20" xr:uid="{00000000-0002-0000-0100-00000A000000}">
      <formula1>0</formula1>
    </dataValidation>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4:E24" xr:uid="{00000000-0002-0000-0100-00000B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0100-00000C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0100-00000D000000}"/>
    <dataValidation allowBlank="1" showInputMessage="1" showErrorMessage="1" promptTitle="Anfängliche Investitionen - was" prompt="Hier beschreibst du kurz, worum es bei der Investition geht." sqref="B26:B29" xr:uid="{00000000-0002-0000-0100-00000E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USt.)._x000a__x000a_Format: Kosten in Euro, bspw. 3000." sqref="C26:C29" xr:uid="{00000000-0002-0000-0100-00000F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6:E29" xr:uid="{00000000-0002-0000-0100-000010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1" xr:uid="{00000000-0002-0000-0100-000011000000}"/>
    <dataValidation allowBlank="1" showInputMessage="1" showErrorMessage="1" promptTitle="Gesamtinvestitionskosten" prompt="Hier werden deine Gesamtinvestitionskosten angezeigt. Dies ist die Summe aus Kaufpreis, Kaufnebenkosten und anfänglichen Investitionen." sqref="B34:E34" xr:uid="{00000000-0002-0000-0100-000013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0100-000014000000}"/>
    <dataValidation type="decimal" operator="greaterThanOrEqual" allowBlank="1" showInputMessage="1" showErrorMessage="1" errorTitle="Kaltmiete pro qm" error="Bitte gib die Kaltmiete pro m² in Euro ein, bspw. 12,0. DIe Miete darf nicht negativ sein." promptTitle="Kaltmiete Wohnfläche pro qm" prompt="Hier gibst du die Kaltmiete pro Quadratmeter Wohnfläche ein. Du kannst darunter auch einfach eine Gesamtmiete für die Wohnfläche eingeben._x000a__x000a_Format: Miete pro m² in Euro, bspw. 12,0." sqref="H9" xr:uid="{00000000-0002-0000-0100-000015000000}">
      <formula1>0</formula1>
    </dataValidation>
    <dataValidation type="decimal" operator="greaterThanOrEqual" allowBlank="1" showInputMessage="1" showErrorMessage="1" errorTitle="Kaltmiete Wohnfäche gesamt" error="Wenn du statt der automatischen Berechnung eine Gesamtmiete eingeben möchtest, gib diese bitte in Euro als Zahl ein, bspw. 372. Die Miete darf nicht negativ sein." promptTitle="Kaltmiete Wohnfläche gesamt" prompt="Dieser Wert wird aus der Wohnfläche und der Kaltmiete pro m² berechnet. Du kannst die Formel aber auch einfach mit einer Gesamtmiete für die Wohnfläche überschreiben._x000a__x000a_Format: Miete pro Monat in Euro, bspw. 372." sqref="H10" xr:uid="{00000000-0002-0000-0100-000016000000}">
      <formula1>0</formula1>
    </dataValidation>
    <dataValidation type="decimal" operator="greaterThanOrEqual" allowBlank="1" showInputMessage="1" showErrorMessage="1" errorTitle="Miete für Stellplätze" error="Bitte gib die Miete für Stellplätze in Euro als Zahl ein, bspw. 45. Die Miete darf nicht negativ sein." promptTitle="Miete für Stellplätze" prompt="Hier gibst du eine eventuelle zusätzliche Miete für Stellplätze ein._x000a__x000a_Format: Miete pro Monat in Euro, bspw. 45." sqref="H11" xr:uid="{00000000-0002-0000-0100-000017000000}">
      <formula1>0</formula1>
    </dataValidation>
    <dataValidation type="decimal" operator="greaterThanOrEqual" allowBlank="1" showInputMessage="1" showErrorMessage="1" errorTitle="Sonstige Miete" error="Bitte gib die sonstigen Mieteinkünfte in Euro als Zahl ein, bspw. 50. Die Miete darf nicht negativ sein." promptTitle="Sonstige Miete" prompt="Hier gibst du eventuelle sonstige Mieteinkünfte ein. Das können zum Beispiel absehbare Überschüsse aus einer Pauschalmiete über die umlagefähigen Bewirtschaftungskosten sein._x000a__x000a_Format: Miete in Euro pro Monat, bspw. 50." sqref="H12" xr:uid="{00000000-0002-0000-0100-000018000000}">
      <formula1>0</formula1>
    </dataValidation>
    <dataValidation allowBlank="1" showInputMessage="1" showErrorMessage="1" promptTitle="Nettokaltmiete" prompt="Diese Nettokaltmiete ergibt sich aus deinen Mieteingaben. Sie ist die Ausgangsbasis für alle weiteren Berechnungen. Wenn du in der Profi-Version den Mehrfamilienhaus-Kalkulator verwendest, wird diese Zahl NICHT verwendet." sqref="H13" xr:uid="{00000000-0002-0000-0100-000019000000}"/>
    <dataValidation allowBlank="1" showInputMessage="1" showErrorMessage="1" promptTitle="Nettokaltmiete MFH-Kalkulator" prompt="Wenn du in der Profi-Version den Mehrfamilienhaus-Kalkulator einschaltest, wird hier die dort ermittelte Gesamtmiete verwendet (Summe über alle Wohneinheiten). Wenn du die normale Mietberechnung verwenden möchtest, schalte bitte den MFH-Kalkulator aus." sqref="H14" xr:uid="{00000000-0002-0000-0100-00001A000000}"/>
    <dataValidation allowBlank="1" showInputMessage="1" showErrorMessage="1" promptTitle="Nettokaltmiete (effektiv)" prompt="DIese Nettokaltmiete wird effektiv für alle weiteren Berechnungen verwendet. Es handelt sich entweder um die oben ermittelte Nettokaltmiete oder um die im Mehrfamilienhaus-Kalkulator ermittelte Gesamtmiete (Profi-Version)." sqref="H15" xr:uid="{00000000-0002-0000-0100-00001B000000}"/>
    <dataValidation allowBlank="1" showInputMessage="1" showErrorMessage="1" promptTitle="Umlegbare Kosten" prompt="Die umlegbaren Kosten stammen aus den Eingaben im Bereich &quot;Bewirtschaftungskosten&quot; und werden zur Ermittlung der Bruttokaltmiete auf die Nettokaltmiete aufgeschlagen." sqref="H16" xr:uid="{00000000-0002-0000-0100-00001C000000}"/>
    <dataValidation allowBlank="1" showInputMessage="1" showErrorMessage="1" promptTitle="Bruttokaltmiete" prompt="Dies ist die Summe aus der Nettokaltmiete (effektiv) und den umlagefähigen Kosten." sqref="H17" xr:uid="{00000000-0002-0000-0100-00001D000000}"/>
    <dataValidation type="decimal" allowBlank="1" showInputMessage="1" showErrorMessage="1" errorTitle="AfA Satz" error="Der Abschreibungssatz sollte in aller Regel 1,5% oder 2,0% betragen. Keinesfalls kann er negativ sein oder &gt; 100% betragen." promptTitle="AfA Satz" prompt="Jährlicher steuerlicher Abschreibungssatz. Für Wohngebäude mit Fertigstellung nach 31.12.1914: 1,5%. Bei Fertigstellung davor: 2,0%._x000a__x000a_In der Profi-Version kann auf einem separaten Tabellenblatt zusätzlich eine Denkmal-Abschreibung abgebildet werden." sqref="H20" xr:uid="{00000000-0002-0000-0100-00001E000000}">
      <formula1>0</formula1>
      <formula2>1</formula2>
    </dataValidation>
    <dataValidation type="decimal" allowBlank="1" showInputMessage="1" showErrorMessage="1" errorTitle="Gebäudeanteil am Kaufpreis" error="Bitte gib den Gebäudeanteil am Kaufpreis in % ein, bspw. 75%. Der Wert muss zwischen 0% und 100% liegen." promptTitle="Gebäudeanteil am Kaufpreis" prompt="Nur der Gebäudeanteil des Kaufpreises kann steuerlich abgeschrieben werden. Der Grundanteil hingegen nicht. Wie hoch der Gebäudeanteil ist, hängt von Art und Standort der Immobilie ab. Siehe Blatt &quot;Hinweise_AT&quot;_x000a__x000a_Format: Gebäudeanteil in %, bspw. 70%." sqref="H21" xr:uid="{00000000-0002-0000-0100-00001F000000}">
      <formula1>0</formula1>
      <formula2>1</formula2>
    </dataValidation>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22" xr:uid="{00000000-0002-0000-0100-000020000000}"/>
    <dataValidation allowBlank="1" showInputMessage="1" showErrorMessage="1" promptTitle="Steuern" prompt="Hier gibst du wichtige Basisdaten für die steuerliche Berechnung deiner Immobilie ein. Bitte besprich alle steuerlichen Details immer auch mit deinem Steuerberater." sqref="G19:H19" xr:uid="{00000000-0002-0000-0100-000021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24:H24" xr:uid="{00000000-0002-0000-0100-000022000000}"/>
    <dataValidation type="decimal" allowBlank="1" showInputMessage="1" showErrorMessage="1" errorTitle="Kalkulatorischer Mietausfall" error="Bitte gib den kalkulatorischen Mietausfall in % ein. Der Wert muss zwischen 0% und 100% liegen." promptTitle="Kalkulatorischer Mietausfall" prompt="Hier gibst du ein, wie viel % der Bruttokaltmiete du für zukünftigen Mietausfall zurücklegen möchtest. Die richtige Höhe hängt von der Lage und Vermietbarkeit der Immobilie ab. Eine häufige Annahme sind 3%._x000a__x000a_Format: Rücklage in % der BKM, bspw. 3%." sqref="H25" xr:uid="{00000000-0002-0000-0100-000023000000}">
      <formula1>0</formula1>
      <formula2>1</formula2>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Bei einer Eigentumswohnung gibt es zusätzlich die Rücklage der Eigentümergemeinschaft (WEG Rücklage). Eine übliche Annahme sind 10€_x000a__x000a_Format: Euro pro m² Wohnfläche und Jahr, bspw. 10." sqref="H26" xr:uid="{00000000-0002-0000-0100-000024000000}">
      <formula1>0</formula1>
    </dataValidation>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7" xr:uid="{00000000-0002-0000-0100-000025000000}"/>
    <dataValidation allowBlank="1" showInputMessage="1" showErrorMessage="1" promptTitle="Prognose" prompt="Hier gibst du Basisdaten für die Hochschätzung deiner Immobilien-Kalkulation in die Zukunft ein." sqref="G29:H29" xr:uid="{00000000-0002-0000-0100-000026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30" xr:uid="{00000000-0002-0000-0100-000027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31" xr:uid="{00000000-0002-0000-0100-000028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32" xr:uid="{00000000-0002-0000-0100-000029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0100-00002A000000}"/>
    <dataValidation allowBlank="1" showInputMessage="1" showErrorMessage="1" promptTitle="Umlegbare Kosten" prompt="Die Summe aller Kosten, die du als auf den Mieter umlegbar eingegeben hast." sqref="K9" xr:uid="{00000000-0002-0000-0100-00002B000000}"/>
    <dataValidation allowBlank="1" showInputMessage="1" showErrorMessage="1" promptTitle="Nicht umlegbare Kosten" prompt="Die Summe aller Kosten, die du als nicht auf den Mieter umlegbar eingegeben hast." sqref="K10" xr:uid="{00000000-0002-0000-0100-00002C000000}"/>
    <dataValidation allowBlank="1" showInputMessage="1" showErrorMessage="1" promptTitle="Nicht umlegbare Kosten" prompt="Welchen Anteil deiner Nettokaltmiete musst du aufwenden, um die nicht umlegbaren Kosten zu decken. Je höher dieser Wert, desto weniger Geld bleibt dir für die Annuität bzw. Vermögensaufbau." sqref="K11" xr:uid="{00000000-0002-0000-0100-00002D000000}"/>
    <dataValidation allowBlank="1" showInputMessage="1" showErrorMessage="1" promptTitle="Betriebskosten insgesamt" prompt="Die Summe deiner umlegbaren und nicht umlegbaren Betriebskosten." sqref="K12" xr:uid="{00000000-0002-0000-0100-00002E000000}"/>
    <dataValidation type="decimal" operator="greaterThanOrEqual" allowBlank="1" showInputMessage="1" showErrorMessage="1" promptTitle="Umlegbare Betriebskosten" prompt="Die Anteil der Betriebskosten, die du als auf den Mieter umlegbar eingegeben hast." sqref="K21" xr:uid="{00000000-0002-0000-0100-000031000000}">
      <formula1>0</formula1>
    </dataValidation>
    <dataValidation allowBlank="1" showInputMessage="1" showErrorMessage="1" promptTitle="Sonstige umlegbaren Kosten" prompt="Die sonstigen umlegbaren Kosten gibst du weiter unten im Detail ein. Hier findest du die Summe." sqref="K22" xr:uid="{00000000-0002-0000-0100-000033000000}"/>
    <dataValidation allowBlank="1" showInputMessage="1" showErrorMessage="1" promptTitle="Sonstige nicht umlegbare Kosten" prompt="Die sonstigen nicht umlegbaren Kosten gibst du weiter unten im Detail ein. Hier findest du die Summe." sqref="K29" xr:uid="{00000000-0002-0000-0100-000034000000}"/>
    <dataValidation type="decimal" operator="greaterThanOrEqual" allowBlank="1" showInputMessage="1" showErrorMessage="1" errorTitle="WEG Rücklage" error="Bitte gib die WEG Rücklage in Euro pro Monat ein. Der Wert darf nicht negativ sein." promptTitle="Reparaturrücklage" prompt="Siehe Eingabefeld weiter oben" sqref="K26" xr:uid="{00000000-0002-0000-0100-000036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7" xr:uid="{00000000-0002-0000-0100-000037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8" xr:uid="{00000000-0002-0000-0100-000038000000}"/>
    <dataValidation allowBlank="1" showInputMessage="1" showErrorMessage="1" promptTitle="Summe nicht umlegbare Kosten" prompt="Die Summe aller Kosten, die du als nicht auf den Mieter umlegbar eingegeben hast." sqref="K30" xr:uid="{00000000-0002-0000-0100-000039000000}"/>
    <dataValidation allowBlank="1" showInputMessage="1" showErrorMessage="1" promptTitle="Summe umlegbare Kosten" prompt="Die Summe der umlegbaren Kosten. Diese werden zur Berechnung der Warmmiete auf die Nettokaltmiete aufgeschlagen." sqref="K23" xr:uid="{00000000-0002-0000-0100-00003A000000}"/>
    <dataValidation type="decimal" operator="greaterThanOrEqual" allowBlank="1" showInputMessage="1" showErrorMessage="1" errorTitle="Sonstige umlegbare Kosten" error="Bitte gib die Kosten in Euro pro Monat ein, bspw. 5. Der Wert darf nicht negativ sein." promptTitle="Sonstige umlegbare Kosten" prompt="Hier gibst du den Betrag dieser Kostenposition ein._x000a__x000a_Format: Euro pro Monat, bspw. 5." sqref="K33:K37" xr:uid="{00000000-0002-0000-0100-00003B000000}">
      <formula1>0</formula1>
    </dataValidation>
    <dataValidation type="decimal" operator="greaterThanOrEqual" allowBlank="1" showInputMessage="1" showErrorMessage="1" errorTitle="Sonstige nicht umlegbare Kosten" error="Bitte gib die Kosten in Euro pro Monat ein, bspw. 5. Der Wert darf nicht negativ sein." promptTitle="Sonstige nicht umlegbare Kosten" prompt="Hier gibst du den Betrag dieser Kostenposition ein._x000a__x000a_Format: Euro pro Monat, bspw. 5." sqref="K41:K45" xr:uid="{00000000-0002-0000-0100-00003C000000}">
      <formula1>0</formula1>
    </dataValidation>
    <dataValidation allowBlank="1" showInputMessage="1" showErrorMessage="1" promptTitle="Sonstige umlegbare Kosten" prompt="Hier gibst du die Bezeichnung der entsprechenden Kostenposition ein." sqref="J33:J36" xr:uid="{00000000-0002-0000-0100-00003D000000}"/>
    <dataValidation allowBlank="1" showInputMessage="1" showErrorMessage="1" promptTitle="Sonstige nicht umlegbare Kosten" prompt="Hier gibst du die Bezeichnung der entsprechenden Kostenposition ein." sqref="J41:J44" xr:uid="{00000000-0002-0000-0100-00003E000000}"/>
    <dataValidation allowBlank="1" showInputMessage="1" showErrorMessage="1" promptTitle="Sonstige umlegbare Kosten" prompt="Hier gibst du die Details zu sonstigen umlegbaren Kosten ein. Dies kannst du z.B. verwenden, wenn du keine Wohnung sondern ein komplettes Mehrfamilienhaus kalkulierst und die grobe Kostenstruktur abbilden möchtest." sqref="J32:K32" xr:uid="{00000000-0002-0000-0100-00003F000000}"/>
    <dataValidation allowBlank="1" showInputMessage="1" showErrorMessage="1" promptTitle="Sonstige nicht umlegbare Kosten" prompt="Hier gibst du die Details zu sonstigen nicht umlegbaren Kosten ein. Dies kanst du z.B. verwenden, wenn du keine Wohnung sondern ein komplettes Mehrfamilienhaus kalkulierst und die grobe Kostenstruktur abbilden möchtest." sqref="J40:K40" xr:uid="{00000000-0002-0000-0100-000040000000}"/>
    <dataValidation allowBlank="1" showInputMessage="1" showErrorMessage="1" promptTitle="Gesamt-Finanzierung" prompt="Hier findest du die Zusammenfassung deiner Finanzierung, die sich aus der Summe aller Darlehen ergibt." sqref="M8:N8" xr:uid="{00000000-0002-0000-0100-000041000000}"/>
    <dataValidation allowBlank="1" showInputMessage="1" showErrorMessage="1" promptTitle="Darlehenssumme" prompt="Hier findest du die Gesamtsumme aller Darlehen." sqref="N9" xr:uid="{00000000-0002-0000-0100-000042000000}"/>
    <dataValidation allowBlank="1" showInputMessage="1" showErrorMessage="1" promptTitle="Eigenkapital" prompt="Dieser Eigenkapital-Bedarf ergibt sich als Differenz aus deinen Gesamtinvestitionskosten und der Summe aller Darlehen." sqref="N10" xr:uid="{00000000-0002-0000-0100-000043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0100-000044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0100-000045000000}"/>
    <dataValidation allowBlank="1" showInputMessage="1" showErrorMessage="1" promptTitle="Annuität pro Monat" prompt="Dies ist die Annuität, die du für alle Darlehen zusammen pro Monat leisten musst." sqref="N13" xr:uid="{00000000-0002-0000-0100-000046000000}"/>
    <dataValidation type="decimal" operator="greaterThanOrEqual" allowBlank="1" showInputMessage="1" showErrorMessage="1" errorTitle="Darlehenssumme vom Kaufpreis" error="Bitte gib die Darlehenssumme in % des Kaufpreises ein, bspw. 80%. Der Wert darf nicht negativ sein." promptTitle="Darlehenssumme vom Kaufpreis" prompt="Hier gibst du ein, zu wie viel % du den Kaufpreis über dein Hauptdarlehen (Darlehen I) finanzieren möchtest. Du kannst auch einen Wert über 100% eingeben._x000a__x000a_Format: Darlehenssumme in % des Kaufpreises, bspw. 80%." sqref="N16" xr:uid="{00000000-0002-0000-0100-000047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39 N25 N32" xr:uid="{00000000-0002-0000-0100-000048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Wird aus der % Angabe darüber berechnet. Du kannst aber auch einen festen Betrag eingeben._x000a__x000a_Format: Euro als Zahl, bspw. 44000." sqref="N17" xr:uid="{00000000-0002-0000-0100-000049000000}">
      <formula1>0</formula1>
    </dataValidation>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40 N33 N26 N18" xr:uid="{00000000-0002-0000-0100-00004A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19 N27 N34 N41" xr:uid="{00000000-0002-0000-0100-00004B000000}">
      <formula1>0</formula1>
    </dataValidation>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9 N36 N43" xr:uid="{00000000-0002-0000-0100-00004D000000}"/>
    <dataValidation allowBlank="1" showInputMessage="1" showErrorMessage="1" promptTitle="Darlehen" prompt="Hier gibst du die Details zu diesem Darlehen ein." sqref="M15:N15 M24:N24 M31:N31 M38:N38" xr:uid="{00000000-0002-0000-0100-00004E000000}"/>
    <dataValidation allowBlank="1" showInputMessage="1" showErrorMessage="1" promptTitle="Vermögenszuwachs" prompt="Hier erfährst du, welchen jährlichen Vermögenszuwachs du mit deiner Immobilie zu Beginn erwirtschaftest." sqref="P8:Q8" xr:uid="{00000000-0002-0000-0100-00004F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0100-000050000000}"/>
    <dataValidation allowBlank="1" showInputMessage="1" showErrorMessage="1" promptTitle="Vermögenszuwachs ohne Wertsteig." prompt="Dieser Wert zeigt dir, welcher Teil deines Vermögenszuwaches aus laufenden Erträgen (Miete bzw. Tilgung und Cashflow) entsteht." sqref="Q10" xr:uid="{00000000-0002-0000-0100-000051000000}"/>
    <dataValidation allowBlank="1" showInputMessage="1" showErrorMessage="1" promptTitle="Miete und Mietrendite" prompt="Hier erfährst du Details zu deinen jährlichen Mieteinnahmen und üblichen Mietrendite-Kennzahlen." sqref="P12:Q12" xr:uid="{00000000-0002-0000-0100-000052000000}"/>
    <dataValidation allowBlank="1" showInputMessage="1" showErrorMessage="1" promptTitle="Nettokaltmiete pro Jahr" prompt="Dies ist eine jährliche Nettokaltmiete." sqref="Q13" xr:uid="{00000000-0002-0000-0100-000053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0100-000054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0100-000055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0100-000056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0100-000057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0100-000058000000}"/>
    <dataValidation allowBlank="1" showInputMessage="1" showErrorMessage="1" promptTitle="Bruttokaltmiete" prompt="Die Cashflow Berechnung beginnt mit der Bruttokaltmiete." sqref="T19 Q19" xr:uid="{00000000-0002-0000-0100-000059000000}"/>
    <dataValidation allowBlank="1" showInputMessage="1" showErrorMessage="1" promptTitle="Bewirtschaftungskosten" prompt="Die Bewirtschaftungskosten bezahlst du aus der Warmmiete und sie mindern somit deinen Cashflow." sqref="Q20 T20" xr:uid="{00000000-0002-0000-0100-00005A000000}"/>
    <dataValidation allowBlank="1" showInputMessage="1" showErrorMessage="1" promptTitle="Zinsen" prompt="Die Zinsen bezahlst du aus deiner Miete. Sie mindern somit deinen Cashflow." sqref="Q21 T21" xr:uid="{00000000-0002-0000-0100-00005B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0100-00005C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0100-00005D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0100-00005E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0100-00005F000000}"/>
    <dataValidation allowBlank="1" showInputMessage="1" showErrorMessage="1" promptTitle="Bruttokaltmiete" prompt="Die Berechnung der Steuer beginnt mit der Bruttokaltmiete." sqref="T28 Q28" xr:uid="{00000000-0002-0000-0100-000060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0100-000061000000}"/>
    <dataValidation allowBlank="1" showInputMessage="1" showErrorMessage="1" promptTitle="Zinsen" prompt="Zinsen mindern bei vermieteten Immobilien die Besteuerungsbasis." sqref="Q30 T30" xr:uid="{00000000-0002-0000-0100-000062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0100-000063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0100-000064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55%. Bitte inkl. Kirchensteuer eingeben." sqref="Q33" xr:uid="{00000000-0002-0000-0100-000065000000}">
      <formula1>0</formula1>
      <formula2>1</formula2>
    </dataValidation>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0100-000066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0100-000067000000}"/>
    <dataValidation allowBlank="1" showInputMessage="1" showErrorMessage="1" promptTitle="Eigenkapitalrendite" prompt="Hier findest du Informationen zur Eigenkapitalrendite deiner Immobilien-Investition." sqref="P36:Q36" xr:uid="{00000000-0002-0000-0100-000068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0100-000069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0100-00006A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0100-00006B000000}"/>
    <dataValidation allowBlank="1" showInputMessage="1" showErrorMessage="1" promptTitle="entspricht Jahre nach dem Kauf" prompt="Das ausgewählte Jahr entspricht dieser Anzahl von Jahren ab dem Kaufdatum." sqref="T10" xr:uid="{00000000-0002-0000-0100-00006C000000}"/>
    <dataValidation allowBlank="1" showInputMessage="1" showErrorMessage="1" promptTitle="Miete und Wert" prompt="Hier findest du eine Hochrechnung für deine Mieteinnahmen und den Wert deiner Immobilie zum oben ausgewählten Zeitpunkt in der Zukunft." sqref="S12:T12" xr:uid="{00000000-0002-0000-0100-00006D000000}"/>
    <dataValidation allowBlank="1" showInputMessage="1" showErrorMessage="1" promptTitle="Nettokaltmiete pro Jahr" prompt="Aus der monatlichen Miete ergibt sich diese jährliche Nettokaltmiete." sqref="T13:T14" xr:uid="{00000000-0002-0000-0100-00006E000000}"/>
    <dataValidation allowBlank="1" showInputMessage="1" showErrorMessage="1" promptTitle="Nettokaltmiete pro qm und Monat" prompt="Die errechnete monatliche Kaltmiete entspricht dieser Miete pro m² Wohnfläche." sqref="T14" xr:uid="{00000000-0002-0000-0100-00006F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0100-000070000000}"/>
    <dataValidation allowBlank="1" showInputMessage="1" showErrorMessage="1" promptTitle="Wert der Immobilie pro qm" prompt="Der errechnete Wert der Immobilie entspricht diesem Wert pro Quadratmeter Wohnfläche." sqref="T16" xr:uid="{00000000-0002-0000-0100-000071000000}"/>
    <dataValidation allowBlank="1" showInputMessage="1" showErrorMessage="1" promptTitle="Break-Even" prompt="Hier erfährst du, ab wann du mit deiner Investition insgesamt im Plus bist." sqref="V8:W8" xr:uid="{00000000-0002-0000-0100-000072000000}"/>
    <dataValidation allowBlank="1" showInputMessage="1" showErrorMessage="1" promptTitle="Cashflow erstmals positiv" prompt="In diesem Jahr ist dein Cashflow nach Steuern das erste Mal positiv. In aller Regel bleibt er das dann auch. Ab diesem Zeitpunkt erwirtschaftest du also passives Einkommen mit der Immobilie." sqref="W9" xr:uid="{00000000-0002-0000-0100-000073000000}"/>
    <dataValidation allowBlank="1" showInputMessage="1" showErrorMessage="1" promptTitle="Kum. Cashflow bis dahin" prompt="Dies ist der kumulierte Cashflow bis zu dem Zeitpunkt, zu dem dein Cashflow nach Steuern erstmals positiv ist._x000a__x000a_Diese Summe schießt du also nach dem Kauf in Form von negativem Cashflow insgesamt hinzu, bis dein Cashflow erstmals positiv ist." sqref="W10" xr:uid="{00000000-0002-0000-0100-000074000000}"/>
    <dataValidation allowBlank="1" showInputMessage="1" showErrorMessage="1" promptTitle="Kum. Cashflow erstmals positiv" prompt="Zu diesem Zeitpunkt bist du mit deinem Cashflow nach Steuern erstmals insgesamt (kumuliert) im Plus. Du hast also anfängliche Jahre mit negativem Cashflow durch Jahre mit positivem Cashflow vollständig wieder reingeholt." sqref="W11" xr:uid="{00000000-0002-0000-0100-000075000000}"/>
    <dataValidation allowBlank="1" showInputMessage="1" showErrorMessage="1" promptTitle="Kum. Cashflow inkl. EK positiv" prompt="Zu diesem Zeitpunkt hast du neben anfänglichem negativen Cashflow auch deinen anfänglichen Eigenkapitaleinsatz durch positiven Cashflow vollständig wieder reingeholt. Du hast insgesamt mehr Cash aus dem Investment herausgeholt als du reingesteckt hast." sqref="W12" xr:uid="{00000000-0002-0000-0100-000076000000}"/>
    <dataValidation allowBlank="1" showInputMessage="1" showErrorMessage="1" promptTitle="Wertschätzung ü. Kaufpreisfaktor" prompt="Hier kannst du eine alternative Wertermittlung deiner Immobilie über einen angenommenen Kaufpreisfaktor vornehmen. Dahinter steckt die Überlegung, dass der Wert deiner Immobilie maßgeblich von ihren Mieteinnahmen bestimmt wird." sqref="V14:W14" xr:uid="{00000000-0002-0000-0100-000077000000}"/>
    <dataValidation allowBlank="1" showInputMessage="1" showErrorMessage="1" promptTitle="Nettokaltmiete pro Jahr" prompt="Die Ausgangsbasis für die Wertermittlung ist die jährliche Nettokaltmiete zum Betrachtungszeitpunkt." sqref="W15" xr:uid="{00000000-0002-0000-0100-000078000000}"/>
    <dataValidation type="decimal" operator="greaterThanOrEqual" allowBlank="1" showInputMessage="1" showErrorMessage="1" errorTitle="Faktor" error="Bitte gib den Kaufpreisfaktor als Zahl ein, bspw. 15. Der Wert darf nicht negativ sein." promptTitle="Faktor" prompt="HIer gibst du ein, mit welchem Kaufpreisfaktor du die Hochschätzung vornehmen möchtest. Wie viele Jahres-Nettokaltmieten sind zum Betrachtungszeitpunkt ein realistischer Verkaufspreis in dem entspr. Immobilienmarkt. Bspw. 15." sqref="W16" xr:uid="{00000000-0002-0000-0100-000079000000}">
      <formula1>0</formula1>
    </dataValidation>
    <dataValidation allowBlank="1" showInputMessage="1" showErrorMessage="1" promptTitle="Wert der Immobilie" prompt="Dies ist der Wert der Immobilie, der sich aus der Multiplikation der Nettokaltmiete mit dem angenommenen Kaufpreisfaktor ergibt." sqref="W17" xr:uid="{00000000-0002-0000-0100-00007A000000}"/>
    <dataValidation allowBlank="1" showInputMessage="1" showErrorMessage="1" promptTitle="Wert pro qm" prompt="Der errechnete Wert der Immobilie entspricht diesem Wert pro m² Wohnfläche." sqref="W18" xr:uid="{00000000-0002-0000-0100-00007B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V20:W20" xr:uid="{00000000-0002-0000-0100-00007C000000}"/>
    <dataValidation allowBlank="1" showInputMessage="1" showErrorMessage="1" promptTitle="Zinsen für CF0 nach Steuern" prompt="Diese Zinsen kannst du dir im betrachteten Jahr monatlich leisten, um einen Cashflow nach Steuern von genau 0 zu erzielen." sqref="W21" xr:uid="{00000000-0002-0000-0100-00007D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W22" xr:uid="{00000000-0002-0000-0100-00007E000000}"/>
    <dataValidation allowBlank="1" showInputMessage="1" showErrorMessage="1" promptTitle="Vermögenszuwachs bis Jahresende" prompt="Hier erfährst du, wie viel Vermögen du bis zum Betrachtungszeitpunkt bereits insgesamt aufgebaut hast. Es wird bis zum Ende des Jahres gerechnet, das du als Betrachtungszeitpukt ausgewählt hast." sqref="V24:W24" xr:uid="{00000000-0002-0000-0100-00007F000000}"/>
    <dataValidation allowBlank="1" showInputMessage="1" showErrorMessage="1" promptTitle="Wert der Immobilie" prompt="Dies ist der Wert der Immobilie zum Betrachtungszeitpunkt. Details zur Berechnung und zum Zeitverlauf findest du auf dem eigenen Tabellenblatt." sqref="W25 W32" xr:uid="{00000000-0002-0000-0100-000080000000}"/>
    <dataValidation allowBlank="1" showInputMessage="1" showErrorMessage="1" promptTitle="Restschuld Darlehen" prompt="Dies ist die aufsummierte Restschuld all deiner Darlehen zum Betrachtungszeitpunkt. Details zur Berechnung und zum Zeitverlauf findest du auf dem eigenen Tabellenblatt." sqref="W26 W33" xr:uid="{00000000-0002-0000-0100-000081000000}"/>
    <dataValidation allowBlank="1" showInputMessage="1" showErrorMessage="1" promptTitle="Eigenkapital Einsatz" prompt="Diesen Betrag hast du anfangs als Eigenkapital eingesetzt. Er hat also dein Vermögen zunächst gemindert." sqref="W27 W37" xr:uid="{00000000-0002-0000-0100-000082000000}"/>
    <dataValidation allowBlank="1" showInputMessage="1" showErrorMessage="1" promptTitle="Kumulierter Cashflow" prompt="Dies ist die kumulierte Summe des Cashflows nach Steuern bis zum Betrachtungszeitpunkt. Dieses Geld ist dir also in Form von Überschüssen zugeflossen." sqref="W28 W38" xr:uid="{00000000-0002-0000-0100-000083000000}"/>
    <dataValidation allowBlank="1" showInputMessage="1" showErrorMessage="1" promptTitle="Vermögenszuwachs" prompt="Dies ist der Vermögenszuwachs, den du bis zum Betrachtungszeitpunkt insgesamt generiert hast. Ein Teil davon ist im Darlehen gebunden (Differenz aus Immobilien-Wert und Restschuld). Ein anderer Teil ist dir bereits zugeflossen." sqref="W29" xr:uid="{00000000-0002-0000-0100-000084000000}"/>
    <dataValidation allowBlank="1" showInputMessage="1" showErrorMessage="1" promptTitle="Objekt und Investition" prompt="In diesem Bereich gibst du Daten zum Objekt und deinen Investitionen ein." sqref="B6:E6" xr:uid="{00000000-0002-0000-0100-000085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0100-000086000000}"/>
    <dataValidation allowBlank="1" showInputMessage="1" showErrorMessage="1" promptTitle="Bewirtschaftungskosten" prompt="In diesem Bereich erfasst du die Kostenstruktur der Immobilie." sqref="J6:K6" xr:uid="{00000000-0002-0000-0100-000087000000}"/>
    <dataValidation allowBlank="1" showInputMessage="1" showErrorMessage="1" promptTitle="Finanzierung" prompt="In diesem Bereich erfasst du deine Darlehen. Außerdem erhältst du wichtige Kennzahlen zu deiner Finanzierung." sqref="M6:N6" xr:uid="{00000000-0002-0000-0100-000088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0100-000089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0100-00008A000000}"/>
    <dataValidation allowBlank="1" showInputMessage="1" showErrorMessage="1" promptTitle="Profi Kennzahlen" prompt="In diesem Bereich findest du zusätzliche Kennzahlen, die dir ganz besondere Transparenz zu deinem Investment geben." sqref="V6:W6" xr:uid="{00000000-0002-0000-0100-00008B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8C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0100-00008D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_x000a__x000a_Solange du im Bereich &quot;Kennzahlen im Verlauf&quot; keine Änderung erfasst hast, wird mit dem gleichen Steuersatz wie im Jahr des Kaufes gerechnet (siehe Cashflow Rechnung für &quot;Kennzahlen heute&quot;)." sqref="T33" xr:uid="{00000000-0002-0000-0100-00008E000000}">
      <formula1>0</formula1>
      <formula2>1</formula2>
    </dataValidation>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S1:T3" xr:uid="{00000000-0002-0000-0100-00008F000000}"/>
    <dataValidation allowBlank="1" showInputMessage="1" showErrorMessage="1" promptTitle="Beleihungsreserve" prompt="Die Differenz aus Immobilienwert und Restschulden der Darlehen kann ggf. zur Besicherung weiterer Darlehen verwendet werden." sqref="W34 V31:W31" xr:uid="{81B7EAD5-C56E-4D33-9E1B-6FAA7EAE6BF7}"/>
    <dataValidation allowBlank="1" showInputMessage="1" showErrorMessage="1" promptTitle="Kontostand" prompt="Stand eines fiktiven Kontos, das bei 0 Euro startet und ab dann sämtliche Mittel-Zu- und -Abflüsse des Investments verbucht. Hierzu zählt der anfängl. EK-Einsatz sowie alle laufenden Ausgaben inkl. Investitionen und Steuern (= kum. Cashflow nach Steuern)" sqref="V36:W36 W39" xr:uid="{5A4580AF-A285-425D-A3CA-2A05C592C6A7}"/>
    <dataValidation type="decimal" operator="greaterThanOrEqual" allowBlank="1" showInputMessage="1" showErrorMessage="1" errorTitle="Pfandrechtseintragung" error="Bitte gib die Kosten für die Pfandrechtseintragung in % der Gesamt-Darlehenshöhe ein. In der Regel exakt 1,20%. Der Wert darf nicht negativ sein." promptTitle="Pfandrechtseintragungsgebühr" prompt="Die Kosten für die Pfandrechtseintragung (für die Immobilienfinanzierung) betragen in Österreich 1,20% der eingetragenen Pfandrechtshöhe. _x000a__x000a_Format: Gebühr in % aller Darlehen (1,20%)._x000a__x000a_Steuerlich sofort abzugsfähig (keine Abschreibung)" sqref="D21" xr:uid="{DD247CAF-83CB-4DE2-B3B5-B5E40500709A}">
      <formula1>0</formula1>
    </dataValidation>
    <dataValidation type="decimal" operator="greaterThanOrEqual" allowBlank="1" showInputMessage="1" showErrorMessage="1" errorTitle="Makler" error="Bitte gib die Maklerprovision in % des Kaufpreises ein, bspw. 3,60%. Der Wert darf nicht negativ sein." promptTitle="Makler" prompt="Die Maklergebühr beträgt in Österreich i.d.R. 3,60% (inkl. Umsatzsteuer) des Kaufpreises_x000a__x000a_Format: Maklerkosten in % des Kaufpreises, bspw. 3,60%." sqref="D16" xr:uid="{9D7B6ABB-F49F-4104-8D14-C4D829F3134E}">
      <formula1>0</formula1>
    </dataValidation>
    <dataValidation allowBlank="1" showInputMessage="1" showErrorMessage="1" promptTitle="Annuität pro Monat" prompt="Dies ist die Annuität, die du für dieses Darlehen pro Monat leisten musst." sqref="N20 N28 N35 N42" xr:uid="{D8DE391A-EEC0-422A-AD26-6C11FBDF70C0}"/>
    <dataValidation type="decimal" operator="greaterThanOrEqual" allowBlank="1" showInputMessage="1" showErrorMessage="1" errorTitle="Betriebskosten" error="Bitte gib die Betriebskosten in Euro ein pro Monat ein, bspw. 105. Der Wert darf nicht negativ sein." promptTitle="Betriebskosten" prompt="Gib hier die Höhe der Betriebskosten der Wohnung ein. Wenn du ein Mehrfamilienhaus kalkulierst, gib einfach 0 ein._x000a__x000a_Format: Euro pro Monat, bspw. 105." sqref="K16" xr:uid="{19DE10A0-8538-4E77-9AEC-C9D516221866}">
      <formula1>0</formula1>
    </dataValidation>
    <dataValidation type="decimal" operator="greaterThanOrEqual" allowBlank="1" showInputMessage="1" showErrorMessage="1" errorTitle="Reparaturrücklage" error="Gib hier die Höhe der Reparaturrücklage ein, die in den Betriebskosten bereits enthalten ist._x000a__x000a_Format: Euro pro Monat, bspw. 105." promptTitle="Reparaturrücklage" prompt="Gib hier die Höhe der Reparaturrücklage ein, die in den Betriebskosten bereits enthalten ist._x000a__x000a_Format: Euro pro Monat, bspw. 105." sqref="K17" xr:uid="{E67A07A5-83FA-4939-826B-C7121B89B36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Pfandrechtseintragungsgebühr" prompt="Hier gibst du die Gebüjhr für die Eintragung des Pfandrechts im Grundbuch ein. _x000a__x000a_Achtung: Steuerlich sofort abzugsfähig und nicht Teil der Abschreibung._x000a__x000a_Format: In % des Kaufpreises, bspw. 1,00%." sqref="D21" xr:uid="{3D07B7D0-FE62-4CBB-9838-6BC8DB60FCDD}">
      <formula1>0</formula1>
    </dataValidation>
    <dataValidation type="decimal" operator="greaterThanOrEqual" allowBlank="1" showInputMessage="1" showErrorMessage="1" errorTitle="Hausgeld (umlagefähiger Anteil)" error="Bitte gib das Hausgeld in Euro ein pro Monat ein, bspw. 105. Der Wert darf nicht negativ sein." promptTitle="Umlegbare Betriebskosten" prompt="Die Anteil der Betriebskosten, die du als auf den Mieter umlegbar eingegeben hast." sqref="K18" xr:uid="{833F4A55-6C65-4442-A6DE-C126D4F61B81}">
      <formula1>0</formula1>
    </dataValidation>
    <dataValidation type="list" allowBlank="1" showInputMessage="1" showErrorMessage="1" errorTitle="Bitte wähle einen der Werte" error="Bitte wähle einen der Werte aus der Dropdown Box." promptTitle="Steuerliche Behandlung" prompt="Über welche Zeitraum muss die Investition steuerlich abgeschrieben werden? Mehr Infos zur richtigen Auswahl findest du auf dem Reiter &quot;Hinweise_AT&quot;._x000a__x000a_Den Verlauf der sich ergebenden Abschreibung findest du auf dem Reiter &quot;Miete, Cashflow, Steuern&quot;." sqref="D26:D29" xr:uid="{8D4F4D66-C887-404F-A4EE-9AE6F16B984B}">
      <formula1>"Sofort,10 Jahre,15 Jahre,50 Jahre,67 Jahre"</formula1>
    </dataValidation>
    <dataValidation type="list" allowBlank="1" showInputMessage="1" showErrorMessage="1" errorTitle="Sofort abzugsfähige Kosten" error="Bitte wähle einen Wert aus dem Dropdown Menü." promptTitle="Sofort abzugsfähige Kosten" prompt="Wenn du sofort abzugsfähige Investitionen im Cashflow des ersten Jahres berücksichtigst, ist das zwar korrekt aber nicht aussagekräftig für die Jahre 2 und folgende. Wir empfehlen, diese Kosten im CF zu ignorieren." sqref="E32" xr:uid="{B0EF51B4-8D29-45DA-B5CE-E5B4CCD0C0E8}">
      <formula1>"Abziehen,Ignorieren"</formula1>
    </dataValidation>
    <dataValidation allowBlank="1" showInputMessage="1" showErrorMessage="1" promptTitle="Abweichende Pfandrechtshöhe?" prompt="Hier kannst du ggf. auch manuell eine abweichende Gebührenhöhe eintragen. Bspw. wenn die Pfandrechtshöhe nicht genau der Darlehenshöhe entspricht." sqref="E21" xr:uid="{07E0FCDB-FCAE-4FD4-962C-B79E1FA91EF8}"/>
  </dataValidations>
  <hyperlinks>
    <hyperlink ref="G1:H3" location="'Miete, Cashflow, Steuern'!A1" display="Kennzahlen im Verlauf" xr:uid="{00000000-0004-0000-0100-000000000000}"/>
    <hyperlink ref="J1:K3" location="Szenarien!A1" display="Szenarien-Vergleich" xr:uid="{00000000-0004-0000-0100-000001000000}"/>
    <hyperlink ref="M1:M3" location="Diagramme!A1" display="Diagramme" xr:uid="{00000000-0004-0000-0100-000002000000}"/>
    <hyperlink ref="N1:N3" location="'MFH-Kalkulator'!A1" display="MFH" xr:uid="{00000000-0004-0000-0100-000003000000}"/>
    <hyperlink ref="P1:Q3" location="Sanierungsplaner!A1" display="Sanierungsplaner" xr:uid="{00000000-0004-0000-0100-000004000000}"/>
    <hyperlink ref="D1:E3" location="Bankgespräch!A1" display="Bankgespräch" xr:uid="{00000000-0004-0000-0100-000005000000}"/>
    <hyperlink ref="B49" location="Deckblatt!A1" display="Keine Gewähr für die Richtigkeit der Angaben. Dieses Tool ersetzt keine fundierte Rechts-, Steuer- oder Finanzberatung. Mehr Details hier." xr:uid="{00000000-0004-0000-0100-000006000000}"/>
    <hyperlink ref="B42:H42" location="Hinweise_AT!A1" display="Zu den Hinweisen" xr:uid="{B2749B80-C33F-41C5-9D1A-5AC8B7B95530}"/>
  </hyperlinks>
  <pageMargins left="0.23622047244094491" right="0.23622047244094491" top="0.74803149606299213" bottom="0.74803149606299213" header="0.31496062992125984" footer="0.31496062992125984"/>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9819B265-8ACE-4E38-B60E-C5CEABC35958}">
            <xm:f>'MFH-Kalkulator'!$C$6="Ein"</xm:f>
            <x14:dxf>
              <font>
                <color theme="0" tint="-0.34998626667073579"/>
              </font>
              <fill>
                <patternFill>
                  <bgColor theme="0" tint="-4.9989318521683403E-2"/>
                </patternFill>
              </fill>
            </x14:dxf>
          </x14:cfRule>
          <xm:sqref>G9:H13</xm:sqref>
        </x14:conditionalFormatting>
        <x14:conditionalFormatting xmlns:xm="http://schemas.microsoft.com/office/excel/2006/main">
          <x14:cfRule type="expression" priority="2" id="{CCC072F9-D2C1-46C1-8AA1-306304C769AD}">
            <xm:f>'MFH-Kalkulator'!$C$6="Aus"</xm:f>
            <x14:dxf>
              <font>
                <color theme="0" tint="-0.34998626667073579"/>
              </font>
              <fill>
                <patternFill>
                  <bgColor theme="0" tint="-4.9989318521683403E-2"/>
                </patternFill>
              </fill>
            </x14:dxf>
          </x14:cfRule>
          <xm:sqref>G14:H14</xm:sqref>
        </x14:conditionalFormatting>
        <x14:conditionalFormatting xmlns:xm="http://schemas.microsoft.com/office/excel/2006/main">
          <x14:cfRule type="colorScale" priority="10"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1" id="{AABD64CF-9B4A-4416-8EB7-E8B0078929DD}">
            <x14:colorScale>
              <x14:cfvo type="num">
                <xm:f>Konfiguration!$E$9</xm:f>
              </x14:cfvo>
              <x14:cfvo type="num">
                <xm:f>Konfiguration!$D$9</xm:f>
              </x14:cfvo>
              <x14:cfvo type="num">
                <xm:f>Konfiguration!$C$9</xm:f>
              </x14:cfvo>
              <x14:color rgb="FFF8696B"/>
              <x14:color rgb="FFFFEB84"/>
              <x14:color rgb="FF63BE7B"/>
            </x14:colorScale>
          </x14:cfRule>
          <xm:sqref>Q16</xm:sqref>
        </x14:conditionalFormatting>
        <x14:conditionalFormatting xmlns:xm="http://schemas.microsoft.com/office/excel/2006/main">
          <x14:cfRule type="colorScale" priority="9"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5"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8"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3"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4"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0100-000090000000}">
          <x14:formula1>
            <xm:f>'Wert, AfA, Darlehen'!$D$37:$BA$37</xm:f>
          </x14:formula1>
          <xm:sqref>T9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pageSetUpPr fitToPage="1"/>
  </sheetPr>
  <dimension ref="A1:X56"/>
  <sheetViews>
    <sheetView showGridLines="0" showRowColHeaders="0" zoomScaleNormal="100" workbookViewId="0">
      <pane ySplit="4" topLeftCell="A5" activePane="bottomLeft" state="frozen"/>
      <selection pane="bottomLeft"/>
    </sheetView>
  </sheetViews>
  <sheetFormatPr baseColWidth="10" defaultColWidth="11.42578125" defaultRowHeight="15"/>
  <cols>
    <col min="1" max="1" width="3.28515625" style="6" customWidth="1"/>
    <col min="2" max="2" width="3.140625" style="6" customWidth="1"/>
    <col min="3" max="3" width="29.28515625" style="6" customWidth="1"/>
    <col min="4" max="4" width="11.5703125" style="6" customWidth="1"/>
    <col min="5" max="5" width="8" style="6" customWidth="1"/>
    <col min="6" max="6" width="18.85546875" style="6" customWidth="1"/>
    <col min="7" max="7" width="11.5703125" style="6" customWidth="1"/>
    <col min="8" max="8" width="6.42578125" style="6" customWidth="1"/>
    <col min="9" max="9" width="29.28515625" style="6" customWidth="1"/>
    <col min="10" max="10" width="11.5703125" style="6" customWidth="1"/>
    <col min="11" max="11" width="3.140625" style="6" customWidth="1"/>
    <col min="12" max="12" width="3" style="6" customWidth="1"/>
    <col min="13" max="16384" width="11.42578125" style="6"/>
  </cols>
  <sheetData>
    <row r="1" spans="1:24" s="150" customFormat="1" ht="12.75" customHeight="1">
      <c r="C1" s="471" t="s">
        <v>351</v>
      </c>
      <c r="D1" s="471"/>
      <c r="E1" s="472" t="s">
        <v>346</v>
      </c>
      <c r="F1" s="472"/>
      <c r="G1" s="472"/>
      <c r="H1" s="472"/>
      <c r="I1" s="471"/>
      <c r="J1" s="238"/>
      <c r="O1" s="237"/>
      <c r="S1" s="471"/>
      <c r="T1" s="428"/>
    </row>
    <row r="2" spans="1:24" s="150" customFormat="1" ht="15" customHeight="1">
      <c r="C2" s="471"/>
      <c r="D2" s="471"/>
      <c r="E2" s="472"/>
      <c r="F2" s="472"/>
      <c r="G2" s="472"/>
      <c r="H2" s="472"/>
      <c r="I2" s="471"/>
      <c r="J2" s="238"/>
      <c r="O2" s="237"/>
      <c r="S2" s="471"/>
      <c r="T2" s="428"/>
    </row>
    <row r="3" spans="1:24" s="150" customFormat="1" ht="12.75" customHeight="1">
      <c r="C3" s="471"/>
      <c r="D3" s="471"/>
      <c r="E3" s="472"/>
      <c r="F3" s="472"/>
      <c r="G3" s="472"/>
      <c r="H3" s="472"/>
      <c r="I3" s="471"/>
      <c r="J3" s="238"/>
      <c r="O3" s="237"/>
      <c r="S3" s="471"/>
      <c r="T3" s="428"/>
    </row>
    <row r="4" spans="1:24" ht="18.75" customHeight="1">
      <c r="L4" s="5"/>
      <c r="M4" s="5"/>
      <c r="N4" s="5"/>
      <c r="O4" s="5"/>
    </row>
    <row r="5" spans="1:24" customFormat="1" ht="8.25" customHeight="1" thickBot="1">
      <c r="A5" s="6"/>
      <c r="B5" s="6"/>
      <c r="C5" s="6"/>
      <c r="D5" s="6"/>
      <c r="E5" s="6"/>
      <c r="F5" s="6"/>
      <c r="G5" s="6"/>
      <c r="H5" s="6"/>
      <c r="I5" s="6"/>
      <c r="J5" s="6"/>
      <c r="K5" s="6"/>
      <c r="L5" s="5"/>
      <c r="M5" s="5"/>
      <c r="N5" s="5"/>
      <c r="O5" s="5"/>
      <c r="P5" s="6"/>
      <c r="Q5" s="6"/>
      <c r="R5" s="6"/>
      <c r="S5" s="6"/>
      <c r="T5" s="6"/>
      <c r="U5" s="6"/>
      <c r="V5" s="6"/>
      <c r="W5" s="6"/>
      <c r="X5" s="6"/>
    </row>
    <row r="6" spans="1:24" ht="26.25" customHeight="1" thickBot="1">
      <c r="B6" s="476" t="s">
        <v>113</v>
      </c>
      <c r="C6" s="477"/>
      <c r="D6" s="477"/>
      <c r="E6" s="477"/>
      <c r="F6" s="477"/>
      <c r="G6" s="477"/>
      <c r="H6" s="477"/>
      <c r="I6" s="477"/>
      <c r="J6" s="477"/>
      <c r="K6" s="478"/>
      <c r="N6" s="239" t="s">
        <v>211</v>
      </c>
      <c r="O6" s="240"/>
      <c r="P6" s="240"/>
      <c r="Q6" s="240"/>
    </row>
    <row r="7" spans="1:24" ht="15" customHeight="1">
      <c r="B7" s="141"/>
      <c r="C7"/>
      <c r="D7"/>
      <c r="E7"/>
      <c r="F7"/>
      <c r="G7"/>
      <c r="H7"/>
      <c r="I7"/>
      <c r="J7"/>
      <c r="K7" s="142"/>
      <c r="N7" s="240"/>
      <c r="O7" s="241"/>
      <c r="P7" s="241"/>
      <c r="Q7" s="240"/>
    </row>
    <row r="8" spans="1:24" ht="17.25" customHeight="1">
      <c r="B8" s="141"/>
      <c r="C8" s="11" t="str">
        <f>Cockpit!C9</f>
        <v>Musterstr. 11, 1234 Musterstadt</v>
      </c>
      <c r="D8"/>
      <c r="E8"/>
      <c r="F8"/>
      <c r="G8" s="2"/>
      <c r="H8" s="2"/>
      <c r="I8" s="470">
        <f>Cockpit!C10</f>
        <v>45292</v>
      </c>
      <c r="J8" s="470"/>
      <c r="K8" s="242"/>
      <c r="L8" s="9"/>
      <c r="M8" s="9"/>
      <c r="N8" s="475" t="s">
        <v>354</v>
      </c>
      <c r="O8" s="475"/>
      <c r="P8" s="475"/>
      <c r="Q8" s="475"/>
    </row>
    <row r="9" spans="1:24" ht="15" customHeight="1">
      <c r="B9" s="141"/>
      <c r="C9"/>
      <c r="D9"/>
      <c r="E9"/>
      <c r="F9"/>
      <c r="G9"/>
      <c r="H9"/>
      <c r="I9"/>
      <c r="J9"/>
      <c r="K9" s="142"/>
      <c r="N9" s="475"/>
      <c r="O9" s="475"/>
      <c r="P9" s="475"/>
      <c r="Q9" s="475"/>
    </row>
    <row r="10" spans="1:24" ht="15.75" customHeight="1">
      <c r="B10" s="141"/>
      <c r="C10"/>
      <c r="D10"/>
      <c r="E10"/>
      <c r="F10"/>
      <c r="G10"/>
      <c r="H10"/>
      <c r="I10"/>
      <c r="J10"/>
      <c r="K10" s="243"/>
      <c r="N10" s="475"/>
      <c r="O10" s="475"/>
      <c r="P10" s="475"/>
      <c r="Q10" s="475"/>
    </row>
    <row r="11" spans="1:24" ht="15.75" customHeight="1">
      <c r="B11" s="141"/>
      <c r="C11"/>
      <c r="D11"/>
      <c r="E11"/>
      <c r="F11"/>
      <c r="G11"/>
      <c r="H11"/>
      <c r="I11"/>
      <c r="J11"/>
      <c r="K11" s="243"/>
      <c r="N11" s="475"/>
      <c r="O11" s="475"/>
      <c r="P11" s="475"/>
      <c r="Q11" s="475"/>
    </row>
    <row r="12" spans="1:24" ht="15.75" customHeight="1">
      <c r="B12" s="141"/>
      <c r="C12"/>
      <c r="D12"/>
      <c r="E12"/>
      <c r="F12"/>
      <c r="G12"/>
      <c r="H12"/>
      <c r="I12"/>
      <c r="J12"/>
      <c r="K12" s="243"/>
      <c r="N12" s="475"/>
      <c r="O12" s="475"/>
      <c r="P12" s="475"/>
      <c r="Q12" s="475"/>
    </row>
    <row r="13" spans="1:24" ht="15.75" customHeight="1">
      <c r="B13" s="141"/>
      <c r="C13"/>
      <c r="D13"/>
      <c r="E13"/>
      <c r="F13"/>
      <c r="G13"/>
      <c r="H13"/>
      <c r="I13"/>
      <c r="J13"/>
      <c r="K13" s="243"/>
      <c r="N13" s="475"/>
      <c r="O13" s="475"/>
      <c r="P13" s="475"/>
      <c r="Q13" s="475"/>
    </row>
    <row r="14" spans="1:24" ht="15.75" customHeight="1">
      <c r="B14" s="141"/>
      <c r="C14"/>
      <c r="D14"/>
      <c r="E14"/>
      <c r="F14"/>
      <c r="G14"/>
      <c r="H14"/>
      <c r="I14"/>
      <c r="J14"/>
      <c r="K14" s="243"/>
      <c r="N14" s="475"/>
      <c r="O14" s="475"/>
      <c r="P14" s="475"/>
      <c r="Q14" s="475"/>
    </row>
    <row r="15" spans="1:24" ht="15.75" customHeight="1">
      <c r="B15" s="141"/>
      <c r="C15"/>
      <c r="D15"/>
      <c r="E15"/>
      <c r="F15"/>
      <c r="G15"/>
      <c r="H15"/>
      <c r="I15"/>
      <c r="J15"/>
      <c r="K15" s="243"/>
      <c r="N15" s="475"/>
      <c r="O15" s="475"/>
      <c r="P15" s="475"/>
      <c r="Q15" s="475"/>
    </row>
    <row r="16" spans="1:24" ht="15.75" customHeight="1">
      <c r="B16" s="141"/>
      <c r="C16"/>
      <c r="D16"/>
      <c r="E16"/>
      <c r="F16"/>
      <c r="G16"/>
      <c r="H16"/>
      <c r="I16"/>
      <c r="J16"/>
      <c r="K16" s="243"/>
      <c r="N16" s="475"/>
      <c r="O16" s="475"/>
      <c r="P16" s="475"/>
      <c r="Q16" s="475"/>
    </row>
    <row r="17" spans="2:17" ht="15.75" customHeight="1">
      <c r="B17" s="141"/>
      <c r="C17"/>
      <c r="D17"/>
      <c r="E17"/>
      <c r="F17"/>
      <c r="G17"/>
      <c r="H17"/>
      <c r="I17"/>
      <c r="J17"/>
      <c r="K17" s="243"/>
      <c r="N17" s="475"/>
      <c r="O17" s="475"/>
      <c r="P17" s="475"/>
      <c r="Q17" s="475"/>
    </row>
    <row r="18" spans="2:17" ht="15.75" customHeight="1">
      <c r="B18" s="141"/>
      <c r="C18"/>
      <c r="D18"/>
      <c r="E18"/>
      <c r="F18"/>
      <c r="G18"/>
      <c r="H18"/>
      <c r="I18"/>
      <c r="J18"/>
      <c r="K18" s="243"/>
      <c r="N18" s="475" t="s">
        <v>212</v>
      </c>
      <c r="O18" s="475"/>
      <c r="P18" s="475"/>
      <c r="Q18" s="475"/>
    </row>
    <row r="19" spans="2:17" ht="15.75" customHeight="1">
      <c r="B19" s="141"/>
      <c r="C19"/>
      <c r="D19"/>
      <c r="E19"/>
      <c r="F19"/>
      <c r="G19"/>
      <c r="H19"/>
      <c r="I19"/>
      <c r="J19"/>
      <c r="K19" s="243"/>
      <c r="N19" s="475"/>
      <c r="O19" s="475"/>
      <c r="P19" s="475"/>
      <c r="Q19" s="475"/>
    </row>
    <row r="20" spans="2:17" ht="15.75" customHeight="1">
      <c r="B20" s="141"/>
      <c r="C20"/>
      <c r="D20"/>
      <c r="E20"/>
      <c r="F20"/>
      <c r="G20"/>
      <c r="H20"/>
      <c r="I20"/>
      <c r="J20"/>
      <c r="K20" s="243"/>
      <c r="N20" s="475"/>
      <c r="O20" s="475"/>
      <c r="P20" s="475"/>
      <c r="Q20" s="475"/>
    </row>
    <row r="21" spans="2:17" ht="15.75" customHeight="1">
      <c r="B21" s="141"/>
      <c r="C21"/>
      <c r="D21"/>
      <c r="E21"/>
      <c r="F21"/>
      <c r="G21"/>
      <c r="H21"/>
      <c r="I21"/>
      <c r="J21"/>
      <c r="K21" s="243"/>
      <c r="N21" s="475"/>
      <c r="O21" s="475"/>
      <c r="P21" s="475"/>
      <c r="Q21" s="475"/>
    </row>
    <row r="22" spans="2:17" ht="15.75" customHeight="1">
      <c r="B22" s="141"/>
      <c r="C22"/>
      <c r="D22"/>
      <c r="E22"/>
      <c r="F22"/>
      <c r="G22"/>
      <c r="H22"/>
      <c r="I22"/>
      <c r="J22"/>
      <c r="K22" s="243"/>
      <c r="N22" s="241"/>
      <c r="O22" s="241"/>
      <c r="P22" s="241"/>
      <c r="Q22" s="240"/>
    </row>
    <row r="23" spans="2:17" ht="15.75" customHeight="1">
      <c r="B23" s="268"/>
      <c r="C23" s="269"/>
      <c r="D23" s="269"/>
      <c r="E23" s="269"/>
      <c r="F23" s="269"/>
      <c r="G23" s="269"/>
      <c r="H23" s="269"/>
      <c r="I23" s="269"/>
      <c r="J23" s="269"/>
      <c r="K23" s="270"/>
      <c r="N23" s="473" t="s">
        <v>209</v>
      </c>
      <c r="O23" s="474"/>
      <c r="P23" s="474"/>
      <c r="Q23" s="474"/>
    </row>
    <row r="24" spans="2:17" ht="15.75" customHeight="1" thickBot="1">
      <c r="B24" s="141"/>
      <c r="C24"/>
      <c r="D24"/>
      <c r="E24"/>
      <c r="F24"/>
      <c r="G24"/>
      <c r="H24"/>
      <c r="I24"/>
      <c r="J24"/>
      <c r="K24" s="243"/>
      <c r="N24" s="473" t="s">
        <v>210</v>
      </c>
      <c r="O24" s="474"/>
      <c r="P24" s="474"/>
      <c r="Q24" s="474"/>
    </row>
    <row r="25" spans="2:17" ht="18" thickBot="1">
      <c r="B25" s="141"/>
      <c r="C25" s="453" t="s">
        <v>0</v>
      </c>
      <c r="D25" s="454"/>
      <c r="E25"/>
      <c r="F25" s="453" t="s">
        <v>19</v>
      </c>
      <c r="G25" s="454"/>
      <c r="H25"/>
      <c r="I25" s="453" t="s">
        <v>81</v>
      </c>
      <c r="J25" s="454"/>
      <c r="K25" s="142"/>
      <c r="N25" s="240"/>
      <c r="O25" s="240"/>
      <c r="P25" s="240"/>
      <c r="Q25" s="240"/>
    </row>
    <row r="26" spans="2:17" ht="14.25" customHeight="1" thickBot="1">
      <c r="B26" s="244"/>
      <c r="C26" s="12"/>
      <c r="D26" s="12"/>
      <c r="E26" s="12"/>
      <c r="F26" s="12"/>
      <c r="G26" s="12"/>
      <c r="H26" s="12"/>
      <c r="I26" s="12"/>
      <c r="J26" s="12"/>
      <c r="K26" s="245"/>
      <c r="N26" s="240"/>
      <c r="O26" s="240"/>
      <c r="P26" s="240"/>
      <c r="Q26" s="240"/>
    </row>
    <row r="27" spans="2:17" ht="15.75" thickBot="1">
      <c r="B27" s="244"/>
      <c r="C27" s="468" t="s">
        <v>86</v>
      </c>
      <c r="D27" s="469"/>
      <c r="E27" s="12"/>
      <c r="F27" s="468" t="s">
        <v>248</v>
      </c>
      <c r="G27" s="469"/>
      <c r="H27" s="12"/>
      <c r="I27" s="468" t="s">
        <v>82</v>
      </c>
      <c r="J27" s="469"/>
      <c r="K27" s="245"/>
      <c r="N27" s="475" t="s">
        <v>208</v>
      </c>
      <c r="O27" s="475"/>
      <c r="P27" s="475"/>
      <c r="Q27" s="475"/>
    </row>
    <row r="28" spans="2:17">
      <c r="B28" s="244"/>
      <c r="C28" s="246" t="s">
        <v>11</v>
      </c>
      <c r="D28" s="247">
        <f>Cockpit!C11</f>
        <v>30</v>
      </c>
      <c r="E28" s="12"/>
      <c r="F28" s="246" t="s">
        <v>7</v>
      </c>
      <c r="G28" s="250">
        <f>Cockpit!N17</f>
        <v>104000</v>
      </c>
      <c r="H28" s="12"/>
      <c r="I28" s="246" t="s">
        <v>78</v>
      </c>
      <c r="J28" s="250">
        <f>Cockpit!H15</f>
        <v>570</v>
      </c>
      <c r="K28" s="245"/>
      <c r="N28" s="475"/>
      <c r="O28" s="475"/>
      <c r="P28" s="475"/>
      <c r="Q28" s="475"/>
    </row>
    <row r="29" spans="2:17" ht="15.75" thickBot="1">
      <c r="B29" s="244"/>
      <c r="C29" s="248" t="s">
        <v>13</v>
      </c>
      <c r="D29" s="249">
        <f>D33/D28</f>
        <v>4333.333333333333</v>
      </c>
      <c r="E29" s="12"/>
      <c r="F29" s="251" t="s">
        <v>23</v>
      </c>
      <c r="G29" s="255">
        <f>Cockpit!N19</f>
        <v>0.03</v>
      </c>
      <c r="H29" s="12"/>
      <c r="I29" s="259" t="s">
        <v>16</v>
      </c>
      <c r="J29" s="260">
        <f>Cockpit!Q14</f>
        <v>5.2615384615384612E-2</v>
      </c>
      <c r="K29" s="245"/>
      <c r="N29" s="475"/>
      <c r="O29" s="475"/>
      <c r="P29" s="475"/>
      <c r="Q29" s="475"/>
    </row>
    <row r="30" spans="2:17" ht="15.75" thickBot="1">
      <c r="B30" s="244"/>
      <c r="C30" s="12"/>
      <c r="D30" s="12"/>
      <c r="E30" s="12"/>
      <c r="F30" s="248" t="s">
        <v>84</v>
      </c>
      <c r="G30" s="256">
        <f>Cockpit!N18</f>
        <v>3.5000000000000003E-2</v>
      </c>
      <c r="H30" s="12"/>
      <c r="I30" s="248" t="s">
        <v>83</v>
      </c>
      <c r="J30" s="261">
        <f>Cockpit!Q15</f>
        <v>19.005847953216374</v>
      </c>
      <c r="K30" s="245"/>
    </row>
    <row r="31" spans="2:17" ht="15.75" thickBot="1">
      <c r="B31" s="244"/>
      <c r="C31" s="12"/>
      <c r="D31" s="12"/>
      <c r="E31" s="12"/>
      <c r="F31" s="12"/>
      <c r="G31" s="12"/>
      <c r="H31" s="12"/>
      <c r="I31" s="12"/>
      <c r="J31" s="12"/>
      <c r="K31" s="245"/>
    </row>
    <row r="32" spans="2:17" ht="15.75" thickBot="1">
      <c r="B32" s="244"/>
      <c r="C32" s="468" t="s">
        <v>87</v>
      </c>
      <c r="D32" s="469"/>
      <c r="E32" s="12"/>
      <c r="F32" s="468" t="s">
        <v>247</v>
      </c>
      <c r="G32" s="469"/>
      <c r="H32" s="12"/>
      <c r="I32" s="468" t="s">
        <v>85</v>
      </c>
      <c r="J32" s="469"/>
      <c r="K32" s="245"/>
    </row>
    <row r="33" spans="2:11">
      <c r="B33" s="244"/>
      <c r="C33" s="246" t="s">
        <v>1</v>
      </c>
      <c r="D33" s="250">
        <f>Cockpit!D14</f>
        <v>130000</v>
      </c>
      <c r="E33" s="12"/>
      <c r="F33" s="246" t="s">
        <v>7</v>
      </c>
      <c r="G33" s="250">
        <f>Cockpit!N9-Cockpit!N17</f>
        <v>0</v>
      </c>
      <c r="H33" s="12"/>
      <c r="I33" s="246" t="s">
        <v>78</v>
      </c>
      <c r="J33" s="250">
        <f>Cockpit!H15</f>
        <v>570</v>
      </c>
      <c r="K33" s="245"/>
    </row>
    <row r="34" spans="2:11">
      <c r="B34" s="244"/>
      <c r="C34" s="251" t="s">
        <v>3</v>
      </c>
      <c r="D34" s="252">
        <f>Cockpit!E22</f>
        <v>13858</v>
      </c>
      <c r="E34" s="12"/>
      <c r="F34" s="251" t="s">
        <v>23</v>
      </c>
      <c r="G34" s="255" t="e">
        <f>(Cockpit!N12*Cockpit!N9-Cockpit!N19*Cockpit!N17)/(Cockpit!N9-Cockpit!N17)</f>
        <v>#DIV/0!</v>
      </c>
      <c r="H34" s="12"/>
      <c r="I34" s="262" t="str">
        <f>CONCATENATE("- Bewirtschaftungskosten (",TEXT(Cockpit!K11*100,"#"),"%)")</f>
        <v>- Bewirtschaftungskosten (13%)</v>
      </c>
      <c r="J34" s="252">
        <f>Cockpit!K10</f>
        <v>73.900000000000006</v>
      </c>
      <c r="K34" s="245"/>
    </row>
    <row r="35" spans="2:11" ht="15.75" thickBot="1">
      <c r="B35" s="244"/>
      <c r="C35" s="253" t="s">
        <v>77</v>
      </c>
      <c r="D35" s="254">
        <f>Cockpit!C30</f>
        <v>10000</v>
      </c>
      <c r="E35" s="12"/>
      <c r="F35" s="248" t="s">
        <v>84</v>
      </c>
      <c r="G35" s="256" t="e">
        <f>(Cockpit!N11*Cockpit!N9-Cockpit!N18*Cockpit!N17)/(Cockpit!N9-Cockpit!N17)</f>
        <v>#DIV/0!</v>
      </c>
      <c r="H35" s="12"/>
      <c r="I35" s="262" t="s">
        <v>31</v>
      </c>
      <c r="J35" s="252">
        <f>-Cockpit!Q21</f>
        <v>303.33333333333337</v>
      </c>
      <c r="K35" s="245"/>
    </row>
    <row r="36" spans="2:11" ht="16.5" thickTop="1" thickBot="1">
      <c r="B36" s="244"/>
      <c r="C36" s="248" t="s">
        <v>9</v>
      </c>
      <c r="D36" s="249">
        <f>SUM(D33:D35)</f>
        <v>153858</v>
      </c>
      <c r="E36" s="12"/>
      <c r="F36" s="12"/>
      <c r="G36" s="12"/>
      <c r="H36" s="12"/>
      <c r="I36" s="263" t="s">
        <v>32</v>
      </c>
      <c r="J36" s="254">
        <f>-Cockpit!Q22</f>
        <v>260</v>
      </c>
      <c r="K36" s="245"/>
    </row>
    <row r="37" spans="2:11" ht="15.75" thickBot="1">
      <c r="B37" s="244"/>
      <c r="C37" s="12"/>
      <c r="D37" s="12"/>
      <c r="E37" s="12"/>
      <c r="F37" s="468" t="s">
        <v>26</v>
      </c>
      <c r="G37" s="469"/>
      <c r="H37" s="12"/>
      <c r="I37" s="264" t="s">
        <v>80</v>
      </c>
      <c r="J37" s="249">
        <f>J33-SUM(J34:J36)</f>
        <v>-67.233333333333348</v>
      </c>
      <c r="K37" s="245"/>
    </row>
    <row r="38" spans="2:11" ht="15.75" thickBot="1">
      <c r="B38" s="244"/>
      <c r="C38" s="12"/>
      <c r="D38" s="12"/>
      <c r="E38" s="12"/>
      <c r="F38" s="257" t="s">
        <v>7</v>
      </c>
      <c r="G38" s="258">
        <f>Cockpit!N10</f>
        <v>49858</v>
      </c>
      <c r="H38" s="12"/>
      <c r="I38" s="12"/>
      <c r="J38" s="12"/>
      <c r="K38" s="245"/>
    </row>
    <row r="39" spans="2:11" ht="15.75" customHeight="1">
      <c r="B39" s="265"/>
      <c r="C39" s="266"/>
      <c r="D39" s="266"/>
      <c r="E39" s="266"/>
      <c r="F39" s="266"/>
      <c r="G39" s="266"/>
      <c r="H39" s="266"/>
      <c r="I39" s="266"/>
      <c r="J39" s="266"/>
      <c r="K39" s="267"/>
    </row>
    <row r="40" spans="2:11">
      <c r="B40" s="141"/>
      <c r="C40"/>
      <c r="D40"/>
      <c r="E40"/>
      <c r="F40"/>
      <c r="G40"/>
      <c r="H40"/>
      <c r="I40"/>
      <c r="J40"/>
      <c r="K40" s="142"/>
    </row>
    <row r="41" spans="2:11">
      <c r="B41" s="141"/>
      <c r="C41"/>
      <c r="D41"/>
      <c r="E41"/>
      <c r="F41"/>
      <c r="G41"/>
      <c r="H41"/>
      <c r="I41"/>
      <c r="J41"/>
      <c r="K41" s="142"/>
    </row>
    <row r="42" spans="2:11">
      <c r="B42" s="141"/>
      <c r="C42"/>
      <c r="D42"/>
      <c r="E42"/>
      <c r="F42"/>
      <c r="G42"/>
      <c r="H42" s="3"/>
      <c r="I42" s="3" t="s">
        <v>88</v>
      </c>
      <c r="J42" s="3" t="s">
        <v>89</v>
      </c>
      <c r="K42" s="142"/>
    </row>
    <row r="43" spans="2:11">
      <c r="B43" s="141"/>
      <c r="C43"/>
      <c r="D43"/>
      <c r="E43"/>
      <c r="F43"/>
      <c r="G43"/>
      <c r="H43" s="3" t="s">
        <v>78</v>
      </c>
      <c r="I43" s="3">
        <f>Cockpit!H15</f>
        <v>570</v>
      </c>
      <c r="J43" s="3"/>
      <c r="K43" s="142"/>
    </row>
    <row r="44" spans="2:11">
      <c r="B44" s="141"/>
      <c r="C44"/>
      <c r="D44"/>
      <c r="E44"/>
      <c r="F44"/>
      <c r="G44"/>
      <c r="H44" s="3" t="s">
        <v>362</v>
      </c>
      <c r="I44" s="3"/>
      <c r="J44" s="3">
        <f>Cockpit!K10</f>
        <v>73.900000000000006</v>
      </c>
      <c r="K44" s="142"/>
    </row>
    <row r="45" spans="2:11">
      <c r="B45" s="141"/>
      <c r="C45"/>
      <c r="D45"/>
      <c r="E45"/>
      <c r="F45"/>
      <c r="G45"/>
      <c r="H45" s="3" t="s">
        <v>43</v>
      </c>
      <c r="I45" s="3"/>
      <c r="J45" s="3">
        <f>-Cockpit!Q21</f>
        <v>303.33333333333337</v>
      </c>
      <c r="K45" s="142"/>
    </row>
    <row r="46" spans="2:11">
      <c r="B46" s="141"/>
      <c r="C46"/>
      <c r="D46"/>
      <c r="E46"/>
      <c r="F46"/>
      <c r="G46"/>
      <c r="H46" s="3" t="s">
        <v>44</v>
      </c>
      <c r="I46" s="3"/>
      <c r="J46" s="3">
        <f>-Cockpit!Q22</f>
        <v>260</v>
      </c>
      <c r="K46" s="142"/>
    </row>
    <row r="47" spans="2:11">
      <c r="B47" s="141"/>
      <c r="C47"/>
      <c r="D47"/>
      <c r="E47"/>
      <c r="F47"/>
      <c r="G47"/>
      <c r="H47"/>
      <c r="I47"/>
      <c r="J47"/>
      <c r="K47" s="142"/>
    </row>
    <row r="48" spans="2:11">
      <c r="B48" s="141"/>
      <c r="C48"/>
      <c r="D48"/>
      <c r="E48"/>
      <c r="F48"/>
      <c r="G48"/>
      <c r="H48"/>
      <c r="I48"/>
      <c r="J48"/>
      <c r="K48" s="142"/>
    </row>
    <row r="49" spans="2:11">
      <c r="B49" s="141"/>
      <c r="C49"/>
      <c r="D49"/>
      <c r="E49"/>
      <c r="F49"/>
      <c r="G49"/>
      <c r="H49"/>
      <c r="I49"/>
      <c r="J49"/>
      <c r="K49" s="142"/>
    </row>
    <row r="50" spans="2:11">
      <c r="B50" s="141"/>
      <c r="C50"/>
      <c r="D50"/>
      <c r="E50"/>
      <c r="F50"/>
      <c r="G50"/>
      <c r="H50"/>
      <c r="I50"/>
      <c r="J50"/>
      <c r="K50" s="142"/>
    </row>
    <row r="51" spans="2:11">
      <c r="B51" s="141"/>
      <c r="C51"/>
      <c r="D51"/>
      <c r="E51"/>
      <c r="F51"/>
      <c r="G51"/>
      <c r="H51"/>
      <c r="I51"/>
      <c r="J51"/>
      <c r="K51" s="142"/>
    </row>
    <row r="52" spans="2:11">
      <c r="B52" s="141"/>
      <c r="C52"/>
      <c r="D52"/>
      <c r="E52"/>
      <c r="F52"/>
      <c r="G52"/>
      <c r="H52"/>
      <c r="I52"/>
      <c r="J52"/>
      <c r="K52" s="142"/>
    </row>
    <row r="53" spans="2:11">
      <c r="B53" s="141"/>
      <c r="C53"/>
      <c r="D53"/>
      <c r="E53"/>
      <c r="F53"/>
      <c r="G53"/>
      <c r="H53"/>
      <c r="I53"/>
      <c r="J53"/>
      <c r="K53" s="142"/>
    </row>
    <row r="54" spans="2:11" ht="15.75" thickBot="1">
      <c r="B54" s="143"/>
      <c r="C54" s="144"/>
      <c r="D54" s="144"/>
      <c r="E54" s="144"/>
      <c r="F54" s="144"/>
      <c r="G54" s="144"/>
      <c r="H54" s="144"/>
      <c r="I54" s="144"/>
      <c r="J54" s="144"/>
      <c r="K54" s="145"/>
    </row>
    <row r="56" spans="2:11">
      <c r="B56" s="135" t="s">
        <v>372</v>
      </c>
    </row>
  </sheetData>
  <sheetProtection algorithmName="SHA-512" hashValue="b864emXpdo3fd8LH94TfOluIuPqb8D1nSVc7YdWWpMK04ItHoZmWzWAVOGdZ+FuQZ6JeS0JUhAgUCU6JfoD7GA==" saltValue="aD3TCfY6Ce5VMIPs4uajNw==" spinCount="100000" sheet="1" objects="1" scenarios="1" formatCells="0" formatColumns="0"/>
  <mergeCells count="22">
    <mergeCell ref="N24:Q24"/>
    <mergeCell ref="N27:Q29"/>
    <mergeCell ref="N18:Q21"/>
    <mergeCell ref="N23:Q23"/>
    <mergeCell ref="B6:K6"/>
    <mergeCell ref="N8:Q17"/>
    <mergeCell ref="T1:T3"/>
    <mergeCell ref="I1:I3"/>
    <mergeCell ref="S1:S3"/>
    <mergeCell ref="E1:H3"/>
    <mergeCell ref="C1:D3"/>
    <mergeCell ref="F37:G37"/>
    <mergeCell ref="I8:J8"/>
    <mergeCell ref="I25:J25"/>
    <mergeCell ref="I32:J32"/>
    <mergeCell ref="I27:J27"/>
    <mergeCell ref="C32:D32"/>
    <mergeCell ref="C27:D27"/>
    <mergeCell ref="F27:G27"/>
    <mergeCell ref="C25:D25"/>
    <mergeCell ref="F25:G25"/>
    <mergeCell ref="F32:G32"/>
  </mergeCells>
  <hyperlinks>
    <hyperlink ref="N23:Q23" location="Haushaltsrechnung!A1" display="zur Vorlage Haushaltsrechnung" xr:uid="{00000000-0004-0000-0200-000000000000}"/>
    <hyperlink ref="N24:Q24" location="Vermögensaufstellung!A1" display="zur Vorlage Vermögensübersicht" xr:uid="{00000000-0004-0000-0200-000001000000}"/>
    <hyperlink ref="C1:C3" location="Rendite!A1" display="Zurück zum Cockpit" xr:uid="{00000000-0004-0000-0200-000002000000}"/>
    <hyperlink ref="C1:D3" location="Cockpit!A1" display="zurück zum Cockpit" xr:uid="{00000000-0004-0000-0200-000003000000}"/>
    <hyperlink ref="B56" location="Deckblatt!A1" display="Keine Gewähr für die Richtigkeit der Angaben. Dieses Tool ersetzt keine fundierte Rechts-, Steuer- oder Finanzberatung. Mehr Details hier." xr:uid="{00000000-0004-0000-02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45"/>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Z28" sqref="Z28"/>
    </sheetView>
  </sheetViews>
  <sheetFormatPr baseColWidth="10" defaultColWidth="9.140625" defaultRowHeight="15"/>
  <cols>
    <col min="1" max="1" width="3.42578125" style="6" customWidth="1"/>
    <col min="2" max="2" width="40.4257812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7" t="s">
        <v>351</v>
      </c>
      <c r="C1" s="427"/>
      <c r="E1" s="491" t="s">
        <v>468</v>
      </c>
      <c r="F1" s="491"/>
      <c r="G1" s="491"/>
      <c r="H1" s="491"/>
      <c r="I1" s="491"/>
      <c r="J1" s="427" t="s">
        <v>360</v>
      </c>
      <c r="K1" s="427"/>
      <c r="L1" s="427"/>
      <c r="M1" s="427"/>
      <c r="N1" s="427"/>
      <c r="O1" s="427"/>
      <c r="P1" s="427"/>
      <c r="Q1" s="147"/>
      <c r="R1" s="147"/>
      <c r="T1" s="147"/>
      <c r="U1" s="147"/>
    </row>
    <row r="2" spans="1:53" s="150" customFormat="1" ht="15" customHeight="1">
      <c r="B2" s="427"/>
      <c r="C2" s="427"/>
      <c r="E2" s="491"/>
      <c r="F2" s="491"/>
      <c r="G2" s="491"/>
      <c r="H2" s="491"/>
      <c r="I2" s="491"/>
      <c r="J2" s="427"/>
      <c r="K2" s="427"/>
      <c r="L2" s="427"/>
      <c r="M2" s="427"/>
      <c r="N2" s="427"/>
      <c r="O2" s="427"/>
      <c r="P2" s="427"/>
      <c r="Q2" s="147"/>
      <c r="R2" s="147"/>
      <c r="T2" s="147"/>
      <c r="U2" s="147"/>
    </row>
    <row r="3" spans="1:53" s="150" customFormat="1" ht="12.75" customHeight="1">
      <c r="B3" s="427"/>
      <c r="C3" s="427"/>
      <c r="E3" s="491"/>
      <c r="F3" s="491"/>
      <c r="G3" s="491"/>
      <c r="H3" s="491"/>
      <c r="I3" s="491"/>
      <c r="J3" s="427"/>
      <c r="K3" s="427"/>
      <c r="L3" s="427"/>
      <c r="M3" s="427"/>
      <c r="N3" s="427"/>
      <c r="O3" s="427"/>
      <c r="P3" s="427"/>
      <c r="Q3" s="147"/>
      <c r="R3" s="147"/>
      <c r="T3" s="147"/>
      <c r="U3" s="14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4" t="s">
        <v>256</v>
      </c>
      <c r="C6" s="33"/>
      <c r="D6" s="275"/>
      <c r="I6" s="6"/>
      <c r="J6" s="6"/>
      <c r="K6" s="6"/>
      <c r="L6" s="6"/>
    </row>
    <row r="7" spans="1:53" ht="15.75" thickBot="1">
      <c r="B7" s="276"/>
      <c r="C7" s="277"/>
      <c r="D7" s="278">
        <f>'Wert, AfA, Darlehen'!D7</f>
        <v>2024</v>
      </c>
      <c r="E7" s="279">
        <f>'Wert, AfA, Darlehen'!E7</f>
        <v>2025</v>
      </c>
      <c r="F7" s="279">
        <f>'Wert, AfA, Darlehen'!F7</f>
        <v>2026</v>
      </c>
      <c r="G7" s="279">
        <f>'Wert, AfA, Darlehen'!G7</f>
        <v>2027</v>
      </c>
      <c r="H7" s="279">
        <f>'Wert, AfA, Darlehen'!H7</f>
        <v>2028</v>
      </c>
      <c r="I7" s="279">
        <f>'Wert, AfA, Darlehen'!I7</f>
        <v>2029</v>
      </c>
      <c r="J7" s="279">
        <f>'Wert, AfA, Darlehen'!J7</f>
        <v>2030</v>
      </c>
      <c r="K7" s="279">
        <f>'Wert, AfA, Darlehen'!K7</f>
        <v>2031</v>
      </c>
      <c r="L7" s="279">
        <f>'Wert, AfA, Darlehen'!L7</f>
        <v>2032</v>
      </c>
      <c r="M7" s="279">
        <f>'Wert, AfA, Darlehen'!M7</f>
        <v>2033</v>
      </c>
      <c r="N7" s="279">
        <f>'Wert, AfA, Darlehen'!N7</f>
        <v>2034</v>
      </c>
      <c r="O7" s="279">
        <f>'Wert, AfA, Darlehen'!O7</f>
        <v>2035</v>
      </c>
      <c r="P7" s="279">
        <f>'Wert, AfA, Darlehen'!P7</f>
        <v>2036</v>
      </c>
      <c r="Q7" s="279">
        <f>'Wert, AfA, Darlehen'!Q7</f>
        <v>2037</v>
      </c>
      <c r="R7" s="279">
        <f>'Wert, AfA, Darlehen'!R7</f>
        <v>2038</v>
      </c>
      <c r="S7" s="279">
        <f>'Wert, AfA, Darlehen'!S7</f>
        <v>2039</v>
      </c>
      <c r="T7" s="279">
        <f>'Wert, AfA, Darlehen'!T7</f>
        <v>2040</v>
      </c>
      <c r="U7" s="279">
        <f>'Wert, AfA, Darlehen'!U7</f>
        <v>2041</v>
      </c>
      <c r="V7" s="279">
        <f>'Wert, AfA, Darlehen'!V7</f>
        <v>2042</v>
      </c>
      <c r="W7" s="279">
        <f>'Wert, AfA, Darlehen'!W7</f>
        <v>2043</v>
      </c>
      <c r="X7" s="279">
        <f>'Wert, AfA, Darlehen'!X7</f>
        <v>2044</v>
      </c>
      <c r="Y7" s="279">
        <f>'Wert, AfA, Darlehen'!Y7</f>
        <v>2045</v>
      </c>
      <c r="Z7" s="279">
        <f>'Wert, AfA, Darlehen'!Z7</f>
        <v>2046</v>
      </c>
      <c r="AA7" s="279">
        <f>'Wert, AfA, Darlehen'!AA7</f>
        <v>2047</v>
      </c>
      <c r="AB7" s="279">
        <f>'Wert, AfA, Darlehen'!AB7</f>
        <v>2048</v>
      </c>
      <c r="AC7" s="279">
        <f>'Wert, AfA, Darlehen'!AC7</f>
        <v>2049</v>
      </c>
      <c r="AD7" s="279">
        <f>'Wert, AfA, Darlehen'!AD7</f>
        <v>2050</v>
      </c>
      <c r="AE7" s="279">
        <f>'Wert, AfA, Darlehen'!AE7</f>
        <v>2051</v>
      </c>
      <c r="AF7" s="279">
        <f>'Wert, AfA, Darlehen'!AF7</f>
        <v>2052</v>
      </c>
      <c r="AG7" s="279">
        <f>'Wert, AfA, Darlehen'!AG7</f>
        <v>2053</v>
      </c>
      <c r="AH7" s="279">
        <f>'Wert, AfA, Darlehen'!AH7</f>
        <v>2054</v>
      </c>
      <c r="AI7" s="279">
        <f>'Wert, AfA, Darlehen'!AI7</f>
        <v>2055</v>
      </c>
      <c r="AJ7" s="279">
        <f>'Wert, AfA, Darlehen'!AJ7</f>
        <v>2056</v>
      </c>
      <c r="AK7" s="279">
        <f>'Wert, AfA, Darlehen'!AK7</f>
        <v>2057</v>
      </c>
      <c r="AL7" s="279">
        <f>'Wert, AfA, Darlehen'!AL7</f>
        <v>2058</v>
      </c>
      <c r="AM7" s="279">
        <f>'Wert, AfA, Darlehen'!AM7</f>
        <v>2059</v>
      </c>
      <c r="AN7" s="279">
        <f>'Wert, AfA, Darlehen'!AN7</f>
        <v>2060</v>
      </c>
      <c r="AO7" s="279">
        <f>'Wert, AfA, Darlehen'!AO7</f>
        <v>2061</v>
      </c>
      <c r="AP7" s="279">
        <f>'Wert, AfA, Darlehen'!AP7</f>
        <v>2062</v>
      </c>
      <c r="AQ7" s="279">
        <f>'Wert, AfA, Darlehen'!AQ7</f>
        <v>2063</v>
      </c>
      <c r="AR7" s="279">
        <f>'Wert, AfA, Darlehen'!AR7</f>
        <v>2064</v>
      </c>
      <c r="AS7" s="279">
        <f>'Wert, AfA, Darlehen'!AS7</f>
        <v>2065</v>
      </c>
      <c r="AT7" s="279">
        <f>'Wert, AfA, Darlehen'!AT7</f>
        <v>2066</v>
      </c>
      <c r="AU7" s="279">
        <f>'Wert, AfA, Darlehen'!AU7</f>
        <v>2067</v>
      </c>
      <c r="AV7" s="279">
        <f>'Wert, AfA, Darlehen'!AV7</f>
        <v>2068</v>
      </c>
      <c r="AW7" s="279">
        <f>'Wert, AfA, Darlehen'!AW7</f>
        <v>2069</v>
      </c>
      <c r="AX7" s="279">
        <f>'Wert, AfA, Darlehen'!AX7</f>
        <v>2070</v>
      </c>
      <c r="AY7" s="279">
        <f>'Wert, AfA, Darlehen'!AY7</f>
        <v>2071</v>
      </c>
      <c r="AZ7" s="279">
        <f>'Wert, AfA, Darlehen'!AZ7</f>
        <v>2072</v>
      </c>
      <c r="BA7" s="280">
        <f>'Wert, AfA, Darlehen'!BA7</f>
        <v>2073</v>
      </c>
    </row>
    <row r="8" spans="1:53">
      <c r="A8"/>
      <c r="B8" s="485" t="s">
        <v>261</v>
      </c>
      <c r="C8" s="486"/>
      <c r="D8" s="281"/>
      <c r="E8" s="281">
        <f>D10</f>
        <v>570</v>
      </c>
      <c r="F8" s="281">
        <f t="shared" ref="F8:BA8" si="0">E10</f>
        <v>587.1</v>
      </c>
      <c r="G8" s="281">
        <f t="shared" si="0"/>
        <v>604.71300000000008</v>
      </c>
      <c r="H8" s="281">
        <f t="shared" si="0"/>
        <v>622.85439000000008</v>
      </c>
      <c r="I8" s="281">
        <f t="shared" si="0"/>
        <v>641.54002170000012</v>
      </c>
      <c r="J8" s="281">
        <f t="shared" si="0"/>
        <v>660.78622235100011</v>
      </c>
      <c r="K8" s="281">
        <f t="shared" si="0"/>
        <v>680.60980902153017</v>
      </c>
      <c r="L8" s="281">
        <f t="shared" si="0"/>
        <v>701.02810329217607</v>
      </c>
      <c r="M8" s="281">
        <f t="shared" si="0"/>
        <v>722.0589463909414</v>
      </c>
      <c r="N8" s="281">
        <f t="shared" si="0"/>
        <v>743.72071478266969</v>
      </c>
      <c r="O8" s="281">
        <f t="shared" si="0"/>
        <v>766.03233622614982</v>
      </c>
      <c r="P8" s="281">
        <f t="shared" si="0"/>
        <v>789.01330631293433</v>
      </c>
      <c r="Q8" s="281">
        <f t="shared" si="0"/>
        <v>812.68370550232237</v>
      </c>
      <c r="R8" s="281">
        <f t="shared" si="0"/>
        <v>837.06421666739209</v>
      </c>
      <c r="S8" s="281">
        <f t="shared" si="0"/>
        <v>862.1761431674139</v>
      </c>
      <c r="T8" s="281">
        <f t="shared" si="0"/>
        <v>888.04142746243633</v>
      </c>
      <c r="U8" s="281">
        <f t="shared" si="0"/>
        <v>914.68267028630942</v>
      </c>
      <c r="V8" s="281">
        <f t="shared" si="0"/>
        <v>942.12315039489874</v>
      </c>
      <c r="W8" s="281">
        <f t="shared" si="0"/>
        <v>970.38684490674575</v>
      </c>
      <c r="X8" s="281">
        <f t="shared" si="0"/>
        <v>999.49845025394814</v>
      </c>
      <c r="Y8" s="281">
        <f t="shared" si="0"/>
        <v>1029.4834037615667</v>
      </c>
      <c r="Z8" s="281">
        <f t="shared" si="0"/>
        <v>1060.3679058744137</v>
      </c>
      <c r="AA8" s="281">
        <f t="shared" si="0"/>
        <v>1092.1789430506462</v>
      </c>
      <c r="AB8" s="281">
        <f t="shared" si="0"/>
        <v>1124.9443113421657</v>
      </c>
      <c r="AC8" s="281">
        <f t="shared" si="0"/>
        <v>1158.6926406824307</v>
      </c>
      <c r="AD8" s="281">
        <f t="shared" si="0"/>
        <v>1193.4534199029035</v>
      </c>
      <c r="AE8" s="281">
        <f t="shared" si="0"/>
        <v>1229.2570224999906</v>
      </c>
      <c r="AF8" s="281">
        <f t="shared" si="0"/>
        <v>1266.1347331749903</v>
      </c>
      <c r="AG8" s="281">
        <f t="shared" si="0"/>
        <v>1304.11877517024</v>
      </c>
      <c r="AH8" s="281">
        <f t="shared" si="0"/>
        <v>1343.2423384253473</v>
      </c>
      <c r="AI8" s="281">
        <f t="shared" si="0"/>
        <v>1383.5396085781076</v>
      </c>
      <c r="AJ8" s="281">
        <f t="shared" si="0"/>
        <v>1425.0457968354508</v>
      </c>
      <c r="AK8" s="281">
        <f t="shared" si="0"/>
        <v>1467.7971707405143</v>
      </c>
      <c r="AL8" s="281">
        <f t="shared" si="0"/>
        <v>1511.8310858627297</v>
      </c>
      <c r="AM8" s="281">
        <f t="shared" si="0"/>
        <v>1557.1860184386117</v>
      </c>
      <c r="AN8" s="281">
        <f t="shared" si="0"/>
        <v>1603.90159899177</v>
      </c>
      <c r="AO8" s="281">
        <f t="shared" si="0"/>
        <v>1652.0186469615232</v>
      </c>
      <c r="AP8" s="281">
        <f t="shared" si="0"/>
        <v>1701.5792063703691</v>
      </c>
      <c r="AQ8" s="281">
        <f t="shared" si="0"/>
        <v>1752.6265825614803</v>
      </c>
      <c r="AR8" s="281">
        <f t="shared" si="0"/>
        <v>1805.2053800383248</v>
      </c>
      <c r="AS8" s="281">
        <f t="shared" si="0"/>
        <v>1859.3615414394746</v>
      </c>
      <c r="AT8" s="281">
        <f t="shared" si="0"/>
        <v>1915.1423876826589</v>
      </c>
      <c r="AU8" s="281">
        <f t="shared" si="0"/>
        <v>1972.5966593131386</v>
      </c>
      <c r="AV8" s="281">
        <f t="shared" si="0"/>
        <v>2031.7745590925329</v>
      </c>
      <c r="AW8" s="281">
        <f t="shared" si="0"/>
        <v>2092.727795865309</v>
      </c>
      <c r="AX8" s="281">
        <f t="shared" si="0"/>
        <v>2155.5096297412683</v>
      </c>
      <c r="AY8" s="281">
        <f t="shared" si="0"/>
        <v>2220.1749186335064</v>
      </c>
      <c r="AZ8" s="281">
        <f t="shared" si="0"/>
        <v>2286.7801661925118</v>
      </c>
      <c r="BA8" s="282">
        <f t="shared" si="0"/>
        <v>2355.3835711782872</v>
      </c>
    </row>
    <row r="9" spans="1:53">
      <c r="A9"/>
      <c r="B9" s="479" t="s">
        <v>99</v>
      </c>
      <c r="C9" s="480"/>
      <c r="D9" s="35"/>
      <c r="E9" s="289">
        <f>Cockpit!$H$31</f>
        <v>0.03</v>
      </c>
      <c r="F9" s="289">
        <f>Cockpit!$H$31</f>
        <v>0.03</v>
      </c>
      <c r="G9" s="289">
        <f>Cockpit!$H$31</f>
        <v>0.03</v>
      </c>
      <c r="H9" s="289">
        <f>Cockpit!$H$31</f>
        <v>0.03</v>
      </c>
      <c r="I9" s="289">
        <f>Cockpit!$H$31</f>
        <v>0.03</v>
      </c>
      <c r="J9" s="289">
        <f>Cockpit!$H$31</f>
        <v>0.03</v>
      </c>
      <c r="K9" s="289">
        <f>Cockpit!$H$31</f>
        <v>0.03</v>
      </c>
      <c r="L9" s="289">
        <f>Cockpit!$H$31</f>
        <v>0.03</v>
      </c>
      <c r="M9" s="289">
        <f>Cockpit!$H$31</f>
        <v>0.03</v>
      </c>
      <c r="N9" s="289">
        <f>Cockpit!$H$31</f>
        <v>0.03</v>
      </c>
      <c r="O9" s="289">
        <f>Cockpit!$H$31</f>
        <v>0.03</v>
      </c>
      <c r="P9" s="289">
        <f>Cockpit!$H$31</f>
        <v>0.03</v>
      </c>
      <c r="Q9" s="289">
        <f>Cockpit!$H$31</f>
        <v>0.03</v>
      </c>
      <c r="R9" s="289">
        <f>Cockpit!$H$31</f>
        <v>0.03</v>
      </c>
      <c r="S9" s="289">
        <f>Cockpit!$H$31</f>
        <v>0.03</v>
      </c>
      <c r="T9" s="289">
        <f>Cockpit!$H$31</f>
        <v>0.03</v>
      </c>
      <c r="U9" s="289">
        <f>Cockpit!$H$31</f>
        <v>0.03</v>
      </c>
      <c r="V9" s="289">
        <f>Cockpit!$H$31</f>
        <v>0.03</v>
      </c>
      <c r="W9" s="289">
        <f>Cockpit!$H$31</f>
        <v>0.03</v>
      </c>
      <c r="X9" s="289">
        <f>Cockpit!$H$31</f>
        <v>0.03</v>
      </c>
      <c r="Y9" s="289">
        <f>Cockpit!$H$31</f>
        <v>0.03</v>
      </c>
      <c r="Z9" s="289">
        <f>Cockpit!$H$31</f>
        <v>0.03</v>
      </c>
      <c r="AA9" s="289">
        <f>Cockpit!$H$31</f>
        <v>0.03</v>
      </c>
      <c r="AB9" s="289">
        <f>Cockpit!$H$31</f>
        <v>0.03</v>
      </c>
      <c r="AC9" s="289">
        <f>Cockpit!$H$31</f>
        <v>0.03</v>
      </c>
      <c r="AD9" s="289">
        <f>Cockpit!$H$31</f>
        <v>0.03</v>
      </c>
      <c r="AE9" s="289">
        <f>Cockpit!$H$31</f>
        <v>0.03</v>
      </c>
      <c r="AF9" s="289">
        <f>Cockpit!$H$31</f>
        <v>0.03</v>
      </c>
      <c r="AG9" s="289">
        <f>Cockpit!$H$31</f>
        <v>0.03</v>
      </c>
      <c r="AH9" s="289">
        <f>Cockpit!$H$31</f>
        <v>0.03</v>
      </c>
      <c r="AI9" s="289">
        <f>Cockpit!$H$31</f>
        <v>0.03</v>
      </c>
      <c r="AJ9" s="289">
        <f>Cockpit!$H$31</f>
        <v>0.03</v>
      </c>
      <c r="AK9" s="289">
        <f>Cockpit!$H$31</f>
        <v>0.03</v>
      </c>
      <c r="AL9" s="289">
        <f>Cockpit!$H$31</f>
        <v>0.03</v>
      </c>
      <c r="AM9" s="289">
        <f>Cockpit!$H$31</f>
        <v>0.03</v>
      </c>
      <c r="AN9" s="289">
        <f>Cockpit!$H$31</f>
        <v>0.03</v>
      </c>
      <c r="AO9" s="289">
        <f>Cockpit!$H$31</f>
        <v>0.03</v>
      </c>
      <c r="AP9" s="289">
        <f>Cockpit!$H$31</f>
        <v>0.03</v>
      </c>
      <c r="AQ9" s="289">
        <f>Cockpit!$H$31</f>
        <v>0.03</v>
      </c>
      <c r="AR9" s="289">
        <f>Cockpit!$H$31</f>
        <v>0.03</v>
      </c>
      <c r="AS9" s="289">
        <f>Cockpit!$H$31</f>
        <v>0.03</v>
      </c>
      <c r="AT9" s="289">
        <f>Cockpit!$H$31</f>
        <v>0.03</v>
      </c>
      <c r="AU9" s="289">
        <f>Cockpit!$H$31</f>
        <v>0.03</v>
      </c>
      <c r="AV9" s="289">
        <f>Cockpit!$H$31</f>
        <v>0.03</v>
      </c>
      <c r="AW9" s="289">
        <f>Cockpit!$H$31</f>
        <v>0.03</v>
      </c>
      <c r="AX9" s="289">
        <f>Cockpit!$H$31</f>
        <v>0.03</v>
      </c>
      <c r="AY9" s="289">
        <f>Cockpit!$H$31</f>
        <v>0.03</v>
      </c>
      <c r="AZ9" s="289">
        <f>Cockpit!$H$31</f>
        <v>0.03</v>
      </c>
      <c r="BA9" s="290">
        <f>Cockpit!$H$31</f>
        <v>0.03</v>
      </c>
    </row>
    <row r="10" spans="1:53">
      <c r="A10"/>
      <c r="B10" s="479" t="s">
        <v>67</v>
      </c>
      <c r="C10" s="480"/>
      <c r="D10" s="10">
        <f>Cockpit!H15</f>
        <v>570</v>
      </c>
      <c r="E10" s="10">
        <f>E8*(1+E9)</f>
        <v>587.1</v>
      </c>
      <c r="F10" s="10">
        <f t="shared" ref="F10:BA10" si="1">F8*(1+F9)</f>
        <v>604.71300000000008</v>
      </c>
      <c r="G10" s="10">
        <f t="shared" si="1"/>
        <v>622.85439000000008</v>
      </c>
      <c r="H10" s="10">
        <f t="shared" si="1"/>
        <v>641.54002170000012</v>
      </c>
      <c r="I10" s="10">
        <f t="shared" si="1"/>
        <v>660.78622235100011</v>
      </c>
      <c r="J10" s="10">
        <f t="shared" si="1"/>
        <v>680.60980902153017</v>
      </c>
      <c r="K10" s="10">
        <f t="shared" si="1"/>
        <v>701.02810329217607</v>
      </c>
      <c r="L10" s="10">
        <f t="shared" si="1"/>
        <v>722.0589463909414</v>
      </c>
      <c r="M10" s="10">
        <f t="shared" si="1"/>
        <v>743.72071478266969</v>
      </c>
      <c r="N10" s="10">
        <f t="shared" si="1"/>
        <v>766.03233622614982</v>
      </c>
      <c r="O10" s="10">
        <f t="shared" si="1"/>
        <v>789.01330631293433</v>
      </c>
      <c r="P10" s="10">
        <f t="shared" si="1"/>
        <v>812.68370550232237</v>
      </c>
      <c r="Q10" s="10">
        <f t="shared" si="1"/>
        <v>837.06421666739209</v>
      </c>
      <c r="R10" s="10">
        <f t="shared" si="1"/>
        <v>862.1761431674139</v>
      </c>
      <c r="S10" s="10">
        <f t="shared" si="1"/>
        <v>888.04142746243633</v>
      </c>
      <c r="T10" s="10">
        <f t="shared" si="1"/>
        <v>914.68267028630942</v>
      </c>
      <c r="U10" s="10">
        <f t="shared" si="1"/>
        <v>942.12315039489874</v>
      </c>
      <c r="V10" s="10">
        <f t="shared" si="1"/>
        <v>970.38684490674575</v>
      </c>
      <c r="W10" s="10">
        <f t="shared" si="1"/>
        <v>999.49845025394814</v>
      </c>
      <c r="X10" s="10">
        <f t="shared" si="1"/>
        <v>1029.4834037615667</v>
      </c>
      <c r="Y10" s="10">
        <f t="shared" si="1"/>
        <v>1060.3679058744137</v>
      </c>
      <c r="Z10" s="10">
        <f t="shared" si="1"/>
        <v>1092.1789430506462</v>
      </c>
      <c r="AA10" s="10">
        <f t="shared" si="1"/>
        <v>1124.9443113421657</v>
      </c>
      <c r="AB10" s="10">
        <f t="shared" si="1"/>
        <v>1158.6926406824307</v>
      </c>
      <c r="AC10" s="10">
        <f t="shared" si="1"/>
        <v>1193.4534199029035</v>
      </c>
      <c r="AD10" s="10">
        <f t="shared" si="1"/>
        <v>1229.2570224999906</v>
      </c>
      <c r="AE10" s="10">
        <f t="shared" si="1"/>
        <v>1266.1347331749903</v>
      </c>
      <c r="AF10" s="10">
        <f t="shared" si="1"/>
        <v>1304.11877517024</v>
      </c>
      <c r="AG10" s="10">
        <f t="shared" si="1"/>
        <v>1343.2423384253473</v>
      </c>
      <c r="AH10" s="10">
        <f t="shared" si="1"/>
        <v>1383.5396085781076</v>
      </c>
      <c r="AI10" s="10">
        <f t="shared" si="1"/>
        <v>1425.0457968354508</v>
      </c>
      <c r="AJ10" s="10">
        <f t="shared" si="1"/>
        <v>1467.7971707405143</v>
      </c>
      <c r="AK10" s="10">
        <f t="shared" si="1"/>
        <v>1511.8310858627297</v>
      </c>
      <c r="AL10" s="10">
        <f t="shared" si="1"/>
        <v>1557.1860184386117</v>
      </c>
      <c r="AM10" s="10">
        <f t="shared" si="1"/>
        <v>1603.90159899177</v>
      </c>
      <c r="AN10" s="10">
        <f t="shared" si="1"/>
        <v>1652.0186469615232</v>
      </c>
      <c r="AO10" s="10">
        <f t="shared" si="1"/>
        <v>1701.5792063703691</v>
      </c>
      <c r="AP10" s="10">
        <f t="shared" si="1"/>
        <v>1752.6265825614803</v>
      </c>
      <c r="AQ10" s="10">
        <f t="shared" si="1"/>
        <v>1805.2053800383248</v>
      </c>
      <c r="AR10" s="10">
        <f t="shared" si="1"/>
        <v>1859.3615414394746</v>
      </c>
      <c r="AS10" s="10">
        <f t="shared" si="1"/>
        <v>1915.1423876826589</v>
      </c>
      <c r="AT10" s="10">
        <f t="shared" si="1"/>
        <v>1972.5966593131386</v>
      </c>
      <c r="AU10" s="10">
        <f t="shared" si="1"/>
        <v>2031.7745590925329</v>
      </c>
      <c r="AV10" s="10">
        <f t="shared" si="1"/>
        <v>2092.727795865309</v>
      </c>
      <c r="AW10" s="10">
        <f t="shared" si="1"/>
        <v>2155.5096297412683</v>
      </c>
      <c r="AX10" s="10">
        <f t="shared" si="1"/>
        <v>2220.1749186335064</v>
      </c>
      <c r="AY10" s="10">
        <f t="shared" si="1"/>
        <v>2286.7801661925118</v>
      </c>
      <c r="AZ10" s="10">
        <f t="shared" si="1"/>
        <v>2355.3835711782872</v>
      </c>
      <c r="BA10" s="283">
        <f t="shared" si="1"/>
        <v>2426.0450783136357</v>
      </c>
    </row>
    <row r="11" spans="1:53">
      <c r="A11"/>
      <c r="B11" s="479" t="s">
        <v>329</v>
      </c>
      <c r="C11" s="480"/>
      <c r="D11" s="10">
        <f>'MFH-Kalkulator'!E12</f>
        <v>1287.5</v>
      </c>
      <c r="E11" s="10">
        <f>'MFH-Kalkulator'!F12</f>
        <v>1326.125</v>
      </c>
      <c r="F11" s="10">
        <f>'MFH-Kalkulator'!G12</f>
        <v>1365.9087500000001</v>
      </c>
      <c r="G11" s="10">
        <f>'MFH-Kalkulator'!H12</f>
        <v>1406.8860125000001</v>
      </c>
      <c r="H11" s="10">
        <f>'MFH-Kalkulator'!I12</f>
        <v>1449.0925928749998</v>
      </c>
      <c r="I11" s="10">
        <f>'MFH-Kalkulator'!J12</f>
        <v>1492.56537066125</v>
      </c>
      <c r="J11" s="10">
        <f>'MFH-Kalkulator'!K12</f>
        <v>1537.3423317810875</v>
      </c>
      <c r="K11" s="10">
        <f>'MFH-Kalkulator'!L12</f>
        <v>1583.4626017345199</v>
      </c>
      <c r="L11" s="10">
        <f>'MFH-Kalkulator'!M12</f>
        <v>1630.9664797865557</v>
      </c>
      <c r="M11" s="10">
        <f>'MFH-Kalkulator'!N12</f>
        <v>1679.8954741801526</v>
      </c>
      <c r="N11" s="10">
        <f>'MFH-Kalkulator'!O12</f>
        <v>1730.2923384055571</v>
      </c>
      <c r="O11" s="10">
        <f>'MFH-Kalkulator'!P12</f>
        <v>1782.201108557724</v>
      </c>
      <c r="P11" s="10">
        <f>'MFH-Kalkulator'!Q12</f>
        <v>1835.6671418144556</v>
      </c>
      <c r="Q11" s="10">
        <f>'MFH-Kalkulator'!R12</f>
        <v>1890.7371560688894</v>
      </c>
      <c r="R11" s="10">
        <f>'MFH-Kalkulator'!S12</f>
        <v>1947.4592707509562</v>
      </c>
      <c r="S11" s="10">
        <f>'MFH-Kalkulator'!T12</f>
        <v>2005.8830488734848</v>
      </c>
      <c r="T11" s="10">
        <f>'MFH-Kalkulator'!U12</f>
        <v>2066.0595403396896</v>
      </c>
      <c r="U11" s="10">
        <f>'MFH-Kalkulator'!V12</f>
        <v>2128.0413265498801</v>
      </c>
      <c r="V11" s="10">
        <f>'MFH-Kalkulator'!W12</f>
        <v>2191.8825663463767</v>
      </c>
      <c r="W11" s="10">
        <f>'MFH-Kalkulator'!X12</f>
        <v>2257.6390433367678</v>
      </c>
      <c r="X11" s="10">
        <f>'MFH-Kalkulator'!Y12</f>
        <v>2325.3682146368706</v>
      </c>
      <c r="Y11" s="10">
        <f>'MFH-Kalkulator'!Z12</f>
        <v>2395.129261075977</v>
      </c>
      <c r="Z11" s="10">
        <f>'MFH-Kalkulator'!AA12</f>
        <v>2466.9831389082565</v>
      </c>
      <c r="AA11" s="10">
        <f>'MFH-Kalkulator'!AB12</f>
        <v>2540.9926330755043</v>
      </c>
      <c r="AB11" s="10">
        <f>'MFH-Kalkulator'!AC12</f>
        <v>2617.2224120677697</v>
      </c>
      <c r="AC11" s="10">
        <f>'MFH-Kalkulator'!AD12</f>
        <v>2695.7390844298025</v>
      </c>
      <c r="AD11" s="10">
        <f>'MFH-Kalkulator'!AE12</f>
        <v>2776.6112569626966</v>
      </c>
      <c r="AE11" s="10">
        <f>'MFH-Kalkulator'!AF12</f>
        <v>2859.9095946715775</v>
      </c>
      <c r="AF11" s="10">
        <f>'MFH-Kalkulator'!AG12</f>
        <v>2945.7068825117253</v>
      </c>
      <c r="AG11" s="10">
        <f>'MFH-Kalkulator'!AH12</f>
        <v>3034.0780889870766</v>
      </c>
      <c r="AH11" s="10">
        <f>'MFH-Kalkulator'!AI12</f>
        <v>3125.1004316566896</v>
      </c>
      <c r="AI11" s="10">
        <f>'MFH-Kalkulator'!AJ12</f>
        <v>3218.85344460639</v>
      </c>
      <c r="AJ11" s="10">
        <f>'MFH-Kalkulator'!AK12</f>
        <v>3315.4190479445824</v>
      </c>
      <c r="AK11" s="10">
        <f>'MFH-Kalkulator'!AL12</f>
        <v>3414.8816193829193</v>
      </c>
      <c r="AL11" s="10">
        <f>'MFH-Kalkulator'!AM12</f>
        <v>3517.3280679644072</v>
      </c>
      <c r="AM11" s="10">
        <f>'MFH-Kalkulator'!AN12</f>
        <v>3622.8479100033392</v>
      </c>
      <c r="AN11" s="10">
        <f>'MFH-Kalkulator'!AO12</f>
        <v>3731.5333473034398</v>
      </c>
      <c r="AO11" s="10">
        <f>'MFH-Kalkulator'!AP12</f>
        <v>3843.479347722543</v>
      </c>
      <c r="AP11" s="10">
        <f>'MFH-Kalkulator'!AQ12</f>
        <v>3958.7837281542197</v>
      </c>
      <c r="AQ11" s="10">
        <f>'MFH-Kalkulator'!AR12</f>
        <v>4077.5472399988457</v>
      </c>
      <c r="AR11" s="10">
        <f>'MFH-Kalkulator'!AS12</f>
        <v>4199.8736571988111</v>
      </c>
      <c r="AS11" s="10">
        <f>'MFH-Kalkulator'!AT12</f>
        <v>4325.8698669147752</v>
      </c>
      <c r="AT11" s="10">
        <f>'MFH-Kalkulator'!AU12</f>
        <v>4455.645962922219</v>
      </c>
      <c r="AU11" s="10">
        <f>'MFH-Kalkulator'!AV12</f>
        <v>4589.3153418098855</v>
      </c>
      <c r="AV11" s="10">
        <f>'MFH-Kalkulator'!AW12</f>
        <v>4726.9948020641823</v>
      </c>
      <c r="AW11" s="10">
        <f>'MFH-Kalkulator'!AX12</f>
        <v>4868.8046461261074</v>
      </c>
      <c r="AX11" s="10">
        <f>'MFH-Kalkulator'!AY12</f>
        <v>5014.8687855098924</v>
      </c>
      <c r="AY11" s="10">
        <f>'MFH-Kalkulator'!AZ12</f>
        <v>5165.3148490751892</v>
      </c>
      <c r="AZ11" s="10">
        <f>'MFH-Kalkulator'!BA12</f>
        <v>5320.2742945474447</v>
      </c>
      <c r="BA11" s="283">
        <f>'MFH-Kalkulator'!BB12</f>
        <v>5479.8825233838679</v>
      </c>
    </row>
    <row r="12" spans="1:53">
      <c r="B12" s="479" t="s">
        <v>327</v>
      </c>
      <c r="C12" s="480"/>
      <c r="D12" s="10">
        <f>IF('MFH-Kalkulator'!$C$6="Ein",'Miete, Cashflow, Steuern'!D11,'Miete, Cashflow, Steuern'!D10)</f>
        <v>570</v>
      </c>
      <c r="E12" s="10">
        <f>IF('MFH-Kalkulator'!$C$6="Ein",'Miete, Cashflow, Steuern'!E11,'Miete, Cashflow, Steuern'!E10)</f>
        <v>587.1</v>
      </c>
      <c r="F12" s="10">
        <f>IF('MFH-Kalkulator'!$C$6="Ein",'Miete, Cashflow, Steuern'!F11,'Miete, Cashflow, Steuern'!F10)</f>
        <v>604.71300000000008</v>
      </c>
      <c r="G12" s="10">
        <f>IF('MFH-Kalkulator'!$C$6="Ein",'Miete, Cashflow, Steuern'!G11,'Miete, Cashflow, Steuern'!G10)</f>
        <v>622.85439000000008</v>
      </c>
      <c r="H12" s="10">
        <f>IF('MFH-Kalkulator'!$C$6="Ein",'Miete, Cashflow, Steuern'!H11,'Miete, Cashflow, Steuern'!H10)</f>
        <v>641.54002170000012</v>
      </c>
      <c r="I12" s="10">
        <f>IF('MFH-Kalkulator'!$C$6="Ein",'Miete, Cashflow, Steuern'!I11,'Miete, Cashflow, Steuern'!I10)</f>
        <v>660.78622235100011</v>
      </c>
      <c r="J12" s="10">
        <f>IF('MFH-Kalkulator'!$C$6="Ein",'Miete, Cashflow, Steuern'!J11,'Miete, Cashflow, Steuern'!J10)</f>
        <v>680.60980902153017</v>
      </c>
      <c r="K12" s="10">
        <f>IF('MFH-Kalkulator'!$C$6="Ein",'Miete, Cashflow, Steuern'!K11,'Miete, Cashflow, Steuern'!K10)</f>
        <v>701.02810329217607</v>
      </c>
      <c r="L12" s="10">
        <f>IF('MFH-Kalkulator'!$C$6="Ein",'Miete, Cashflow, Steuern'!L11,'Miete, Cashflow, Steuern'!L10)</f>
        <v>722.0589463909414</v>
      </c>
      <c r="M12" s="10">
        <f>IF('MFH-Kalkulator'!$C$6="Ein",'Miete, Cashflow, Steuern'!M11,'Miete, Cashflow, Steuern'!M10)</f>
        <v>743.72071478266969</v>
      </c>
      <c r="N12" s="10">
        <f>IF('MFH-Kalkulator'!$C$6="Ein",'Miete, Cashflow, Steuern'!N11,'Miete, Cashflow, Steuern'!N10)</f>
        <v>766.03233622614982</v>
      </c>
      <c r="O12" s="10">
        <f>IF('MFH-Kalkulator'!$C$6="Ein",'Miete, Cashflow, Steuern'!O11,'Miete, Cashflow, Steuern'!O10)</f>
        <v>789.01330631293433</v>
      </c>
      <c r="P12" s="10">
        <f>IF('MFH-Kalkulator'!$C$6="Ein",'Miete, Cashflow, Steuern'!P11,'Miete, Cashflow, Steuern'!P10)</f>
        <v>812.68370550232237</v>
      </c>
      <c r="Q12" s="10">
        <f>IF('MFH-Kalkulator'!$C$6="Ein",'Miete, Cashflow, Steuern'!Q11,'Miete, Cashflow, Steuern'!Q10)</f>
        <v>837.06421666739209</v>
      </c>
      <c r="R12" s="10">
        <f>IF('MFH-Kalkulator'!$C$6="Ein",'Miete, Cashflow, Steuern'!R11,'Miete, Cashflow, Steuern'!R10)</f>
        <v>862.1761431674139</v>
      </c>
      <c r="S12" s="10">
        <f>IF('MFH-Kalkulator'!$C$6="Ein",'Miete, Cashflow, Steuern'!S11,'Miete, Cashflow, Steuern'!S10)</f>
        <v>888.04142746243633</v>
      </c>
      <c r="T12" s="10">
        <f>IF('MFH-Kalkulator'!$C$6="Ein",'Miete, Cashflow, Steuern'!T11,'Miete, Cashflow, Steuern'!T10)</f>
        <v>914.68267028630942</v>
      </c>
      <c r="U12" s="10">
        <f>IF('MFH-Kalkulator'!$C$6="Ein",'Miete, Cashflow, Steuern'!U11,'Miete, Cashflow, Steuern'!U10)</f>
        <v>942.12315039489874</v>
      </c>
      <c r="V12" s="10">
        <f>IF('MFH-Kalkulator'!$C$6="Ein",'Miete, Cashflow, Steuern'!V11,'Miete, Cashflow, Steuern'!V10)</f>
        <v>970.38684490674575</v>
      </c>
      <c r="W12" s="10">
        <f>IF('MFH-Kalkulator'!$C$6="Ein",'Miete, Cashflow, Steuern'!W11,'Miete, Cashflow, Steuern'!W10)</f>
        <v>999.49845025394814</v>
      </c>
      <c r="X12" s="10">
        <f>IF('MFH-Kalkulator'!$C$6="Ein",'Miete, Cashflow, Steuern'!X11,'Miete, Cashflow, Steuern'!X10)</f>
        <v>1029.4834037615667</v>
      </c>
      <c r="Y12" s="10">
        <f>IF('MFH-Kalkulator'!$C$6="Ein",'Miete, Cashflow, Steuern'!Y11,'Miete, Cashflow, Steuern'!Y10)</f>
        <v>1060.3679058744137</v>
      </c>
      <c r="Z12" s="10">
        <f>IF('MFH-Kalkulator'!$C$6="Ein",'Miete, Cashflow, Steuern'!Z11,'Miete, Cashflow, Steuern'!Z10)</f>
        <v>1092.1789430506462</v>
      </c>
      <c r="AA12" s="10">
        <f>IF('MFH-Kalkulator'!$C$6="Ein",'Miete, Cashflow, Steuern'!AA11,'Miete, Cashflow, Steuern'!AA10)</f>
        <v>1124.9443113421657</v>
      </c>
      <c r="AB12" s="10">
        <f>IF('MFH-Kalkulator'!$C$6="Ein",'Miete, Cashflow, Steuern'!AB11,'Miete, Cashflow, Steuern'!AB10)</f>
        <v>1158.6926406824307</v>
      </c>
      <c r="AC12" s="10">
        <f>IF('MFH-Kalkulator'!$C$6="Ein",'Miete, Cashflow, Steuern'!AC11,'Miete, Cashflow, Steuern'!AC10)</f>
        <v>1193.4534199029035</v>
      </c>
      <c r="AD12" s="10">
        <f>IF('MFH-Kalkulator'!$C$6="Ein",'Miete, Cashflow, Steuern'!AD11,'Miete, Cashflow, Steuern'!AD10)</f>
        <v>1229.2570224999906</v>
      </c>
      <c r="AE12" s="10">
        <f>IF('MFH-Kalkulator'!$C$6="Ein",'Miete, Cashflow, Steuern'!AE11,'Miete, Cashflow, Steuern'!AE10)</f>
        <v>1266.1347331749903</v>
      </c>
      <c r="AF12" s="10">
        <f>IF('MFH-Kalkulator'!$C$6="Ein",'Miete, Cashflow, Steuern'!AF11,'Miete, Cashflow, Steuern'!AF10)</f>
        <v>1304.11877517024</v>
      </c>
      <c r="AG12" s="10">
        <f>IF('MFH-Kalkulator'!$C$6="Ein",'Miete, Cashflow, Steuern'!AG11,'Miete, Cashflow, Steuern'!AG10)</f>
        <v>1343.2423384253473</v>
      </c>
      <c r="AH12" s="10">
        <f>IF('MFH-Kalkulator'!$C$6="Ein",'Miete, Cashflow, Steuern'!AH11,'Miete, Cashflow, Steuern'!AH10)</f>
        <v>1383.5396085781076</v>
      </c>
      <c r="AI12" s="10">
        <f>IF('MFH-Kalkulator'!$C$6="Ein",'Miete, Cashflow, Steuern'!AI11,'Miete, Cashflow, Steuern'!AI10)</f>
        <v>1425.0457968354508</v>
      </c>
      <c r="AJ12" s="10">
        <f>IF('MFH-Kalkulator'!$C$6="Ein",'Miete, Cashflow, Steuern'!AJ11,'Miete, Cashflow, Steuern'!AJ10)</f>
        <v>1467.7971707405143</v>
      </c>
      <c r="AK12" s="10">
        <f>IF('MFH-Kalkulator'!$C$6="Ein",'Miete, Cashflow, Steuern'!AK11,'Miete, Cashflow, Steuern'!AK10)</f>
        <v>1511.8310858627297</v>
      </c>
      <c r="AL12" s="10">
        <f>IF('MFH-Kalkulator'!$C$6="Ein",'Miete, Cashflow, Steuern'!AL11,'Miete, Cashflow, Steuern'!AL10)</f>
        <v>1557.1860184386117</v>
      </c>
      <c r="AM12" s="10">
        <f>IF('MFH-Kalkulator'!$C$6="Ein",'Miete, Cashflow, Steuern'!AM11,'Miete, Cashflow, Steuern'!AM10)</f>
        <v>1603.90159899177</v>
      </c>
      <c r="AN12" s="10">
        <f>IF('MFH-Kalkulator'!$C$6="Ein",'Miete, Cashflow, Steuern'!AN11,'Miete, Cashflow, Steuern'!AN10)</f>
        <v>1652.0186469615232</v>
      </c>
      <c r="AO12" s="10">
        <f>IF('MFH-Kalkulator'!$C$6="Ein",'Miete, Cashflow, Steuern'!AO11,'Miete, Cashflow, Steuern'!AO10)</f>
        <v>1701.5792063703691</v>
      </c>
      <c r="AP12" s="10">
        <f>IF('MFH-Kalkulator'!$C$6="Ein",'Miete, Cashflow, Steuern'!AP11,'Miete, Cashflow, Steuern'!AP10)</f>
        <v>1752.6265825614803</v>
      </c>
      <c r="AQ12" s="10">
        <f>IF('MFH-Kalkulator'!$C$6="Ein",'Miete, Cashflow, Steuern'!AQ11,'Miete, Cashflow, Steuern'!AQ10)</f>
        <v>1805.2053800383248</v>
      </c>
      <c r="AR12" s="10">
        <f>IF('MFH-Kalkulator'!$C$6="Ein",'Miete, Cashflow, Steuern'!AR11,'Miete, Cashflow, Steuern'!AR10)</f>
        <v>1859.3615414394746</v>
      </c>
      <c r="AS12" s="10">
        <f>IF('MFH-Kalkulator'!$C$6="Ein",'Miete, Cashflow, Steuern'!AS11,'Miete, Cashflow, Steuern'!AS10)</f>
        <v>1915.1423876826589</v>
      </c>
      <c r="AT12" s="10">
        <f>IF('MFH-Kalkulator'!$C$6="Ein",'Miete, Cashflow, Steuern'!AT11,'Miete, Cashflow, Steuern'!AT10)</f>
        <v>1972.5966593131386</v>
      </c>
      <c r="AU12" s="10">
        <f>IF('MFH-Kalkulator'!$C$6="Ein",'Miete, Cashflow, Steuern'!AU11,'Miete, Cashflow, Steuern'!AU10)</f>
        <v>2031.7745590925329</v>
      </c>
      <c r="AV12" s="10">
        <f>IF('MFH-Kalkulator'!$C$6="Ein",'Miete, Cashflow, Steuern'!AV11,'Miete, Cashflow, Steuern'!AV10)</f>
        <v>2092.727795865309</v>
      </c>
      <c r="AW12" s="10">
        <f>IF('MFH-Kalkulator'!$C$6="Ein",'Miete, Cashflow, Steuern'!AW11,'Miete, Cashflow, Steuern'!AW10)</f>
        <v>2155.5096297412683</v>
      </c>
      <c r="AX12" s="10">
        <f>IF('MFH-Kalkulator'!$C$6="Ein",'Miete, Cashflow, Steuern'!AX11,'Miete, Cashflow, Steuern'!AX10)</f>
        <v>2220.1749186335064</v>
      </c>
      <c r="AY12" s="10">
        <f>IF('MFH-Kalkulator'!$C$6="Ein",'Miete, Cashflow, Steuern'!AY11,'Miete, Cashflow, Steuern'!AY10)</f>
        <v>2286.7801661925118</v>
      </c>
      <c r="AZ12" s="10">
        <f>IF('MFH-Kalkulator'!$C$6="Ein",'Miete, Cashflow, Steuern'!AZ11,'Miete, Cashflow, Steuern'!AZ10)</f>
        <v>2355.3835711782872</v>
      </c>
      <c r="BA12" s="283">
        <f>IF('MFH-Kalkulator'!$C$6="Ein",'Miete, Cashflow, Steuern'!BA11,'Miete, Cashflow, Steuern'!BA10)</f>
        <v>2426.0450783136357</v>
      </c>
    </row>
    <row r="13" spans="1:53">
      <c r="B13" s="479" t="s">
        <v>252</v>
      </c>
      <c r="C13" s="480"/>
      <c r="D13" s="10">
        <f>Cockpit!K9</f>
        <v>60</v>
      </c>
      <c r="E13" s="10">
        <f>D13*(1+Cockpit!$H$30)</f>
        <v>61.2</v>
      </c>
      <c r="F13" s="10">
        <f>E13*(1+Cockpit!$H$30)</f>
        <v>62.424000000000007</v>
      </c>
      <c r="G13" s="10">
        <f>F13*(1+Cockpit!$H$30)</f>
        <v>63.672480000000007</v>
      </c>
      <c r="H13" s="10">
        <f>G13*(1+Cockpit!$H$30)</f>
        <v>64.945929600000014</v>
      </c>
      <c r="I13" s="10">
        <f>H13*(1+Cockpit!$H$30)</f>
        <v>66.244848192000021</v>
      </c>
      <c r="J13" s="10">
        <f>I13*(1+Cockpit!$H$30)</f>
        <v>67.569745155840025</v>
      </c>
      <c r="K13" s="10">
        <f>J13*(1+Cockpit!$H$30)</f>
        <v>68.921140058956823</v>
      </c>
      <c r="L13" s="10">
        <f>K13*(1+Cockpit!$H$30)</f>
        <v>70.299562860135964</v>
      </c>
      <c r="M13" s="10">
        <f>L13*(1+Cockpit!$H$30)</f>
        <v>71.705554117338679</v>
      </c>
      <c r="N13" s="10">
        <f>M13*(1+Cockpit!$H$30)</f>
        <v>73.139665199685453</v>
      </c>
      <c r="O13" s="10">
        <f>N13*(1+Cockpit!$H$30)</f>
        <v>74.602458503679159</v>
      </c>
      <c r="P13" s="10">
        <f>O13*(1+Cockpit!$H$30)</f>
        <v>76.094507673752744</v>
      </c>
      <c r="Q13" s="10">
        <f>P13*(1+Cockpit!$H$30)</f>
        <v>77.6163978272278</v>
      </c>
      <c r="R13" s="10">
        <f>Q13*(1+Cockpit!$H$30)</f>
        <v>79.168725783772359</v>
      </c>
      <c r="S13" s="10">
        <f>R13*(1+Cockpit!$H$30)</f>
        <v>80.752100299447804</v>
      </c>
      <c r="T13" s="10">
        <f>S13*(1+Cockpit!$H$30)</f>
        <v>82.367142305436758</v>
      </c>
      <c r="U13" s="10">
        <f>T13*(1+Cockpit!$H$30)</f>
        <v>84.0144851515455</v>
      </c>
      <c r="V13" s="10">
        <f>U13*(1+Cockpit!$H$30)</f>
        <v>85.694774854576409</v>
      </c>
      <c r="W13" s="10">
        <f>V13*(1+Cockpit!$H$30)</f>
        <v>87.408670351667936</v>
      </c>
      <c r="X13" s="10">
        <f>W13*(1+Cockpit!$H$30)</f>
        <v>89.156843758701299</v>
      </c>
      <c r="Y13" s="10">
        <f>X13*(1+Cockpit!$H$30)</f>
        <v>90.939980633875322</v>
      </c>
      <c r="Z13" s="10">
        <f>Y13*(1+Cockpit!$H$30)</f>
        <v>92.758780246552831</v>
      </c>
      <c r="AA13" s="10">
        <f>Z13*(1+Cockpit!$H$30)</f>
        <v>94.613955851483894</v>
      </c>
      <c r="AB13" s="10">
        <f>AA13*(1+Cockpit!$H$30)</f>
        <v>96.506234968513567</v>
      </c>
      <c r="AC13" s="10">
        <f>AB13*(1+Cockpit!$H$30)</f>
        <v>98.436359667883835</v>
      </c>
      <c r="AD13" s="10">
        <f>AC13*(1+Cockpit!$H$30)</f>
        <v>100.40508686124151</v>
      </c>
      <c r="AE13" s="10">
        <f>AD13*(1+Cockpit!$H$30)</f>
        <v>102.41318859846635</v>
      </c>
      <c r="AF13" s="10">
        <f>AE13*(1+Cockpit!$H$30)</f>
        <v>104.46145237043568</v>
      </c>
      <c r="AG13" s="10">
        <f>AF13*(1+Cockpit!$H$30)</f>
        <v>106.5506814178444</v>
      </c>
      <c r="AH13" s="10">
        <f>AG13*(1+Cockpit!$H$30)</f>
        <v>108.6816950462013</v>
      </c>
      <c r="AI13" s="10">
        <f>AH13*(1+Cockpit!$H$30)</f>
        <v>110.85532894712533</v>
      </c>
      <c r="AJ13" s="10">
        <f>AI13*(1+Cockpit!$H$30)</f>
        <v>113.07243552606784</v>
      </c>
      <c r="AK13" s="10">
        <f>AJ13*(1+Cockpit!$H$30)</f>
        <v>115.3338842365892</v>
      </c>
      <c r="AL13" s="10">
        <f>AK13*(1+Cockpit!$H$30)</f>
        <v>117.64056192132098</v>
      </c>
      <c r="AM13" s="10">
        <f>AL13*(1+Cockpit!$H$30)</f>
        <v>119.99337315974741</v>
      </c>
      <c r="AN13" s="10">
        <f>AM13*(1+Cockpit!$H$30)</f>
        <v>122.39324062294236</v>
      </c>
      <c r="AO13" s="10">
        <f>AN13*(1+Cockpit!$H$30)</f>
        <v>124.8411054354012</v>
      </c>
      <c r="AP13" s="10">
        <f>AO13*(1+Cockpit!$H$30)</f>
        <v>127.33792754410923</v>
      </c>
      <c r="AQ13" s="10">
        <f>AP13*(1+Cockpit!$H$30)</f>
        <v>129.88468609499142</v>
      </c>
      <c r="AR13" s="10">
        <f>AQ13*(1+Cockpit!$H$30)</f>
        <v>132.48237981689127</v>
      </c>
      <c r="AS13" s="10">
        <f>AR13*(1+Cockpit!$H$30)</f>
        <v>135.13202741322908</v>
      </c>
      <c r="AT13" s="10">
        <f>AS13*(1+Cockpit!$H$30)</f>
        <v>137.83466796149366</v>
      </c>
      <c r="AU13" s="10">
        <f>AT13*(1+Cockpit!$H$30)</f>
        <v>140.59136132072354</v>
      </c>
      <c r="AV13" s="10">
        <f>AU13*(1+Cockpit!$H$30)</f>
        <v>143.403188547138</v>
      </c>
      <c r="AW13" s="10">
        <f>AV13*(1+Cockpit!$H$30)</f>
        <v>146.27125231808077</v>
      </c>
      <c r="AX13" s="10">
        <f>AW13*(1+Cockpit!$H$30)</f>
        <v>149.19667736444239</v>
      </c>
      <c r="AY13" s="10">
        <f>AX13*(1+Cockpit!$H$30)</f>
        <v>152.18061091173124</v>
      </c>
      <c r="AZ13" s="10">
        <f>AY13*(1+Cockpit!$H$30)</f>
        <v>155.22422312996585</v>
      </c>
      <c r="BA13" s="283">
        <f>AZ13*(1+Cockpit!$H$30)</f>
        <v>158.32870759256517</v>
      </c>
    </row>
    <row r="14" spans="1:53" ht="15.75" thickBot="1">
      <c r="B14" s="481" t="s">
        <v>477</v>
      </c>
      <c r="C14" s="482"/>
      <c r="D14" s="284">
        <f t="shared" ref="D14:AI14" si="2">D12+D13</f>
        <v>630</v>
      </c>
      <c r="E14" s="284">
        <f t="shared" si="2"/>
        <v>648.30000000000007</v>
      </c>
      <c r="F14" s="284">
        <f t="shared" si="2"/>
        <v>667.13700000000006</v>
      </c>
      <c r="G14" s="284">
        <f t="shared" si="2"/>
        <v>686.52687000000014</v>
      </c>
      <c r="H14" s="284">
        <f t="shared" si="2"/>
        <v>706.48595130000012</v>
      </c>
      <c r="I14" s="284">
        <f t="shared" si="2"/>
        <v>727.03107054300017</v>
      </c>
      <c r="J14" s="284">
        <f t="shared" si="2"/>
        <v>748.17955417737016</v>
      </c>
      <c r="K14" s="284">
        <f t="shared" si="2"/>
        <v>769.94924335113285</v>
      </c>
      <c r="L14" s="284">
        <f t="shared" si="2"/>
        <v>792.35850925107741</v>
      </c>
      <c r="M14" s="284">
        <f t="shared" si="2"/>
        <v>815.42626890000838</v>
      </c>
      <c r="N14" s="284">
        <f t="shared" si="2"/>
        <v>839.17200142583533</v>
      </c>
      <c r="O14" s="284">
        <f t="shared" si="2"/>
        <v>863.61576481661348</v>
      </c>
      <c r="P14" s="284">
        <f t="shared" si="2"/>
        <v>888.77821317607516</v>
      </c>
      <c r="Q14" s="284">
        <f t="shared" si="2"/>
        <v>914.68061449461993</v>
      </c>
      <c r="R14" s="284">
        <f t="shared" si="2"/>
        <v>941.3448689511863</v>
      </c>
      <c r="S14" s="284">
        <f t="shared" si="2"/>
        <v>968.79352776188409</v>
      </c>
      <c r="T14" s="284">
        <f t="shared" si="2"/>
        <v>997.04981259174622</v>
      </c>
      <c r="U14" s="284">
        <f t="shared" si="2"/>
        <v>1026.1376355464442</v>
      </c>
      <c r="V14" s="284">
        <f t="shared" si="2"/>
        <v>1056.0816197613221</v>
      </c>
      <c r="W14" s="284">
        <f t="shared" si="2"/>
        <v>1086.907120605616</v>
      </c>
      <c r="X14" s="284">
        <f t="shared" si="2"/>
        <v>1118.6402475202681</v>
      </c>
      <c r="Y14" s="284">
        <f t="shared" si="2"/>
        <v>1151.3078865082891</v>
      </c>
      <c r="Z14" s="284">
        <f t="shared" si="2"/>
        <v>1184.937723297199</v>
      </c>
      <c r="AA14" s="284">
        <f t="shared" si="2"/>
        <v>1219.5582671936497</v>
      </c>
      <c r="AB14" s="284">
        <f t="shared" si="2"/>
        <v>1255.1988756509443</v>
      </c>
      <c r="AC14" s="284">
        <f t="shared" si="2"/>
        <v>1291.8897795707874</v>
      </c>
      <c r="AD14" s="284">
        <f t="shared" si="2"/>
        <v>1329.6621093612321</v>
      </c>
      <c r="AE14" s="284">
        <f t="shared" si="2"/>
        <v>1368.5479217734567</v>
      </c>
      <c r="AF14" s="284">
        <f t="shared" si="2"/>
        <v>1408.5802275406757</v>
      </c>
      <c r="AG14" s="284">
        <f t="shared" si="2"/>
        <v>1449.7930198431916</v>
      </c>
      <c r="AH14" s="284">
        <f t="shared" si="2"/>
        <v>1492.2213036243088</v>
      </c>
      <c r="AI14" s="284">
        <f t="shared" si="2"/>
        <v>1535.9011257825762</v>
      </c>
      <c r="AJ14" s="284">
        <f t="shared" ref="AJ14:BA14" si="3">AJ12+AJ13</f>
        <v>1580.8696062665822</v>
      </c>
      <c r="AK14" s="284">
        <f t="shared" si="3"/>
        <v>1627.1649700993189</v>
      </c>
      <c r="AL14" s="284">
        <f t="shared" si="3"/>
        <v>1674.8265803599327</v>
      </c>
      <c r="AM14" s="284">
        <f t="shared" si="3"/>
        <v>1723.8949721515173</v>
      </c>
      <c r="AN14" s="284">
        <f t="shared" si="3"/>
        <v>1774.4118875844656</v>
      </c>
      <c r="AO14" s="284">
        <f t="shared" si="3"/>
        <v>1826.4203118057703</v>
      </c>
      <c r="AP14" s="284">
        <f t="shared" si="3"/>
        <v>1879.9645101055896</v>
      </c>
      <c r="AQ14" s="284">
        <f t="shared" si="3"/>
        <v>1935.0900661333162</v>
      </c>
      <c r="AR14" s="284">
        <f t="shared" si="3"/>
        <v>1991.843921256366</v>
      </c>
      <c r="AS14" s="284">
        <f t="shared" si="3"/>
        <v>2050.2744150958879</v>
      </c>
      <c r="AT14" s="284">
        <f t="shared" si="3"/>
        <v>2110.4313272746322</v>
      </c>
      <c r="AU14" s="284">
        <f t="shared" si="3"/>
        <v>2172.3659204132564</v>
      </c>
      <c r="AV14" s="284">
        <f t="shared" si="3"/>
        <v>2236.1309844124471</v>
      </c>
      <c r="AW14" s="284">
        <f t="shared" si="3"/>
        <v>2301.7808820593491</v>
      </c>
      <c r="AX14" s="284">
        <f t="shared" si="3"/>
        <v>2369.371595997949</v>
      </c>
      <c r="AY14" s="284">
        <f t="shared" si="3"/>
        <v>2438.9607771042429</v>
      </c>
      <c r="AZ14" s="284">
        <f t="shared" si="3"/>
        <v>2510.6077943082532</v>
      </c>
      <c r="BA14" s="285">
        <f t="shared" si="3"/>
        <v>2584.3737859062007</v>
      </c>
    </row>
    <row r="15" spans="1:53" ht="15.75" thickBot="1"/>
    <row r="16" spans="1:53" ht="15.75" thickBot="1"/>
    <row r="17" spans="1:53" ht="18" thickBot="1">
      <c r="A17"/>
      <c r="B17" s="273" t="s">
        <v>257</v>
      </c>
      <c r="C17" s="33"/>
      <c r="D17" s="34"/>
      <c r="I17" s="6"/>
      <c r="J17" s="6"/>
      <c r="K17" s="6"/>
      <c r="L17" s="6"/>
    </row>
    <row r="18" spans="1:53" ht="15.75" thickBot="1">
      <c r="B18" s="276"/>
      <c r="C18" s="277"/>
      <c r="D18" s="278">
        <f t="shared" ref="D18:AI18" si="4">D7</f>
        <v>2024</v>
      </c>
      <c r="E18" s="279">
        <f t="shared" si="4"/>
        <v>2025</v>
      </c>
      <c r="F18" s="279">
        <f t="shared" si="4"/>
        <v>2026</v>
      </c>
      <c r="G18" s="279">
        <f t="shared" si="4"/>
        <v>2027</v>
      </c>
      <c r="H18" s="279">
        <f t="shared" si="4"/>
        <v>2028</v>
      </c>
      <c r="I18" s="279">
        <f t="shared" si="4"/>
        <v>2029</v>
      </c>
      <c r="J18" s="279">
        <f t="shared" si="4"/>
        <v>2030</v>
      </c>
      <c r="K18" s="279">
        <f t="shared" si="4"/>
        <v>2031</v>
      </c>
      <c r="L18" s="279">
        <f t="shared" si="4"/>
        <v>2032</v>
      </c>
      <c r="M18" s="279">
        <f t="shared" si="4"/>
        <v>2033</v>
      </c>
      <c r="N18" s="279">
        <f t="shared" si="4"/>
        <v>2034</v>
      </c>
      <c r="O18" s="279">
        <f t="shared" si="4"/>
        <v>2035</v>
      </c>
      <c r="P18" s="279">
        <f t="shared" si="4"/>
        <v>2036</v>
      </c>
      <c r="Q18" s="279">
        <f t="shared" si="4"/>
        <v>2037</v>
      </c>
      <c r="R18" s="279">
        <f t="shared" si="4"/>
        <v>2038</v>
      </c>
      <c r="S18" s="279">
        <f t="shared" si="4"/>
        <v>2039</v>
      </c>
      <c r="T18" s="279">
        <f t="shared" si="4"/>
        <v>2040</v>
      </c>
      <c r="U18" s="279">
        <f t="shared" si="4"/>
        <v>2041</v>
      </c>
      <c r="V18" s="279">
        <f t="shared" si="4"/>
        <v>2042</v>
      </c>
      <c r="W18" s="279">
        <f t="shared" si="4"/>
        <v>2043</v>
      </c>
      <c r="X18" s="279">
        <f t="shared" si="4"/>
        <v>2044</v>
      </c>
      <c r="Y18" s="279">
        <f t="shared" si="4"/>
        <v>2045</v>
      </c>
      <c r="Z18" s="279">
        <f t="shared" si="4"/>
        <v>2046</v>
      </c>
      <c r="AA18" s="279">
        <f t="shared" si="4"/>
        <v>2047</v>
      </c>
      <c r="AB18" s="279">
        <f t="shared" si="4"/>
        <v>2048</v>
      </c>
      <c r="AC18" s="279">
        <f t="shared" si="4"/>
        <v>2049</v>
      </c>
      <c r="AD18" s="279">
        <f t="shared" si="4"/>
        <v>2050</v>
      </c>
      <c r="AE18" s="279">
        <f t="shared" si="4"/>
        <v>2051</v>
      </c>
      <c r="AF18" s="279">
        <f t="shared" si="4"/>
        <v>2052</v>
      </c>
      <c r="AG18" s="279">
        <f t="shared" si="4"/>
        <v>2053</v>
      </c>
      <c r="AH18" s="279">
        <f t="shared" si="4"/>
        <v>2054</v>
      </c>
      <c r="AI18" s="279">
        <f t="shared" si="4"/>
        <v>2055</v>
      </c>
      <c r="AJ18" s="279">
        <f t="shared" ref="AJ18:BA18" si="5">AJ7</f>
        <v>2056</v>
      </c>
      <c r="AK18" s="279">
        <f t="shared" si="5"/>
        <v>2057</v>
      </c>
      <c r="AL18" s="279">
        <f t="shared" si="5"/>
        <v>2058</v>
      </c>
      <c r="AM18" s="279">
        <f t="shared" si="5"/>
        <v>2059</v>
      </c>
      <c r="AN18" s="279">
        <f t="shared" si="5"/>
        <v>2060</v>
      </c>
      <c r="AO18" s="279">
        <f t="shared" si="5"/>
        <v>2061</v>
      </c>
      <c r="AP18" s="279">
        <f t="shared" si="5"/>
        <v>2062</v>
      </c>
      <c r="AQ18" s="279">
        <f t="shared" si="5"/>
        <v>2063</v>
      </c>
      <c r="AR18" s="279">
        <f t="shared" si="5"/>
        <v>2064</v>
      </c>
      <c r="AS18" s="279">
        <f t="shared" si="5"/>
        <v>2065</v>
      </c>
      <c r="AT18" s="279">
        <f t="shared" si="5"/>
        <v>2066</v>
      </c>
      <c r="AU18" s="279">
        <f t="shared" si="5"/>
        <v>2067</v>
      </c>
      <c r="AV18" s="279">
        <f t="shared" si="5"/>
        <v>2068</v>
      </c>
      <c r="AW18" s="279">
        <f t="shared" si="5"/>
        <v>2069</v>
      </c>
      <c r="AX18" s="279">
        <f t="shared" si="5"/>
        <v>2070</v>
      </c>
      <c r="AY18" s="279">
        <f t="shared" si="5"/>
        <v>2071</v>
      </c>
      <c r="AZ18" s="279">
        <f t="shared" si="5"/>
        <v>2072</v>
      </c>
      <c r="BA18" s="280">
        <f t="shared" si="5"/>
        <v>2073</v>
      </c>
    </row>
    <row r="19" spans="1:53">
      <c r="A19"/>
      <c r="B19" s="485" t="s">
        <v>478</v>
      </c>
      <c r="C19" s="486"/>
      <c r="D19" s="281">
        <f t="shared" ref="D19:AI19" si="6">D14</f>
        <v>630</v>
      </c>
      <c r="E19" s="281">
        <f t="shared" si="6"/>
        <v>648.30000000000007</v>
      </c>
      <c r="F19" s="281">
        <f t="shared" si="6"/>
        <v>667.13700000000006</v>
      </c>
      <c r="G19" s="281">
        <f t="shared" si="6"/>
        <v>686.52687000000014</v>
      </c>
      <c r="H19" s="281">
        <f t="shared" si="6"/>
        <v>706.48595130000012</v>
      </c>
      <c r="I19" s="281">
        <f t="shared" si="6"/>
        <v>727.03107054300017</v>
      </c>
      <c r="J19" s="281">
        <f t="shared" si="6"/>
        <v>748.17955417737016</v>
      </c>
      <c r="K19" s="281">
        <f t="shared" si="6"/>
        <v>769.94924335113285</v>
      </c>
      <c r="L19" s="281">
        <f t="shared" si="6"/>
        <v>792.35850925107741</v>
      </c>
      <c r="M19" s="281">
        <f t="shared" si="6"/>
        <v>815.42626890000838</v>
      </c>
      <c r="N19" s="281">
        <f t="shared" si="6"/>
        <v>839.17200142583533</v>
      </c>
      <c r="O19" s="281">
        <f t="shared" si="6"/>
        <v>863.61576481661348</v>
      </c>
      <c r="P19" s="281">
        <f t="shared" si="6"/>
        <v>888.77821317607516</v>
      </c>
      <c r="Q19" s="281">
        <f t="shared" si="6"/>
        <v>914.68061449461993</v>
      </c>
      <c r="R19" s="281">
        <f t="shared" si="6"/>
        <v>941.3448689511863</v>
      </c>
      <c r="S19" s="281">
        <f t="shared" si="6"/>
        <v>968.79352776188409</v>
      </c>
      <c r="T19" s="281">
        <f t="shared" si="6"/>
        <v>997.04981259174622</v>
      </c>
      <c r="U19" s="281">
        <f t="shared" si="6"/>
        <v>1026.1376355464442</v>
      </c>
      <c r="V19" s="281">
        <f t="shared" si="6"/>
        <v>1056.0816197613221</v>
      </c>
      <c r="W19" s="281">
        <f t="shared" si="6"/>
        <v>1086.907120605616</v>
      </c>
      <c r="X19" s="281">
        <f t="shared" si="6"/>
        <v>1118.6402475202681</v>
      </c>
      <c r="Y19" s="281">
        <f t="shared" si="6"/>
        <v>1151.3078865082891</v>
      </c>
      <c r="Z19" s="281">
        <f t="shared" si="6"/>
        <v>1184.937723297199</v>
      </c>
      <c r="AA19" s="281">
        <f t="shared" si="6"/>
        <v>1219.5582671936497</v>
      </c>
      <c r="AB19" s="281">
        <f t="shared" si="6"/>
        <v>1255.1988756509443</v>
      </c>
      <c r="AC19" s="281">
        <f t="shared" si="6"/>
        <v>1291.8897795707874</v>
      </c>
      <c r="AD19" s="281">
        <f t="shared" si="6"/>
        <v>1329.6621093612321</v>
      </c>
      <c r="AE19" s="281">
        <f t="shared" si="6"/>
        <v>1368.5479217734567</v>
      </c>
      <c r="AF19" s="281">
        <f t="shared" si="6"/>
        <v>1408.5802275406757</v>
      </c>
      <c r="AG19" s="281">
        <f t="shared" si="6"/>
        <v>1449.7930198431916</v>
      </c>
      <c r="AH19" s="281">
        <f t="shared" si="6"/>
        <v>1492.2213036243088</v>
      </c>
      <c r="AI19" s="281">
        <f t="shared" si="6"/>
        <v>1535.9011257825762</v>
      </c>
      <c r="AJ19" s="281">
        <f t="shared" ref="AJ19:BA19" si="7">AJ14</f>
        <v>1580.8696062665822</v>
      </c>
      <c r="AK19" s="281">
        <f t="shared" si="7"/>
        <v>1627.1649700993189</v>
      </c>
      <c r="AL19" s="281">
        <f t="shared" si="7"/>
        <v>1674.8265803599327</v>
      </c>
      <c r="AM19" s="281">
        <f t="shared" si="7"/>
        <v>1723.8949721515173</v>
      </c>
      <c r="AN19" s="281">
        <f t="shared" si="7"/>
        <v>1774.4118875844656</v>
      </c>
      <c r="AO19" s="281">
        <f t="shared" si="7"/>
        <v>1826.4203118057703</v>
      </c>
      <c r="AP19" s="281">
        <f t="shared" si="7"/>
        <v>1879.9645101055896</v>
      </c>
      <c r="AQ19" s="281">
        <f t="shared" si="7"/>
        <v>1935.0900661333162</v>
      </c>
      <c r="AR19" s="281">
        <f t="shared" si="7"/>
        <v>1991.843921256366</v>
      </c>
      <c r="AS19" s="281">
        <f t="shared" si="7"/>
        <v>2050.2744150958879</v>
      </c>
      <c r="AT19" s="281">
        <f t="shared" si="7"/>
        <v>2110.4313272746322</v>
      </c>
      <c r="AU19" s="281">
        <f t="shared" si="7"/>
        <v>2172.3659204132564</v>
      </c>
      <c r="AV19" s="281">
        <f t="shared" si="7"/>
        <v>2236.1309844124471</v>
      </c>
      <c r="AW19" s="281">
        <f t="shared" si="7"/>
        <v>2301.7808820593491</v>
      </c>
      <c r="AX19" s="281">
        <f t="shared" si="7"/>
        <v>2369.371595997949</v>
      </c>
      <c r="AY19" s="281">
        <f t="shared" si="7"/>
        <v>2438.9607771042429</v>
      </c>
      <c r="AZ19" s="281">
        <f t="shared" si="7"/>
        <v>2510.6077943082532</v>
      </c>
      <c r="BA19" s="282">
        <f t="shared" si="7"/>
        <v>2584.3737859062007</v>
      </c>
    </row>
    <row r="20" spans="1:53">
      <c r="A20"/>
      <c r="B20" s="479" t="s">
        <v>254</v>
      </c>
      <c r="C20" s="480"/>
      <c r="D20" s="10">
        <f>-(Cockpit!K12-Cockpit!K27-Cockpit!K28)</f>
        <v>-90</v>
      </c>
      <c r="E20" s="10">
        <f>D20*(1+Cockpit!$H$30)</f>
        <v>-91.8</v>
      </c>
      <c r="F20" s="10">
        <f>E20*(1+Cockpit!$H$30)</f>
        <v>-93.635999999999996</v>
      </c>
      <c r="G20" s="10">
        <f>F20*(1+Cockpit!$H$30)</f>
        <v>-95.508719999999997</v>
      </c>
      <c r="H20" s="10">
        <f>G20*(1+Cockpit!$H$30)</f>
        <v>-97.418894399999999</v>
      </c>
      <c r="I20" s="10">
        <f>H20*(1+Cockpit!$H$30)</f>
        <v>-99.367272287999995</v>
      </c>
      <c r="J20" s="10">
        <f>I20*(1+Cockpit!$H$30)</f>
        <v>-101.35461773375999</v>
      </c>
      <c r="K20" s="10">
        <f>J20*(1+Cockpit!$H$30)</f>
        <v>-103.3817100884352</v>
      </c>
      <c r="L20" s="10">
        <f>K20*(1+Cockpit!$H$30)</f>
        <v>-105.44934429020391</v>
      </c>
      <c r="M20" s="10">
        <f>L20*(1+Cockpit!$H$30)</f>
        <v>-107.558331176008</v>
      </c>
      <c r="N20" s="10">
        <f>M20*(1+Cockpit!$H$30)</f>
        <v>-109.70949779952817</v>
      </c>
      <c r="O20" s="10">
        <f>N20*(1+Cockpit!$H$30)</f>
        <v>-111.90368775551873</v>
      </c>
      <c r="P20" s="10">
        <f>O20*(1+Cockpit!$H$30)</f>
        <v>-114.14176151062911</v>
      </c>
      <c r="Q20" s="10">
        <f>P20*(1+Cockpit!$H$30)</f>
        <v>-116.42459674084169</v>
      </c>
      <c r="R20" s="10">
        <f>Q20*(1+Cockpit!$H$30)</f>
        <v>-118.75308867565853</v>
      </c>
      <c r="S20" s="10">
        <f>R20*(1+Cockpit!$H$30)</f>
        <v>-121.1281504491717</v>
      </c>
      <c r="T20" s="10">
        <f>S20*(1+Cockpit!$H$30)</f>
        <v>-123.55071345815513</v>
      </c>
      <c r="U20" s="10">
        <f>T20*(1+Cockpit!$H$30)</f>
        <v>-126.02172772731824</v>
      </c>
      <c r="V20" s="10">
        <f>U20*(1+Cockpit!$H$30)</f>
        <v>-128.54216228186459</v>
      </c>
      <c r="W20" s="10">
        <f>V20*(1+Cockpit!$H$30)</f>
        <v>-131.11300552750188</v>
      </c>
      <c r="X20" s="10">
        <f>W20*(1+Cockpit!$H$30)</f>
        <v>-133.73526563805191</v>
      </c>
      <c r="Y20" s="10">
        <f>X20*(1+Cockpit!$H$30)</f>
        <v>-136.40997095081295</v>
      </c>
      <c r="Z20" s="10">
        <f>Y20*(1+Cockpit!$H$30)</f>
        <v>-139.1381703698292</v>
      </c>
      <c r="AA20" s="10">
        <f>Z20*(1+Cockpit!$H$30)</f>
        <v>-141.92093377722577</v>
      </c>
      <c r="AB20" s="10">
        <f>AA20*(1+Cockpit!$H$30)</f>
        <v>-144.75935245277029</v>
      </c>
      <c r="AC20" s="10">
        <f>AB20*(1+Cockpit!$H$30)</f>
        <v>-147.6545395018257</v>
      </c>
      <c r="AD20" s="10">
        <f>AC20*(1+Cockpit!$H$30)</f>
        <v>-150.60763029186222</v>
      </c>
      <c r="AE20" s="10">
        <f>AD20*(1+Cockpit!$H$30)</f>
        <v>-153.61978289769948</v>
      </c>
      <c r="AF20" s="10">
        <f>AE20*(1+Cockpit!$H$30)</f>
        <v>-156.69217855565347</v>
      </c>
      <c r="AG20" s="10">
        <f>AF20*(1+Cockpit!$H$30)</f>
        <v>-159.82602212676653</v>
      </c>
      <c r="AH20" s="10">
        <f>AG20*(1+Cockpit!$H$30)</f>
        <v>-163.02254256930186</v>
      </c>
      <c r="AI20" s="10">
        <f>AH20*(1+Cockpit!$H$30)</f>
        <v>-166.28299342068792</v>
      </c>
      <c r="AJ20" s="10">
        <f>AI20*(1+Cockpit!$H$30)</f>
        <v>-169.60865328910168</v>
      </c>
      <c r="AK20" s="10">
        <f>AJ20*(1+Cockpit!$H$30)</f>
        <v>-173.00082635488371</v>
      </c>
      <c r="AL20" s="10">
        <f>AK20*(1+Cockpit!$H$30)</f>
        <v>-176.46084288198139</v>
      </c>
      <c r="AM20" s="10">
        <f>AL20*(1+Cockpit!$H$30)</f>
        <v>-179.99005973962102</v>
      </c>
      <c r="AN20" s="10">
        <f>AM20*(1+Cockpit!$H$30)</f>
        <v>-183.58986093441345</v>
      </c>
      <c r="AO20" s="10">
        <f>AN20*(1+Cockpit!$H$30)</f>
        <v>-187.26165815310173</v>
      </c>
      <c r="AP20" s="10">
        <f>AO20*(1+Cockpit!$H$30)</f>
        <v>-191.00689131616377</v>
      </c>
      <c r="AQ20" s="10">
        <f>AP20*(1+Cockpit!$H$30)</f>
        <v>-194.82702914248705</v>
      </c>
      <c r="AR20" s="10">
        <f>AQ20*(1+Cockpit!$H$30)</f>
        <v>-198.7235697253368</v>
      </c>
      <c r="AS20" s="10">
        <f>AR20*(1+Cockpit!$H$30)</f>
        <v>-202.69804111984354</v>
      </c>
      <c r="AT20" s="10">
        <f>AS20*(1+Cockpit!$H$30)</f>
        <v>-206.75200194224041</v>
      </c>
      <c r="AU20" s="10">
        <f>AT20*(1+Cockpit!$H$30)</f>
        <v>-210.88704198108522</v>
      </c>
      <c r="AV20" s="10">
        <f>AU20*(1+Cockpit!$H$30)</f>
        <v>-215.10478282070693</v>
      </c>
      <c r="AW20" s="10">
        <f>AV20*(1+Cockpit!$H$30)</f>
        <v>-219.40687847712107</v>
      </c>
      <c r="AX20" s="10">
        <f>AW20*(1+Cockpit!$H$30)</f>
        <v>-223.79501604666351</v>
      </c>
      <c r="AY20" s="10">
        <f>AX20*(1+Cockpit!$H$30)</f>
        <v>-228.27091636759678</v>
      </c>
      <c r="AZ20" s="10">
        <f>AY20*(1+Cockpit!$H$30)</f>
        <v>-232.83633469494873</v>
      </c>
      <c r="BA20" s="283">
        <f>AZ20*(1+Cockpit!$H$30)</f>
        <v>-237.49306138884771</v>
      </c>
    </row>
    <row r="21" spans="1:53">
      <c r="A21"/>
      <c r="B21" s="479" t="s">
        <v>255</v>
      </c>
      <c r="C21" s="480"/>
      <c r="D21" s="10">
        <f>-Cockpit!K27</f>
        <v>-25</v>
      </c>
      <c r="E21" s="10">
        <f>D21*(1+Cockpit!$H$30)</f>
        <v>-25.5</v>
      </c>
      <c r="F21" s="10">
        <f>E21*(1+Cockpit!$H$30)</f>
        <v>-26.01</v>
      </c>
      <c r="G21" s="10">
        <f>F21*(1+Cockpit!$H$30)</f>
        <v>-26.530200000000001</v>
      </c>
      <c r="H21" s="10">
        <f>G21*(1+Cockpit!$H$30)</f>
        <v>-27.060804000000001</v>
      </c>
      <c r="I21" s="10">
        <f>H21*(1+Cockpit!$H$30)</f>
        <v>-27.602020080000003</v>
      </c>
      <c r="J21" s="10">
        <f>I21*(1+Cockpit!$H$30)</f>
        <v>-28.154060481600002</v>
      </c>
      <c r="K21" s="10">
        <f>J21*(1+Cockpit!$H$30)</f>
        <v>-28.717141691232001</v>
      </c>
      <c r="L21" s="10">
        <f>K21*(1+Cockpit!$H$30)</f>
        <v>-29.291484525056642</v>
      </c>
      <c r="M21" s="10">
        <f>L21*(1+Cockpit!$H$30)</f>
        <v>-29.877314215557774</v>
      </c>
      <c r="N21" s="10">
        <f>M21*(1+Cockpit!$H$30)</f>
        <v>-30.474860499868932</v>
      </c>
      <c r="O21" s="10">
        <f>N21*(1+Cockpit!$H$30)</f>
        <v>-31.08435770986631</v>
      </c>
      <c r="P21" s="10">
        <f>O21*(1+Cockpit!$H$30)</f>
        <v>-31.706044864063639</v>
      </c>
      <c r="Q21" s="10">
        <f>P21*(1+Cockpit!$H$30)</f>
        <v>-32.340165761344913</v>
      </c>
      <c r="R21" s="10">
        <f>Q21*(1+Cockpit!$H$30)</f>
        <v>-32.98696907657181</v>
      </c>
      <c r="S21" s="10">
        <f>R21*(1+Cockpit!$H$30)</f>
        <v>-33.646708458103248</v>
      </c>
      <c r="T21" s="10">
        <f>S21*(1+Cockpit!$H$30)</f>
        <v>-34.319642627265317</v>
      </c>
      <c r="U21" s="10">
        <f>T21*(1+Cockpit!$H$30)</f>
        <v>-35.006035479810627</v>
      </c>
      <c r="V21" s="10">
        <f>U21*(1+Cockpit!$H$30)</f>
        <v>-35.70615618940684</v>
      </c>
      <c r="W21" s="10">
        <f>V21*(1+Cockpit!$H$30)</f>
        <v>-36.420279313194975</v>
      </c>
      <c r="X21" s="10">
        <f>W21*(1+Cockpit!$H$30)</f>
        <v>-37.148684899458878</v>
      </c>
      <c r="Y21" s="10">
        <f>X21*(1+Cockpit!$H$30)</f>
        <v>-37.891658597448057</v>
      </c>
      <c r="Z21" s="10">
        <f>Y21*(1+Cockpit!$H$30)</f>
        <v>-38.649491769397017</v>
      </c>
      <c r="AA21" s="10">
        <f>Z21*(1+Cockpit!$H$30)</f>
        <v>-39.422481604784956</v>
      </c>
      <c r="AB21" s="10">
        <f>AA21*(1+Cockpit!$H$30)</f>
        <v>-40.210931236880654</v>
      </c>
      <c r="AC21" s="10">
        <f>AB21*(1+Cockpit!$H$30)</f>
        <v>-41.015149861618269</v>
      </c>
      <c r="AD21" s="10">
        <f>AC21*(1+Cockpit!$H$30)</f>
        <v>-41.835452858850637</v>
      </c>
      <c r="AE21" s="10">
        <f>AD21*(1+Cockpit!$H$30)</f>
        <v>-42.672161916027648</v>
      </c>
      <c r="AF21" s="10">
        <f>AE21*(1+Cockpit!$H$30)</f>
        <v>-43.525605154348199</v>
      </c>
      <c r="AG21" s="10">
        <f>AF21*(1+Cockpit!$H$30)</f>
        <v>-44.396117257435165</v>
      </c>
      <c r="AH21" s="10">
        <f>AG21*(1+Cockpit!$H$30)</f>
        <v>-45.284039602583867</v>
      </c>
      <c r="AI21" s="10">
        <f>AH21*(1+Cockpit!$H$30)</f>
        <v>-46.189720394635543</v>
      </c>
      <c r="AJ21" s="10">
        <f>AI21*(1+Cockpit!$H$30)</f>
        <v>-47.113514802528258</v>
      </c>
      <c r="AK21" s="10">
        <f>AJ21*(1+Cockpit!$H$30)</f>
        <v>-48.055785098578824</v>
      </c>
      <c r="AL21" s="10">
        <f>AK21*(1+Cockpit!$H$30)</f>
        <v>-49.016900800550403</v>
      </c>
      <c r="AM21" s="10">
        <f>AL21*(1+Cockpit!$H$30)</f>
        <v>-49.997238816561413</v>
      </c>
      <c r="AN21" s="10">
        <f>AM21*(1+Cockpit!$H$30)</f>
        <v>-50.99718359289264</v>
      </c>
      <c r="AO21" s="10">
        <f>AN21*(1+Cockpit!$H$30)</f>
        <v>-52.017127264750492</v>
      </c>
      <c r="AP21" s="10">
        <f>AO21*(1+Cockpit!$H$30)</f>
        <v>-53.057469810045504</v>
      </c>
      <c r="AQ21" s="10">
        <f>AP21*(1+Cockpit!$H$30)</f>
        <v>-54.118619206246414</v>
      </c>
      <c r="AR21" s="10">
        <f>AQ21*(1+Cockpit!$H$30)</f>
        <v>-55.200991590371345</v>
      </c>
      <c r="AS21" s="10">
        <f>AR21*(1+Cockpit!$H$30)</f>
        <v>-56.305011422178772</v>
      </c>
      <c r="AT21" s="10">
        <f>AS21*(1+Cockpit!$H$30)</f>
        <v>-57.431111650622348</v>
      </c>
      <c r="AU21" s="10">
        <f>AT21*(1+Cockpit!$H$30)</f>
        <v>-58.579733883634795</v>
      </c>
      <c r="AV21" s="10">
        <f>AU21*(1+Cockpit!$H$30)</f>
        <v>-59.751328561307488</v>
      </c>
      <c r="AW21" s="10">
        <f>AV21*(1+Cockpit!$H$30)</f>
        <v>-60.94635513253364</v>
      </c>
      <c r="AX21" s="10">
        <f>AW21*(1+Cockpit!$H$30)</f>
        <v>-62.165282235184314</v>
      </c>
      <c r="AY21" s="10">
        <f>AX21*(1+Cockpit!$H$30)</f>
        <v>-63.408587879888003</v>
      </c>
      <c r="AZ21" s="10">
        <f>AY21*(1+Cockpit!$H$30)</f>
        <v>-64.676759637485759</v>
      </c>
      <c r="BA21" s="283">
        <f>AZ21*(1+Cockpit!$H$30)</f>
        <v>-65.970294830235474</v>
      </c>
    </row>
    <row r="22" spans="1:53">
      <c r="A22"/>
      <c r="B22" s="479" t="s">
        <v>253</v>
      </c>
      <c r="C22" s="480"/>
      <c r="D22" s="10">
        <f>-Cockpit!K28</f>
        <v>-18.899999999999999</v>
      </c>
      <c r="E22" s="10">
        <f>-Cockpit!$H$25*'Miete, Cashflow, Steuern'!E14</f>
        <v>-19.449000000000002</v>
      </c>
      <c r="F22" s="10">
        <f>-Cockpit!$H$25*'Miete, Cashflow, Steuern'!F14</f>
        <v>-20.014110000000002</v>
      </c>
      <c r="G22" s="10">
        <f>-Cockpit!$H$25*'Miete, Cashflow, Steuern'!G14</f>
        <v>-20.595806100000004</v>
      </c>
      <c r="H22" s="10">
        <f>-Cockpit!$H$25*'Miete, Cashflow, Steuern'!H14</f>
        <v>-21.194578539000002</v>
      </c>
      <c r="I22" s="10">
        <f>-Cockpit!$H$25*'Miete, Cashflow, Steuern'!I14</f>
        <v>-21.810932116290005</v>
      </c>
      <c r="J22" s="10">
        <f>-Cockpit!$H$25*'Miete, Cashflow, Steuern'!J14</f>
        <v>-22.445386625321103</v>
      </c>
      <c r="K22" s="10">
        <f>-Cockpit!$H$25*'Miete, Cashflow, Steuern'!K14</f>
        <v>-23.098477300533986</v>
      </c>
      <c r="L22" s="10">
        <f>-Cockpit!$H$25*'Miete, Cashflow, Steuern'!L14</f>
        <v>-23.77075527753232</v>
      </c>
      <c r="M22" s="10">
        <f>-Cockpit!$H$25*'Miete, Cashflow, Steuern'!M14</f>
        <v>-24.46278806700025</v>
      </c>
      <c r="N22" s="10">
        <f>-Cockpit!$H$25*'Miete, Cashflow, Steuern'!N14</f>
        <v>-25.175160042775058</v>
      </c>
      <c r="O22" s="10">
        <f>-Cockpit!$H$25*'Miete, Cashflow, Steuern'!O14</f>
        <v>-25.908472944498403</v>
      </c>
      <c r="P22" s="10">
        <f>-Cockpit!$H$25*'Miete, Cashflow, Steuern'!P14</f>
        <v>-26.663346395282254</v>
      </c>
      <c r="Q22" s="10">
        <f>-Cockpit!$H$25*'Miete, Cashflow, Steuern'!Q14</f>
        <v>-27.440418434838598</v>
      </c>
      <c r="R22" s="10">
        <f>-Cockpit!$H$25*'Miete, Cashflow, Steuern'!R14</f>
        <v>-28.240346068535587</v>
      </c>
      <c r="S22" s="10">
        <f>-Cockpit!$H$25*'Miete, Cashflow, Steuern'!S14</f>
        <v>-29.06380583285652</v>
      </c>
      <c r="T22" s="10">
        <f>-Cockpit!$H$25*'Miete, Cashflow, Steuern'!T14</f>
        <v>-29.911494377752387</v>
      </c>
      <c r="U22" s="10">
        <f>-Cockpit!$H$25*'Miete, Cashflow, Steuern'!U14</f>
        <v>-30.784129066393326</v>
      </c>
      <c r="V22" s="10">
        <f>-Cockpit!$H$25*'Miete, Cashflow, Steuern'!V14</f>
        <v>-31.682448592839663</v>
      </c>
      <c r="W22" s="10">
        <f>-Cockpit!$H$25*'Miete, Cashflow, Steuern'!W14</f>
        <v>-32.60721361816848</v>
      </c>
      <c r="X22" s="10">
        <f>-Cockpit!$H$25*'Miete, Cashflow, Steuern'!X14</f>
        <v>-33.559207425608044</v>
      </c>
      <c r="Y22" s="10">
        <f>-Cockpit!$H$25*'Miete, Cashflow, Steuern'!Y14</f>
        <v>-34.539236595248674</v>
      </c>
      <c r="Z22" s="10">
        <f>-Cockpit!$H$25*'Miete, Cashflow, Steuern'!Z14</f>
        <v>-35.548131698915967</v>
      </c>
      <c r="AA22" s="10">
        <f>-Cockpit!$H$25*'Miete, Cashflow, Steuern'!AA14</f>
        <v>-36.586748015809491</v>
      </c>
      <c r="AB22" s="10">
        <f>-Cockpit!$H$25*'Miete, Cashflow, Steuern'!AB14</f>
        <v>-37.655966269528328</v>
      </c>
      <c r="AC22" s="10">
        <f>-Cockpit!$H$25*'Miete, Cashflow, Steuern'!AC14</f>
        <v>-38.756693387123619</v>
      </c>
      <c r="AD22" s="10">
        <f>-Cockpit!$H$25*'Miete, Cashflow, Steuern'!AD14</f>
        <v>-39.889863280836963</v>
      </c>
      <c r="AE22" s="10">
        <f>-Cockpit!$H$25*'Miete, Cashflow, Steuern'!AE14</f>
        <v>-41.056437653203702</v>
      </c>
      <c r="AF22" s="10">
        <f>-Cockpit!$H$25*'Miete, Cashflow, Steuern'!AF14</f>
        <v>-42.257406826220269</v>
      </c>
      <c r="AG22" s="10">
        <f>-Cockpit!$H$25*'Miete, Cashflow, Steuern'!AG14</f>
        <v>-43.493790595295749</v>
      </c>
      <c r="AH22" s="10">
        <f>-Cockpit!$H$25*'Miete, Cashflow, Steuern'!AH14</f>
        <v>-44.766639108729265</v>
      </c>
      <c r="AI22" s="10">
        <f>-Cockpit!$H$25*'Miete, Cashflow, Steuern'!AI14</f>
        <v>-46.077033773477282</v>
      </c>
      <c r="AJ22" s="10">
        <f>-Cockpit!$H$25*'Miete, Cashflow, Steuern'!AJ14</f>
        <v>-47.426088187997465</v>
      </c>
      <c r="AK22" s="10">
        <f>-Cockpit!$H$25*'Miete, Cashflow, Steuern'!AK14</f>
        <v>-48.814949102979568</v>
      </c>
      <c r="AL22" s="10">
        <f>-Cockpit!$H$25*'Miete, Cashflow, Steuern'!AL14</f>
        <v>-50.244797410797979</v>
      </c>
      <c r="AM22" s="10">
        <f>-Cockpit!$H$25*'Miete, Cashflow, Steuern'!AM14</f>
        <v>-51.716849164545515</v>
      </c>
      <c r="AN22" s="10">
        <f>-Cockpit!$H$25*'Miete, Cashflow, Steuern'!AN14</f>
        <v>-53.232356627533967</v>
      </c>
      <c r="AO22" s="10">
        <f>-Cockpit!$H$25*'Miete, Cashflow, Steuern'!AO14</f>
        <v>-54.792609354173109</v>
      </c>
      <c r="AP22" s="10">
        <f>-Cockpit!$H$25*'Miete, Cashflow, Steuern'!AP14</f>
        <v>-56.39893530316769</v>
      </c>
      <c r="AQ22" s="10">
        <f>-Cockpit!$H$25*'Miete, Cashflow, Steuern'!AQ14</f>
        <v>-58.052701983999484</v>
      </c>
      <c r="AR22" s="10">
        <f>-Cockpit!$H$25*'Miete, Cashflow, Steuern'!AR14</f>
        <v>-59.755317637690979</v>
      </c>
      <c r="AS22" s="10">
        <f>-Cockpit!$H$25*'Miete, Cashflow, Steuern'!AS14</f>
        <v>-61.508232452876634</v>
      </c>
      <c r="AT22" s="10">
        <f>-Cockpit!$H$25*'Miete, Cashflow, Steuern'!AT14</f>
        <v>-63.312939818238959</v>
      </c>
      <c r="AU22" s="10">
        <f>-Cockpit!$H$25*'Miete, Cashflow, Steuern'!AU14</f>
        <v>-65.170977612397692</v>
      </c>
      <c r="AV22" s="10">
        <f>-Cockpit!$H$25*'Miete, Cashflow, Steuern'!AV14</f>
        <v>-67.083929532373418</v>
      </c>
      <c r="AW22" s="10">
        <f>-Cockpit!$H$25*'Miete, Cashflow, Steuern'!AW14</f>
        <v>-69.053426461780475</v>
      </c>
      <c r="AX22" s="10">
        <f>-Cockpit!$H$25*'Miete, Cashflow, Steuern'!AX14</f>
        <v>-71.08114787993847</v>
      </c>
      <c r="AY22" s="10">
        <f>-Cockpit!$H$25*'Miete, Cashflow, Steuern'!AY14</f>
        <v>-73.168823313127277</v>
      </c>
      <c r="AZ22" s="10">
        <f>-Cockpit!$H$25*'Miete, Cashflow, Steuern'!AZ14</f>
        <v>-75.318233829247589</v>
      </c>
      <c r="BA22" s="283">
        <f>-Cockpit!$H$25*'Miete, Cashflow, Steuern'!BA14</f>
        <v>-77.531213577186023</v>
      </c>
    </row>
    <row r="23" spans="1:53">
      <c r="A23"/>
      <c r="B23" s="489" t="s">
        <v>282</v>
      </c>
      <c r="C23" s="490"/>
      <c r="D23" s="10">
        <f t="shared" ref="D23:AI23" si="8">D20+D21+D22</f>
        <v>-133.9</v>
      </c>
      <c r="E23" s="10">
        <f t="shared" si="8"/>
        <v>-136.749</v>
      </c>
      <c r="F23" s="10">
        <f t="shared" si="8"/>
        <v>-139.66011</v>
      </c>
      <c r="G23" s="10">
        <f t="shared" si="8"/>
        <v>-142.63472609999999</v>
      </c>
      <c r="H23" s="10">
        <f t="shared" si="8"/>
        <v>-145.67427693900001</v>
      </c>
      <c r="I23" s="10">
        <f t="shared" si="8"/>
        <v>-148.78022448428999</v>
      </c>
      <c r="J23" s="10">
        <f t="shared" si="8"/>
        <v>-151.9540648406811</v>
      </c>
      <c r="K23" s="10">
        <f t="shared" si="8"/>
        <v>-155.1973290802012</v>
      </c>
      <c r="L23" s="10">
        <f t="shared" si="8"/>
        <v>-158.51158409279287</v>
      </c>
      <c r="M23" s="10">
        <f t="shared" si="8"/>
        <v>-161.89843345856602</v>
      </c>
      <c r="N23" s="10">
        <f t="shared" si="8"/>
        <v>-165.35951834217215</v>
      </c>
      <c r="O23" s="10">
        <f t="shared" si="8"/>
        <v>-168.89651840988344</v>
      </c>
      <c r="P23" s="10">
        <f t="shared" si="8"/>
        <v>-172.51115276997498</v>
      </c>
      <c r="Q23" s="10">
        <f t="shared" si="8"/>
        <v>-176.2051809370252</v>
      </c>
      <c r="R23" s="10">
        <f t="shared" si="8"/>
        <v>-179.98040382076593</v>
      </c>
      <c r="S23" s="10">
        <f t="shared" si="8"/>
        <v>-183.83866474013149</v>
      </c>
      <c r="T23" s="10">
        <f t="shared" si="8"/>
        <v>-187.78185046317282</v>
      </c>
      <c r="U23" s="10">
        <f t="shared" si="8"/>
        <v>-191.81189227352218</v>
      </c>
      <c r="V23" s="10">
        <f t="shared" si="8"/>
        <v>-195.93076706411108</v>
      </c>
      <c r="W23" s="10">
        <f t="shared" si="8"/>
        <v>-200.14049845886535</v>
      </c>
      <c r="X23" s="10">
        <f t="shared" si="8"/>
        <v>-204.44315796311884</v>
      </c>
      <c r="Y23" s="10">
        <f t="shared" si="8"/>
        <v>-208.84086614350969</v>
      </c>
      <c r="Z23" s="10">
        <f t="shared" si="8"/>
        <v>-213.33579383814217</v>
      </c>
      <c r="AA23" s="10">
        <f t="shared" si="8"/>
        <v>-217.93016339782022</v>
      </c>
      <c r="AB23" s="10">
        <f t="shared" si="8"/>
        <v>-222.62624995917929</v>
      </c>
      <c r="AC23" s="10">
        <f t="shared" si="8"/>
        <v>-227.4263827505676</v>
      </c>
      <c r="AD23" s="10">
        <f t="shared" si="8"/>
        <v>-232.33294643154983</v>
      </c>
      <c r="AE23" s="10">
        <f t="shared" si="8"/>
        <v>-237.34838246693084</v>
      </c>
      <c r="AF23" s="10">
        <f t="shared" si="8"/>
        <v>-242.47519053622193</v>
      </c>
      <c r="AG23" s="10">
        <f t="shared" si="8"/>
        <v>-247.71592997949745</v>
      </c>
      <c r="AH23" s="10">
        <f t="shared" si="8"/>
        <v>-253.073221280615</v>
      </c>
      <c r="AI23" s="10">
        <f t="shared" si="8"/>
        <v>-258.54974758880076</v>
      </c>
      <c r="AJ23" s="10">
        <f t="shared" ref="AJ23:BA23" si="9">AJ20+AJ21+AJ22</f>
        <v>-264.14825627962739</v>
      </c>
      <c r="AK23" s="10">
        <f t="shared" si="9"/>
        <v>-269.87156055644209</v>
      </c>
      <c r="AL23" s="10">
        <f t="shared" si="9"/>
        <v>-275.72254109332977</v>
      </c>
      <c r="AM23" s="10">
        <f t="shared" si="9"/>
        <v>-281.70414772072792</v>
      </c>
      <c r="AN23" s="10">
        <f t="shared" si="9"/>
        <v>-287.81940115484008</v>
      </c>
      <c r="AO23" s="10">
        <f t="shared" si="9"/>
        <v>-294.07139477202531</v>
      </c>
      <c r="AP23" s="10">
        <f t="shared" si="9"/>
        <v>-300.46329642937701</v>
      </c>
      <c r="AQ23" s="10">
        <f t="shared" si="9"/>
        <v>-306.99835033273297</v>
      </c>
      <c r="AR23" s="10">
        <f t="shared" si="9"/>
        <v>-313.67987895339911</v>
      </c>
      <c r="AS23" s="10">
        <f t="shared" si="9"/>
        <v>-320.51128499489897</v>
      </c>
      <c r="AT23" s="10">
        <f t="shared" si="9"/>
        <v>-327.49605341110168</v>
      </c>
      <c r="AU23" s="10">
        <f t="shared" si="9"/>
        <v>-334.63775347711771</v>
      </c>
      <c r="AV23" s="10">
        <f t="shared" si="9"/>
        <v>-341.94004091438785</v>
      </c>
      <c r="AW23" s="10">
        <f t="shared" si="9"/>
        <v>-349.40666007143517</v>
      </c>
      <c r="AX23" s="10">
        <f t="shared" si="9"/>
        <v>-357.04144616178633</v>
      </c>
      <c r="AY23" s="10">
        <f t="shared" si="9"/>
        <v>-364.84832756061206</v>
      </c>
      <c r="AZ23" s="10">
        <f t="shared" si="9"/>
        <v>-372.83132816168211</v>
      </c>
      <c r="BA23" s="283">
        <f t="shared" si="9"/>
        <v>-380.99456979626916</v>
      </c>
    </row>
    <row r="24" spans="1:53">
      <c r="A24"/>
      <c r="B24" s="479" t="s">
        <v>31</v>
      </c>
      <c r="C24" s="480"/>
      <c r="D24" s="10">
        <f>-'Wert, AfA, Darlehen'!D110/12</f>
        <v>-303.33333333333337</v>
      </c>
      <c r="E24" s="10">
        <f>-'Wert, AfA, Darlehen'!E110/12</f>
        <v>-294.23333333333335</v>
      </c>
      <c r="F24" s="10">
        <f>-'Wert, AfA, Darlehen'!F110/12</f>
        <v>-284.81483333333335</v>
      </c>
      <c r="G24" s="10">
        <f>-'Wert, AfA, Darlehen'!G110/12</f>
        <v>-275.06668583333339</v>
      </c>
      <c r="H24" s="10">
        <f>-'Wert, AfA, Darlehen'!H110/12</f>
        <v>-264.9773531708334</v>
      </c>
      <c r="I24" s="10">
        <f>-'Wert, AfA, Darlehen'!I110/12</f>
        <v>-254.53489386514585</v>
      </c>
      <c r="J24" s="10">
        <f>-'Wert, AfA, Darlehen'!J110/12</f>
        <v>-243.72694848375929</v>
      </c>
      <c r="K24" s="10">
        <f>-'Wert, AfA, Darlehen'!K110/12</f>
        <v>-232.54072501402422</v>
      </c>
      <c r="L24" s="10">
        <f>-'Wert, AfA, Darlehen'!L110/12</f>
        <v>-220.96298372284841</v>
      </c>
      <c r="M24" s="10">
        <f>-'Wert, AfA, Darlehen'!M110/12</f>
        <v>-208.98002148648141</v>
      </c>
      <c r="N24" s="10">
        <f>-'Wert, AfA, Darlehen'!N110/12</f>
        <v>-196.57765557184163</v>
      </c>
      <c r="O24" s="10">
        <f>-'Wert, AfA, Darlehen'!O110/12</f>
        <v>-183.7412068501894</v>
      </c>
      <c r="P24" s="10">
        <f>-'Wert, AfA, Darlehen'!P110/12</f>
        <v>-170.45548242327936</v>
      </c>
      <c r="Q24" s="10">
        <f>-'Wert, AfA, Darlehen'!Q110/12</f>
        <v>-156.70475764142748</v>
      </c>
      <c r="R24" s="10">
        <f>-'Wert, AfA, Darlehen'!R110/12</f>
        <v>-142.47275749221077</v>
      </c>
      <c r="S24" s="10">
        <f>-'Wert, AfA, Darlehen'!S110/12</f>
        <v>-127.74263733777148</v>
      </c>
      <c r="T24" s="10">
        <f>-'Wert, AfA, Darlehen'!T110/12</f>
        <v>-112.49696297792683</v>
      </c>
      <c r="U24" s="10">
        <f>-'Wert, AfA, Darlehen'!U110/12</f>
        <v>-96.717690015487577</v>
      </c>
      <c r="V24" s="10">
        <f>-'Wert, AfA, Darlehen'!V110/12</f>
        <v>-80.386142499362975</v>
      </c>
      <c r="W24" s="10">
        <f>-'Wert, AfA, Darlehen'!W110/12</f>
        <v>-63.482990820174017</v>
      </c>
      <c r="X24" s="10">
        <f>-'Wert, AfA, Darlehen'!X110/12</f>
        <v>-45.988228832213444</v>
      </c>
      <c r="Y24" s="10">
        <f>-'Wert, AfA, Darlehen'!Y110/12</f>
        <v>-27.881150174674243</v>
      </c>
      <c r="Z24" s="10">
        <f>-'Wert, AfA, Darlehen'!Z110/12</f>
        <v>-9.1403237641211685</v>
      </c>
      <c r="AA24" s="10">
        <f>-'Wert, AfA, Darlehen'!AA110/12</f>
        <v>0</v>
      </c>
      <c r="AB24" s="10">
        <f>-'Wert, AfA, Darlehen'!AB110/12</f>
        <v>0</v>
      </c>
      <c r="AC24" s="10">
        <f>-'Wert, AfA, Darlehen'!AC110/12</f>
        <v>0</v>
      </c>
      <c r="AD24" s="10">
        <f>-'Wert, AfA, Darlehen'!AD110/12</f>
        <v>0</v>
      </c>
      <c r="AE24" s="10">
        <f>-'Wert, AfA, Darlehen'!AE110/12</f>
        <v>0</v>
      </c>
      <c r="AF24" s="10">
        <f>-'Wert, AfA, Darlehen'!AF110/12</f>
        <v>0</v>
      </c>
      <c r="AG24" s="10">
        <f>-'Wert, AfA, Darlehen'!AG110/12</f>
        <v>0</v>
      </c>
      <c r="AH24" s="10">
        <f>-'Wert, AfA, Darlehen'!AH110/12</f>
        <v>0</v>
      </c>
      <c r="AI24" s="10">
        <f>-'Wert, AfA, Darlehen'!AI110/12</f>
        <v>0</v>
      </c>
      <c r="AJ24" s="10">
        <f>-'Wert, AfA, Darlehen'!AJ110/12</f>
        <v>0</v>
      </c>
      <c r="AK24" s="10">
        <f>-'Wert, AfA, Darlehen'!AK110/12</f>
        <v>0</v>
      </c>
      <c r="AL24" s="10">
        <f>-'Wert, AfA, Darlehen'!AL110/12</f>
        <v>0</v>
      </c>
      <c r="AM24" s="10">
        <f>-'Wert, AfA, Darlehen'!AM110/12</f>
        <v>0</v>
      </c>
      <c r="AN24" s="10">
        <f>-'Wert, AfA, Darlehen'!AN110/12</f>
        <v>0</v>
      </c>
      <c r="AO24" s="10">
        <f>-'Wert, AfA, Darlehen'!AO110/12</f>
        <v>0</v>
      </c>
      <c r="AP24" s="10">
        <f>-'Wert, AfA, Darlehen'!AP110/12</f>
        <v>0</v>
      </c>
      <c r="AQ24" s="10">
        <f>-'Wert, AfA, Darlehen'!AQ110/12</f>
        <v>0</v>
      </c>
      <c r="AR24" s="10">
        <f>-'Wert, AfA, Darlehen'!AR110/12</f>
        <v>0</v>
      </c>
      <c r="AS24" s="10">
        <f>-'Wert, AfA, Darlehen'!AS110/12</f>
        <v>0</v>
      </c>
      <c r="AT24" s="10">
        <f>-'Wert, AfA, Darlehen'!AT110/12</f>
        <v>0</v>
      </c>
      <c r="AU24" s="10">
        <f>-'Wert, AfA, Darlehen'!AU110/12</f>
        <v>0</v>
      </c>
      <c r="AV24" s="10">
        <f>-'Wert, AfA, Darlehen'!AV110/12</f>
        <v>0</v>
      </c>
      <c r="AW24" s="10">
        <f>-'Wert, AfA, Darlehen'!AW110/12</f>
        <v>0</v>
      </c>
      <c r="AX24" s="10">
        <f>-'Wert, AfA, Darlehen'!AX110/12</f>
        <v>0</v>
      </c>
      <c r="AY24" s="10">
        <f>-'Wert, AfA, Darlehen'!AY110/12</f>
        <v>0</v>
      </c>
      <c r="AZ24" s="10">
        <f>-'Wert, AfA, Darlehen'!AZ110/12</f>
        <v>0</v>
      </c>
      <c r="BA24" s="283">
        <f>-'Wert, AfA, Darlehen'!BA110/12</f>
        <v>0</v>
      </c>
    </row>
    <row r="25" spans="1:53">
      <c r="B25" s="479" t="s">
        <v>32</v>
      </c>
      <c r="C25" s="480" t="s">
        <v>32</v>
      </c>
      <c r="D25" s="10">
        <f>-'Wert, AfA, Darlehen'!D114/12</f>
        <v>-260</v>
      </c>
      <c r="E25" s="10">
        <f>-'Wert, AfA, Darlehen'!E114/12</f>
        <v>-269.09999999999997</v>
      </c>
      <c r="F25" s="10">
        <f>-'Wert, AfA, Darlehen'!F114/12</f>
        <v>-278.51849999999996</v>
      </c>
      <c r="G25" s="10">
        <f>-'Wert, AfA, Darlehen'!G114/12</f>
        <v>-288.26664749999992</v>
      </c>
      <c r="H25" s="10">
        <f>-'Wert, AfA, Darlehen'!H114/12</f>
        <v>-298.35598016249997</v>
      </c>
      <c r="I25" s="10">
        <f>-'Wert, AfA, Darlehen'!I114/12</f>
        <v>-308.7984394681875</v>
      </c>
      <c r="J25" s="10">
        <f>-'Wert, AfA, Darlehen'!J114/12</f>
        <v>-319.60638484957406</v>
      </c>
      <c r="K25" s="10">
        <f>-'Wert, AfA, Darlehen'!K114/12</f>
        <v>-330.79260831930912</v>
      </c>
      <c r="L25" s="10">
        <f>-'Wert, AfA, Darlehen'!L114/12</f>
        <v>-342.37034961048494</v>
      </c>
      <c r="M25" s="10">
        <f>-'Wert, AfA, Darlehen'!M114/12</f>
        <v>-354.35331184685191</v>
      </c>
      <c r="N25" s="10">
        <f>-'Wert, AfA, Darlehen'!N114/12</f>
        <v>-366.75567776149165</v>
      </c>
      <c r="O25" s="10">
        <f>-'Wert, AfA, Darlehen'!O114/12</f>
        <v>-379.59212648314389</v>
      </c>
      <c r="P25" s="10">
        <f>-'Wert, AfA, Darlehen'!P114/12</f>
        <v>-392.87785091005395</v>
      </c>
      <c r="Q25" s="10">
        <f>-'Wert, AfA, Darlehen'!Q114/12</f>
        <v>-406.62857569190584</v>
      </c>
      <c r="R25" s="10">
        <f>-'Wert, AfA, Darlehen'!R114/12</f>
        <v>-420.86057584112251</v>
      </c>
      <c r="S25" s="10">
        <f>-'Wert, AfA, Darlehen'!S114/12</f>
        <v>-435.59069599556187</v>
      </c>
      <c r="T25" s="10">
        <f>-'Wert, AfA, Darlehen'!T114/12</f>
        <v>-450.83637035540647</v>
      </c>
      <c r="U25" s="10">
        <f>-'Wert, AfA, Darlehen'!U114/12</f>
        <v>-466.61564331784575</v>
      </c>
      <c r="V25" s="10">
        <f>-'Wert, AfA, Darlehen'!V114/12</f>
        <v>-482.94719083397035</v>
      </c>
      <c r="W25" s="10">
        <f>-'Wert, AfA, Darlehen'!W114/12</f>
        <v>-499.85034251315932</v>
      </c>
      <c r="X25" s="10">
        <f>-'Wert, AfA, Darlehen'!X114/12</f>
        <v>-517.34510450111986</v>
      </c>
      <c r="Y25" s="10">
        <f>-'Wert, AfA, Darlehen'!Y114/12</f>
        <v>-535.45218315865907</v>
      </c>
      <c r="Z25" s="10">
        <f>-'Wert, AfA, Darlehen'!Z114/12</f>
        <v>-261.15210754631909</v>
      </c>
      <c r="AA25" s="10">
        <f>-'Wert, AfA, Darlehen'!AA114/12</f>
        <v>0</v>
      </c>
      <c r="AB25" s="10">
        <f>-'Wert, AfA, Darlehen'!AB114/12</f>
        <v>0</v>
      </c>
      <c r="AC25" s="10">
        <f>-'Wert, AfA, Darlehen'!AC114/12</f>
        <v>0</v>
      </c>
      <c r="AD25" s="10">
        <f>-'Wert, AfA, Darlehen'!AD114/12</f>
        <v>0</v>
      </c>
      <c r="AE25" s="10">
        <f>-'Wert, AfA, Darlehen'!AE114/12</f>
        <v>0</v>
      </c>
      <c r="AF25" s="10">
        <f>-'Wert, AfA, Darlehen'!AF114/12</f>
        <v>0</v>
      </c>
      <c r="AG25" s="10">
        <f>-'Wert, AfA, Darlehen'!AG114/12</f>
        <v>0</v>
      </c>
      <c r="AH25" s="10">
        <f>-'Wert, AfA, Darlehen'!AH114/12</f>
        <v>0</v>
      </c>
      <c r="AI25" s="10">
        <f>-'Wert, AfA, Darlehen'!AI114/12</f>
        <v>0</v>
      </c>
      <c r="AJ25" s="10">
        <f>-'Wert, AfA, Darlehen'!AJ114/12</f>
        <v>0</v>
      </c>
      <c r="AK25" s="10">
        <f>-'Wert, AfA, Darlehen'!AK114/12</f>
        <v>0</v>
      </c>
      <c r="AL25" s="10">
        <f>-'Wert, AfA, Darlehen'!AL114/12</f>
        <v>0</v>
      </c>
      <c r="AM25" s="10">
        <f>-'Wert, AfA, Darlehen'!AM114/12</f>
        <v>0</v>
      </c>
      <c r="AN25" s="10">
        <f>-'Wert, AfA, Darlehen'!AN114/12</f>
        <v>0</v>
      </c>
      <c r="AO25" s="10">
        <f>-'Wert, AfA, Darlehen'!AO114/12</f>
        <v>0</v>
      </c>
      <c r="AP25" s="10">
        <f>-'Wert, AfA, Darlehen'!AP114/12</f>
        <v>0</v>
      </c>
      <c r="AQ25" s="10">
        <f>-'Wert, AfA, Darlehen'!AQ114/12</f>
        <v>0</v>
      </c>
      <c r="AR25" s="10">
        <f>-'Wert, AfA, Darlehen'!AR114/12</f>
        <v>0</v>
      </c>
      <c r="AS25" s="10">
        <f>-'Wert, AfA, Darlehen'!AS114/12</f>
        <v>0</v>
      </c>
      <c r="AT25" s="10">
        <f>-'Wert, AfA, Darlehen'!AT114/12</f>
        <v>0</v>
      </c>
      <c r="AU25" s="10">
        <f>-'Wert, AfA, Darlehen'!AU114/12</f>
        <v>0</v>
      </c>
      <c r="AV25" s="10">
        <f>-'Wert, AfA, Darlehen'!AV114/12</f>
        <v>0</v>
      </c>
      <c r="AW25" s="10">
        <f>-'Wert, AfA, Darlehen'!AW114/12</f>
        <v>0</v>
      </c>
      <c r="AX25" s="10">
        <f>-'Wert, AfA, Darlehen'!AX114/12</f>
        <v>0</v>
      </c>
      <c r="AY25" s="10">
        <f>-'Wert, AfA, Darlehen'!AY114/12</f>
        <v>0</v>
      </c>
      <c r="AZ25" s="10">
        <f>-'Wert, AfA, Darlehen'!AZ114/12</f>
        <v>0</v>
      </c>
      <c r="BA25" s="283">
        <f>-'Wert, AfA, Darlehen'!BA114/12</f>
        <v>0</v>
      </c>
    </row>
    <row r="26" spans="1:53">
      <c r="B26" s="479" t="s">
        <v>30</v>
      </c>
      <c r="C26" s="480" t="s">
        <v>30</v>
      </c>
      <c r="D26" s="136">
        <f t="shared" ref="D26:AI26" si="10">D19+D23+D24+D25</f>
        <v>-67.233333333333348</v>
      </c>
      <c r="E26" s="136">
        <f t="shared" si="10"/>
        <v>-51.78233333333327</v>
      </c>
      <c r="F26" s="136">
        <f t="shared" si="10"/>
        <v>-35.856443333333289</v>
      </c>
      <c r="G26" s="136">
        <f t="shared" si="10"/>
        <v>-19.441189433333136</v>
      </c>
      <c r="H26" s="136">
        <f t="shared" si="10"/>
        <v>-2.5216589723332845</v>
      </c>
      <c r="I26" s="136">
        <f t="shared" si="10"/>
        <v>14.917512725376866</v>
      </c>
      <c r="J26" s="136">
        <f t="shared" si="10"/>
        <v>32.892156003355694</v>
      </c>
      <c r="K26" s="136">
        <f t="shared" si="10"/>
        <v>51.418580937598222</v>
      </c>
      <c r="L26" s="136">
        <f t="shared" si="10"/>
        <v>70.513591824951163</v>
      </c>
      <c r="M26" s="136">
        <f t="shared" si="10"/>
        <v>90.19450210810902</v>
      </c>
      <c r="N26" s="136">
        <f t="shared" si="10"/>
        <v>110.4791497503299</v>
      </c>
      <c r="O26" s="136">
        <f t="shared" si="10"/>
        <v>131.38591307339669</v>
      </c>
      <c r="P26" s="136">
        <f t="shared" si="10"/>
        <v>152.93372707276689</v>
      </c>
      <c r="Q26" s="136">
        <f t="shared" si="10"/>
        <v>175.14210022426136</v>
      </c>
      <c r="R26" s="136">
        <f t="shared" si="10"/>
        <v>198.03113179708708</v>
      </c>
      <c r="S26" s="136">
        <f t="shared" si="10"/>
        <v>221.62152968841917</v>
      </c>
      <c r="T26" s="136">
        <f t="shared" si="10"/>
        <v>245.93462879524003</v>
      </c>
      <c r="U26" s="136">
        <f t="shared" si="10"/>
        <v>270.9924099395887</v>
      </c>
      <c r="V26" s="136">
        <f t="shared" si="10"/>
        <v>296.81751936387775</v>
      </c>
      <c r="W26" s="136">
        <f t="shared" si="10"/>
        <v>323.43328881341739</v>
      </c>
      <c r="X26" s="136">
        <f t="shared" si="10"/>
        <v>350.86375622381593</v>
      </c>
      <c r="Y26" s="136">
        <f t="shared" si="10"/>
        <v>379.13368703144624</v>
      </c>
      <c r="Z26" s="136">
        <f t="shared" si="10"/>
        <v>701.30949814861651</v>
      </c>
      <c r="AA26" s="136">
        <f t="shared" si="10"/>
        <v>1001.6281037958295</v>
      </c>
      <c r="AB26" s="136">
        <f t="shared" si="10"/>
        <v>1032.5726256917651</v>
      </c>
      <c r="AC26" s="136">
        <f t="shared" si="10"/>
        <v>1064.4633968202197</v>
      </c>
      <c r="AD26" s="136">
        <f t="shared" si="10"/>
        <v>1097.3291629296823</v>
      </c>
      <c r="AE26" s="136">
        <f t="shared" si="10"/>
        <v>1131.1995393065258</v>
      </c>
      <c r="AF26" s="136">
        <f t="shared" si="10"/>
        <v>1166.1050370044536</v>
      </c>
      <c r="AG26" s="136">
        <f t="shared" si="10"/>
        <v>1202.0770898636943</v>
      </c>
      <c r="AH26" s="136">
        <f t="shared" si="10"/>
        <v>1239.1480823436939</v>
      </c>
      <c r="AI26" s="136">
        <f t="shared" si="10"/>
        <v>1277.3513781937754</v>
      </c>
      <c r="AJ26" s="136">
        <f t="shared" ref="AJ26:BA26" si="11">AJ19+AJ23+AJ24+AJ25</f>
        <v>1316.7213499869549</v>
      </c>
      <c r="AK26" s="136">
        <f t="shared" si="11"/>
        <v>1357.2934095428768</v>
      </c>
      <c r="AL26" s="136">
        <f t="shared" si="11"/>
        <v>1399.104039266603</v>
      </c>
      <c r="AM26" s="136">
        <f t="shared" si="11"/>
        <v>1442.1908244307895</v>
      </c>
      <c r="AN26" s="136">
        <f t="shared" si="11"/>
        <v>1486.5924864296255</v>
      </c>
      <c r="AO26" s="136">
        <f t="shared" si="11"/>
        <v>1532.348917033745</v>
      </c>
      <c r="AP26" s="136">
        <f t="shared" si="11"/>
        <v>1579.5012136762125</v>
      </c>
      <c r="AQ26" s="136">
        <f t="shared" si="11"/>
        <v>1628.0917158005832</v>
      </c>
      <c r="AR26" s="136">
        <f t="shared" si="11"/>
        <v>1678.1640423029669</v>
      </c>
      <c r="AS26" s="136">
        <f t="shared" si="11"/>
        <v>1729.763130100989</v>
      </c>
      <c r="AT26" s="136">
        <f t="shared" si="11"/>
        <v>1782.9352738635305</v>
      </c>
      <c r="AU26" s="136">
        <f t="shared" si="11"/>
        <v>1837.7281669361387</v>
      </c>
      <c r="AV26" s="136">
        <f t="shared" si="11"/>
        <v>1894.1909434980594</v>
      </c>
      <c r="AW26" s="136">
        <f t="shared" si="11"/>
        <v>1952.3742219879139</v>
      </c>
      <c r="AX26" s="136">
        <f t="shared" si="11"/>
        <v>2012.3301498361627</v>
      </c>
      <c r="AY26" s="136">
        <f t="shared" si="11"/>
        <v>2074.1124495436306</v>
      </c>
      <c r="AZ26" s="136">
        <f t="shared" si="11"/>
        <v>2137.7764661465712</v>
      </c>
      <c r="BA26" s="286">
        <f t="shared" si="11"/>
        <v>2203.3792161099318</v>
      </c>
    </row>
    <row r="27" spans="1:53">
      <c r="B27" s="479" t="s">
        <v>39</v>
      </c>
      <c r="C27" s="480" t="s">
        <v>39</v>
      </c>
      <c r="D27" s="10">
        <f t="shared" ref="D27:AI27" si="12">-D43</f>
        <v>-29.661444444444431</v>
      </c>
      <c r="E27" s="10">
        <f t="shared" si="12"/>
        <v>-39.901444444444486</v>
      </c>
      <c r="F27" s="10">
        <f t="shared" si="12"/>
        <v>-50.469244444444477</v>
      </c>
      <c r="G27" s="10">
        <f t="shared" si="12"/>
        <v>-61.375363444444467</v>
      </c>
      <c r="H27" s="10">
        <f t="shared" si="12"/>
        <v>-72.630659269444479</v>
      </c>
      <c r="I27" s="10">
        <f t="shared" si="12"/>
        <v>-84.246339533719535</v>
      </c>
      <c r="J27" s="10">
        <f t="shared" si="12"/>
        <v>-96.233972961718109</v>
      </c>
      <c r="K27" s="10">
        <f t="shared" si="12"/>
        <v>-108.60550107724717</v>
      </c>
      <c r="L27" s="10">
        <f t="shared" si="12"/>
        <v>-121.3732502729878</v>
      </c>
      <c r="M27" s="10">
        <f t="shared" si="12"/>
        <v>-134.54994427278538</v>
      </c>
      <c r="N27" s="10">
        <f t="shared" si="12"/>
        <v>-148.14871699956399</v>
      </c>
      <c r="O27" s="10">
        <f t="shared" si="12"/>
        <v>-162.18312586213995</v>
      </c>
      <c r="P27" s="10">
        <f t="shared" si="12"/>
        <v>-176.66716547464449</v>
      </c>
      <c r="Q27" s="10">
        <f t="shared" si="12"/>
        <v>-191.61528182271809</v>
      </c>
      <c r="R27" s="10">
        <f t="shared" si="12"/>
        <v>-207.04238689110457</v>
      </c>
      <c r="S27" s="10">
        <f t="shared" si="12"/>
        <v>-245.18609598997637</v>
      </c>
      <c r="T27" s="10">
        <f t="shared" si="12"/>
        <v>-261.61785446226571</v>
      </c>
      <c r="U27" s="10">
        <f t="shared" si="12"/>
        <v>-278.57628712145538</v>
      </c>
      <c r="V27" s="10">
        <f t="shared" si="12"/>
        <v>-296.07832599203783</v>
      </c>
      <c r="W27" s="10">
        <f t="shared" si="12"/>
        <v>-314.14144970317608</v>
      </c>
      <c r="X27" s="10">
        <f t="shared" si="12"/>
        <v>-332.78370122000115</v>
      </c>
      <c r="Y27" s="10">
        <f t="shared" si="12"/>
        <v>-352.02370615312083</v>
      </c>
      <c r="Z27" s="10">
        <f t="shared" si="12"/>
        <v>-371.88069166529954</v>
      </c>
      <c r="AA27" s="10">
        <f t="shared" si="12"/>
        <v>-388.27193336656956</v>
      </c>
      <c r="AB27" s="10">
        <f t="shared" si="12"/>
        <v>-401.39280927926961</v>
      </c>
      <c r="AC27" s="10">
        <f t="shared" si="12"/>
        <v>-414.91109602758473</v>
      </c>
      <c r="AD27" s="10">
        <f t="shared" si="12"/>
        <v>-428.83879162774792</v>
      </c>
      <c r="AE27" s="10">
        <f t="shared" si="12"/>
        <v>-443.18825555030293</v>
      </c>
      <c r="AF27" s="10">
        <f t="shared" si="12"/>
        <v>-457.97221959400889</v>
      </c>
      <c r="AG27" s="10">
        <f t="shared" si="12"/>
        <v>-473.20379908657009</v>
      </c>
      <c r="AH27" s="10">
        <f t="shared" si="12"/>
        <v>-488.89650442200286</v>
      </c>
      <c r="AI27" s="10">
        <f t="shared" si="12"/>
        <v>-505.06425294475531</v>
      </c>
      <c r="AJ27" s="10">
        <f t="shared" ref="AJ27:BA27" si="13">-AJ43</f>
        <v>-521.72138119099225</v>
      </c>
      <c r="AK27" s="10">
        <f t="shared" si="13"/>
        <v>-538.88265749777418</v>
      </c>
      <c r="AL27" s="10">
        <f t="shared" si="13"/>
        <v>-556.56329499118056</v>
      </c>
      <c r="AM27" s="10">
        <f t="shared" si="13"/>
        <v>-574.77896496475853</v>
      </c>
      <c r="AN27" s="10">
        <f t="shared" si="13"/>
        <v>-593.54581066002083</v>
      </c>
      <c r="AO27" s="10">
        <f t="shared" si="13"/>
        <v>-612.88046146106751</v>
      </c>
      <c r="AP27" s="10">
        <f t="shared" si="13"/>
        <v>-632.80004751577042</v>
      </c>
      <c r="AQ27" s="10">
        <f t="shared" si="13"/>
        <v>-653.32221479633176</v>
      </c>
      <c r="AR27" s="10">
        <f t="shared" si="13"/>
        <v>-674.46514061241169</v>
      </c>
      <c r="AS27" s="10">
        <f t="shared" si="13"/>
        <v>-696.24754959041775</v>
      </c>
      <c r="AT27" s="10">
        <f t="shared" si="13"/>
        <v>-718.68873013295672</v>
      </c>
      <c r="AU27" s="10">
        <f t="shared" si="13"/>
        <v>-741.80855137286846</v>
      </c>
      <c r="AV27" s="10">
        <f t="shared" si="13"/>
        <v>-765.62748063669608</v>
      </c>
      <c r="AW27" s="10">
        <f t="shared" si="13"/>
        <v>-790.16660143289118</v>
      </c>
      <c r="AX27" s="10">
        <f t="shared" si="13"/>
        <v>-815.4476319805143</v>
      </c>
      <c r="AY27" s="10">
        <f t="shared" si="13"/>
        <v>-841.49294429465851</v>
      </c>
      <c r="AZ27" s="10">
        <f t="shared" si="13"/>
        <v>-868.32558384532194</v>
      </c>
      <c r="BA27" s="283">
        <f t="shared" si="13"/>
        <v>-895.96928980694122</v>
      </c>
    </row>
    <row r="28" spans="1:53" ht="15.75" thickBot="1">
      <c r="B28" s="483" t="s">
        <v>41</v>
      </c>
      <c r="C28" s="484"/>
      <c r="D28" s="287">
        <f t="shared" ref="D28:AI28" si="14">D26+D27</f>
        <v>-96.894777777777776</v>
      </c>
      <c r="E28" s="287">
        <f t="shared" si="14"/>
        <v>-91.683777777777749</v>
      </c>
      <c r="F28" s="287">
        <f t="shared" si="14"/>
        <v>-86.325687777777773</v>
      </c>
      <c r="G28" s="287">
        <f t="shared" si="14"/>
        <v>-80.81655287777761</v>
      </c>
      <c r="H28" s="287">
        <f t="shared" si="14"/>
        <v>-75.152318241777763</v>
      </c>
      <c r="I28" s="287">
        <f t="shared" si="14"/>
        <v>-69.328826808342669</v>
      </c>
      <c r="J28" s="287">
        <f t="shared" si="14"/>
        <v>-63.341816958362415</v>
      </c>
      <c r="K28" s="287">
        <f t="shared" si="14"/>
        <v>-57.186920139648947</v>
      </c>
      <c r="L28" s="287">
        <f t="shared" si="14"/>
        <v>-50.85965844803664</v>
      </c>
      <c r="M28" s="287">
        <f t="shared" si="14"/>
        <v>-44.355442164676361</v>
      </c>
      <c r="N28" s="287">
        <f t="shared" si="14"/>
        <v>-37.669567249234092</v>
      </c>
      <c r="O28" s="287">
        <f t="shared" si="14"/>
        <v>-30.797212788743252</v>
      </c>
      <c r="P28" s="287">
        <f t="shared" si="14"/>
        <v>-23.733438401877606</v>
      </c>
      <c r="Q28" s="287">
        <f t="shared" si="14"/>
        <v>-16.473181598456733</v>
      </c>
      <c r="R28" s="287">
        <f t="shared" si="14"/>
        <v>-9.0112550940174856</v>
      </c>
      <c r="S28" s="287">
        <f t="shared" si="14"/>
        <v>-23.564566301557193</v>
      </c>
      <c r="T28" s="287">
        <f t="shared" si="14"/>
        <v>-15.683225667025681</v>
      </c>
      <c r="U28" s="287">
        <f t="shared" si="14"/>
        <v>-7.5838771818666828</v>
      </c>
      <c r="V28" s="287">
        <f t="shared" si="14"/>
        <v>0.73919337183991729</v>
      </c>
      <c r="W28" s="287">
        <f t="shared" si="14"/>
        <v>9.2918391102413125</v>
      </c>
      <c r="X28" s="287">
        <f t="shared" si="14"/>
        <v>18.080055003814778</v>
      </c>
      <c r="Y28" s="287">
        <f t="shared" si="14"/>
        <v>27.109980878325416</v>
      </c>
      <c r="Z28" s="287">
        <f t="shared" si="14"/>
        <v>329.42880648331698</v>
      </c>
      <c r="AA28" s="287">
        <f t="shared" si="14"/>
        <v>613.35617042925992</v>
      </c>
      <c r="AB28" s="287">
        <f t="shared" si="14"/>
        <v>631.17981641249548</v>
      </c>
      <c r="AC28" s="287">
        <f t="shared" si="14"/>
        <v>649.55230079263492</v>
      </c>
      <c r="AD28" s="287">
        <f t="shared" si="14"/>
        <v>668.49037130193437</v>
      </c>
      <c r="AE28" s="287">
        <f t="shared" si="14"/>
        <v>688.01128375622284</v>
      </c>
      <c r="AF28" s="287">
        <f t="shared" si="14"/>
        <v>708.13281741044466</v>
      </c>
      <c r="AG28" s="287">
        <f t="shared" si="14"/>
        <v>728.87329077712411</v>
      </c>
      <c r="AH28" s="287">
        <f t="shared" si="14"/>
        <v>750.25157792169102</v>
      </c>
      <c r="AI28" s="287">
        <f t="shared" si="14"/>
        <v>772.28712524902016</v>
      </c>
      <c r="AJ28" s="287">
        <f t="shared" ref="AJ28:BA28" si="15">AJ26+AJ27</f>
        <v>794.99996879596267</v>
      </c>
      <c r="AK28" s="287">
        <f t="shared" si="15"/>
        <v>818.41075204510264</v>
      </c>
      <c r="AL28" s="287">
        <f t="shared" si="15"/>
        <v>842.54074427542241</v>
      </c>
      <c r="AM28" s="287">
        <f t="shared" si="15"/>
        <v>867.41185946603093</v>
      </c>
      <c r="AN28" s="287">
        <f t="shared" si="15"/>
        <v>893.04667576960469</v>
      </c>
      <c r="AO28" s="287">
        <f t="shared" si="15"/>
        <v>919.4684555726775</v>
      </c>
      <c r="AP28" s="287">
        <f t="shared" si="15"/>
        <v>946.70116616044209</v>
      </c>
      <c r="AQ28" s="287">
        <f t="shared" si="15"/>
        <v>974.76950100425142</v>
      </c>
      <c r="AR28" s="287">
        <f t="shared" si="15"/>
        <v>1003.6989016905552</v>
      </c>
      <c r="AS28" s="287">
        <f t="shared" si="15"/>
        <v>1033.5155805105712</v>
      </c>
      <c r="AT28" s="287">
        <f t="shared" si="15"/>
        <v>1064.2465437305736</v>
      </c>
      <c r="AU28" s="287">
        <f t="shared" si="15"/>
        <v>1095.9196155632703</v>
      </c>
      <c r="AV28" s="287">
        <f t="shared" si="15"/>
        <v>1128.5634628613634</v>
      </c>
      <c r="AW28" s="287">
        <f t="shared" si="15"/>
        <v>1162.2076205550227</v>
      </c>
      <c r="AX28" s="287">
        <f t="shared" si="15"/>
        <v>1196.8825178556485</v>
      </c>
      <c r="AY28" s="287">
        <f t="shared" si="15"/>
        <v>1232.619505248972</v>
      </c>
      <c r="AZ28" s="287">
        <f t="shared" si="15"/>
        <v>1269.4508823012493</v>
      </c>
      <c r="BA28" s="288">
        <f t="shared" si="15"/>
        <v>1307.4099263029907</v>
      </c>
    </row>
    <row r="29" spans="1:53" ht="15.75" thickBot="1">
      <c r="I29" s="6"/>
      <c r="J29" s="6"/>
      <c r="K29" s="6"/>
      <c r="L29" s="6"/>
    </row>
    <row r="30" spans="1:53" ht="18" thickBot="1">
      <c r="A30"/>
      <c r="B30" s="273" t="s">
        <v>272</v>
      </c>
      <c r="C30" s="33"/>
      <c r="D30" s="34"/>
      <c r="I30" s="6"/>
      <c r="J30" s="6"/>
      <c r="K30" s="6"/>
      <c r="L30" s="6"/>
    </row>
    <row r="31" spans="1:53" ht="15.75" thickBot="1">
      <c r="B31" s="276"/>
      <c r="C31" s="277"/>
      <c r="D31" s="278">
        <f t="shared" ref="D31:AI31" si="16">D7</f>
        <v>2024</v>
      </c>
      <c r="E31" s="279">
        <f t="shared" si="16"/>
        <v>2025</v>
      </c>
      <c r="F31" s="279">
        <f t="shared" si="16"/>
        <v>2026</v>
      </c>
      <c r="G31" s="279">
        <f t="shared" si="16"/>
        <v>2027</v>
      </c>
      <c r="H31" s="279">
        <f t="shared" si="16"/>
        <v>2028</v>
      </c>
      <c r="I31" s="279">
        <f t="shared" si="16"/>
        <v>2029</v>
      </c>
      <c r="J31" s="279">
        <f t="shared" si="16"/>
        <v>2030</v>
      </c>
      <c r="K31" s="279">
        <f t="shared" si="16"/>
        <v>2031</v>
      </c>
      <c r="L31" s="279">
        <f t="shared" si="16"/>
        <v>2032</v>
      </c>
      <c r="M31" s="279">
        <f t="shared" si="16"/>
        <v>2033</v>
      </c>
      <c r="N31" s="279">
        <f t="shared" si="16"/>
        <v>2034</v>
      </c>
      <c r="O31" s="279">
        <f t="shared" si="16"/>
        <v>2035</v>
      </c>
      <c r="P31" s="279">
        <f t="shared" si="16"/>
        <v>2036</v>
      </c>
      <c r="Q31" s="279">
        <f t="shared" si="16"/>
        <v>2037</v>
      </c>
      <c r="R31" s="279">
        <f t="shared" si="16"/>
        <v>2038</v>
      </c>
      <c r="S31" s="279">
        <f t="shared" si="16"/>
        <v>2039</v>
      </c>
      <c r="T31" s="279">
        <f t="shared" si="16"/>
        <v>2040</v>
      </c>
      <c r="U31" s="279">
        <f t="shared" si="16"/>
        <v>2041</v>
      </c>
      <c r="V31" s="279">
        <f t="shared" si="16"/>
        <v>2042</v>
      </c>
      <c r="W31" s="279">
        <f t="shared" si="16"/>
        <v>2043</v>
      </c>
      <c r="X31" s="279">
        <f t="shared" si="16"/>
        <v>2044</v>
      </c>
      <c r="Y31" s="279">
        <f t="shared" si="16"/>
        <v>2045</v>
      </c>
      <c r="Z31" s="279">
        <f t="shared" si="16"/>
        <v>2046</v>
      </c>
      <c r="AA31" s="279">
        <f t="shared" si="16"/>
        <v>2047</v>
      </c>
      <c r="AB31" s="279">
        <f t="shared" si="16"/>
        <v>2048</v>
      </c>
      <c r="AC31" s="279">
        <f t="shared" si="16"/>
        <v>2049</v>
      </c>
      <c r="AD31" s="279">
        <f t="shared" si="16"/>
        <v>2050</v>
      </c>
      <c r="AE31" s="279">
        <f t="shared" si="16"/>
        <v>2051</v>
      </c>
      <c r="AF31" s="279">
        <f t="shared" si="16"/>
        <v>2052</v>
      </c>
      <c r="AG31" s="279">
        <f t="shared" si="16"/>
        <v>2053</v>
      </c>
      <c r="AH31" s="279">
        <f t="shared" si="16"/>
        <v>2054</v>
      </c>
      <c r="AI31" s="279">
        <f t="shared" si="16"/>
        <v>2055</v>
      </c>
      <c r="AJ31" s="279">
        <f t="shared" ref="AJ31:BA31" si="17">AJ7</f>
        <v>2056</v>
      </c>
      <c r="AK31" s="279">
        <f t="shared" si="17"/>
        <v>2057</v>
      </c>
      <c r="AL31" s="279">
        <f t="shared" si="17"/>
        <v>2058</v>
      </c>
      <c r="AM31" s="279">
        <f t="shared" si="17"/>
        <v>2059</v>
      </c>
      <c r="AN31" s="279">
        <f t="shared" si="17"/>
        <v>2060</v>
      </c>
      <c r="AO31" s="279">
        <f t="shared" si="17"/>
        <v>2061</v>
      </c>
      <c r="AP31" s="279">
        <f t="shared" si="17"/>
        <v>2062</v>
      </c>
      <c r="AQ31" s="279">
        <f t="shared" si="17"/>
        <v>2063</v>
      </c>
      <c r="AR31" s="279">
        <f t="shared" si="17"/>
        <v>2064</v>
      </c>
      <c r="AS31" s="279">
        <f t="shared" si="17"/>
        <v>2065</v>
      </c>
      <c r="AT31" s="279">
        <f t="shared" si="17"/>
        <v>2066</v>
      </c>
      <c r="AU31" s="279">
        <f t="shared" si="17"/>
        <v>2067</v>
      </c>
      <c r="AV31" s="279">
        <f t="shared" si="17"/>
        <v>2068</v>
      </c>
      <c r="AW31" s="279">
        <f t="shared" si="17"/>
        <v>2069</v>
      </c>
      <c r="AX31" s="279">
        <f t="shared" si="17"/>
        <v>2070</v>
      </c>
      <c r="AY31" s="279">
        <f t="shared" si="17"/>
        <v>2071</v>
      </c>
      <c r="AZ31" s="279">
        <f t="shared" si="17"/>
        <v>2072</v>
      </c>
      <c r="BA31" s="280">
        <f t="shared" si="17"/>
        <v>2073</v>
      </c>
    </row>
    <row r="32" spans="1:53">
      <c r="A32"/>
      <c r="B32" s="487" t="s">
        <v>268</v>
      </c>
      <c r="C32" s="488"/>
      <c r="D32" s="281">
        <f>12*D28</f>
        <v>-1162.7373333333333</v>
      </c>
      <c r="E32" s="281">
        <f t="shared" ref="E32:AJ32" si="18">D32+12*E28</f>
        <v>-2262.9426666666659</v>
      </c>
      <c r="F32" s="281">
        <f t="shared" si="18"/>
        <v>-3298.850919999999</v>
      </c>
      <c r="G32" s="281">
        <f t="shared" si="18"/>
        <v>-4268.64955453333</v>
      </c>
      <c r="H32" s="281">
        <f t="shared" si="18"/>
        <v>-5170.4773734346636</v>
      </c>
      <c r="I32" s="281">
        <f t="shared" si="18"/>
        <v>-6002.4232951347758</v>
      </c>
      <c r="J32" s="281">
        <f t="shared" si="18"/>
        <v>-6762.5250986351248</v>
      </c>
      <c r="K32" s="281">
        <f t="shared" si="18"/>
        <v>-7448.7681403109118</v>
      </c>
      <c r="L32" s="281">
        <f t="shared" si="18"/>
        <v>-8059.0840416873516</v>
      </c>
      <c r="M32" s="281">
        <f t="shared" si="18"/>
        <v>-8591.3493476634685</v>
      </c>
      <c r="N32" s="281">
        <f t="shared" si="18"/>
        <v>-9043.3841546542772</v>
      </c>
      <c r="O32" s="281">
        <f t="shared" si="18"/>
        <v>-9412.9507081191969</v>
      </c>
      <c r="P32" s="281">
        <f t="shared" si="18"/>
        <v>-9697.7519689417277</v>
      </c>
      <c r="Q32" s="281">
        <f t="shared" si="18"/>
        <v>-9895.4301481232087</v>
      </c>
      <c r="R32" s="281">
        <f t="shared" si="18"/>
        <v>-10003.565209251419</v>
      </c>
      <c r="S32" s="281">
        <f t="shared" si="18"/>
        <v>-10286.340004870106</v>
      </c>
      <c r="T32" s="281">
        <f t="shared" si="18"/>
        <v>-10474.538712874415</v>
      </c>
      <c r="U32" s="281">
        <f t="shared" si="18"/>
        <v>-10565.545239056815</v>
      </c>
      <c r="V32" s="281">
        <f t="shared" si="18"/>
        <v>-10556.674918594736</v>
      </c>
      <c r="W32" s="281">
        <f t="shared" si="18"/>
        <v>-10445.172849271839</v>
      </c>
      <c r="X32" s="281">
        <f t="shared" si="18"/>
        <v>-10228.212189226062</v>
      </c>
      <c r="Y32" s="281">
        <f t="shared" si="18"/>
        <v>-9902.8924186861568</v>
      </c>
      <c r="Z32" s="281">
        <f t="shared" si="18"/>
        <v>-5949.7467408863531</v>
      </c>
      <c r="AA32" s="281">
        <f t="shared" si="18"/>
        <v>1410.5273042647659</v>
      </c>
      <c r="AB32" s="281">
        <f t="shared" si="18"/>
        <v>8984.6851012147126</v>
      </c>
      <c r="AC32" s="281">
        <f t="shared" si="18"/>
        <v>16779.312710726332</v>
      </c>
      <c r="AD32" s="281">
        <f t="shared" si="18"/>
        <v>24801.197166349542</v>
      </c>
      <c r="AE32" s="281">
        <f t="shared" si="18"/>
        <v>33057.332571424216</v>
      </c>
      <c r="AF32" s="281">
        <f t="shared" si="18"/>
        <v>41554.926380349556</v>
      </c>
      <c r="AG32" s="281">
        <f t="shared" si="18"/>
        <v>50301.405869675044</v>
      </c>
      <c r="AH32" s="281">
        <f t="shared" si="18"/>
        <v>59304.424804735332</v>
      </c>
      <c r="AI32" s="281">
        <f t="shared" si="18"/>
        <v>68571.87030772357</v>
      </c>
      <c r="AJ32" s="281">
        <f t="shared" si="18"/>
        <v>78111.869933275128</v>
      </c>
      <c r="AK32" s="281">
        <f t="shared" ref="AK32:BA32" si="19">AJ32+12*AK28</f>
        <v>87932.798957816354</v>
      </c>
      <c r="AL32" s="281">
        <f t="shared" si="19"/>
        <v>98043.28788912142</v>
      </c>
      <c r="AM32" s="281">
        <f t="shared" si="19"/>
        <v>108452.23020271379</v>
      </c>
      <c r="AN32" s="281">
        <f t="shared" si="19"/>
        <v>119168.79031194905</v>
      </c>
      <c r="AO32" s="281">
        <f t="shared" si="19"/>
        <v>130202.41177882117</v>
      </c>
      <c r="AP32" s="281">
        <f t="shared" si="19"/>
        <v>141562.82577274647</v>
      </c>
      <c r="AQ32" s="281">
        <f t="shared" si="19"/>
        <v>153260.05978479749</v>
      </c>
      <c r="AR32" s="281">
        <f t="shared" si="19"/>
        <v>165304.44660508414</v>
      </c>
      <c r="AS32" s="281">
        <f t="shared" si="19"/>
        <v>177706.63357121099</v>
      </c>
      <c r="AT32" s="281">
        <f t="shared" si="19"/>
        <v>190477.59209597786</v>
      </c>
      <c r="AU32" s="281">
        <f t="shared" si="19"/>
        <v>203628.62748273709</v>
      </c>
      <c r="AV32" s="281">
        <f t="shared" si="19"/>
        <v>217171.38903707344</v>
      </c>
      <c r="AW32" s="281">
        <f t="shared" si="19"/>
        <v>231117.88048373372</v>
      </c>
      <c r="AX32" s="281">
        <f t="shared" si="19"/>
        <v>245480.4706980015</v>
      </c>
      <c r="AY32" s="281">
        <f t="shared" si="19"/>
        <v>260271.90476098916</v>
      </c>
      <c r="AZ32" s="281">
        <f t="shared" si="19"/>
        <v>275505.31534860417</v>
      </c>
      <c r="BA32" s="282">
        <f t="shared" si="19"/>
        <v>291194.23446424009</v>
      </c>
    </row>
    <row r="33" spans="1:53" ht="15.75" thickBot="1">
      <c r="A33"/>
      <c r="B33" s="483" t="s">
        <v>274</v>
      </c>
      <c r="C33" s="484"/>
      <c r="D33" s="284">
        <f>-Cockpit!$N$10+D32</f>
        <v>-51020.737333333331</v>
      </c>
      <c r="E33" s="284">
        <f>-Cockpit!$N$10+E32</f>
        <v>-52120.94266666667</v>
      </c>
      <c r="F33" s="284">
        <f>-Cockpit!$N$10+F32</f>
        <v>-53156.850919999997</v>
      </c>
      <c r="G33" s="284">
        <f>-Cockpit!$N$10+G32</f>
        <v>-54126.649554533331</v>
      </c>
      <c r="H33" s="284">
        <f>-Cockpit!$N$10+H32</f>
        <v>-55028.477373434667</v>
      </c>
      <c r="I33" s="284">
        <f>-Cockpit!$N$10+I32</f>
        <v>-55860.423295134773</v>
      </c>
      <c r="J33" s="284">
        <f>-Cockpit!$N$10+J32</f>
        <v>-56620.525098635124</v>
      </c>
      <c r="K33" s="284">
        <f>-Cockpit!$N$10+K32</f>
        <v>-57306.768140310909</v>
      </c>
      <c r="L33" s="284">
        <f>-Cockpit!$N$10+L32</f>
        <v>-57917.084041687354</v>
      </c>
      <c r="M33" s="284">
        <f>-Cockpit!$N$10+M32</f>
        <v>-58449.349347663469</v>
      </c>
      <c r="N33" s="284">
        <f>-Cockpit!$N$10+N32</f>
        <v>-58901.384154654275</v>
      </c>
      <c r="O33" s="284">
        <f>-Cockpit!$N$10+O32</f>
        <v>-59270.950708119199</v>
      </c>
      <c r="P33" s="284">
        <f>-Cockpit!$N$10+P32</f>
        <v>-59555.751968941724</v>
      </c>
      <c r="Q33" s="284">
        <f>-Cockpit!$N$10+Q32</f>
        <v>-59753.430148123211</v>
      </c>
      <c r="R33" s="284">
        <f>-Cockpit!$N$10+R32</f>
        <v>-59861.565209251421</v>
      </c>
      <c r="S33" s="284">
        <f>-Cockpit!$N$10+S32</f>
        <v>-60144.340004870108</v>
      </c>
      <c r="T33" s="284">
        <f>-Cockpit!$N$10+T32</f>
        <v>-60332.538712874419</v>
      </c>
      <c r="U33" s="284">
        <f>-Cockpit!$N$10+U32</f>
        <v>-60423.545239056817</v>
      </c>
      <c r="V33" s="284">
        <f>-Cockpit!$N$10+V32</f>
        <v>-60414.674918594734</v>
      </c>
      <c r="W33" s="284">
        <f>-Cockpit!$N$10+W32</f>
        <v>-60303.172849271839</v>
      </c>
      <c r="X33" s="284">
        <f>-Cockpit!$N$10+X32</f>
        <v>-60086.212189226062</v>
      </c>
      <c r="Y33" s="284">
        <f>-Cockpit!$N$10+Y32</f>
        <v>-59760.892418686155</v>
      </c>
      <c r="Z33" s="284">
        <f>-Cockpit!$N$10+Z32</f>
        <v>-55807.746740886352</v>
      </c>
      <c r="AA33" s="284">
        <f>-Cockpit!$N$10+AA32</f>
        <v>-48447.472695735232</v>
      </c>
      <c r="AB33" s="284">
        <f>-Cockpit!$N$10+AB32</f>
        <v>-40873.314898785291</v>
      </c>
      <c r="AC33" s="284">
        <f>-Cockpit!$N$10+AC32</f>
        <v>-33078.687289273672</v>
      </c>
      <c r="AD33" s="284">
        <f>-Cockpit!$N$10+AD32</f>
        <v>-25056.802833650458</v>
      </c>
      <c r="AE33" s="284">
        <f>-Cockpit!$N$10+AE32</f>
        <v>-16800.667428575784</v>
      </c>
      <c r="AF33" s="284">
        <f>-Cockpit!$N$10+AF32</f>
        <v>-8303.073619650444</v>
      </c>
      <c r="AG33" s="284">
        <f>-Cockpit!$N$10+AG32</f>
        <v>443.4058696750435</v>
      </c>
      <c r="AH33" s="284">
        <f>-Cockpit!$N$10+AH32</f>
        <v>9446.4248047353321</v>
      </c>
      <c r="AI33" s="284">
        <f>-Cockpit!$N$10+AI32</f>
        <v>18713.87030772357</v>
      </c>
      <c r="AJ33" s="284">
        <f>-Cockpit!$N$10+AJ32</f>
        <v>28253.869933275128</v>
      </c>
      <c r="AK33" s="284">
        <f>-Cockpit!$N$10+AK32</f>
        <v>38074.798957816354</v>
      </c>
      <c r="AL33" s="284">
        <f>-Cockpit!$N$10+AL32</f>
        <v>48185.28788912142</v>
      </c>
      <c r="AM33" s="284">
        <f>-Cockpit!$N$10+AM32</f>
        <v>58594.230202713792</v>
      </c>
      <c r="AN33" s="284">
        <f>-Cockpit!$N$10+AN32</f>
        <v>69310.790311949051</v>
      </c>
      <c r="AO33" s="284">
        <f>-Cockpit!$N$10+AO32</f>
        <v>80344.411778821173</v>
      </c>
      <c r="AP33" s="284">
        <f>-Cockpit!$N$10+AP32</f>
        <v>91704.825772746466</v>
      </c>
      <c r="AQ33" s="284">
        <f>-Cockpit!$N$10+AQ32</f>
        <v>103402.05978479749</v>
      </c>
      <c r="AR33" s="284">
        <f>-Cockpit!$N$10+AR32</f>
        <v>115446.44660508414</v>
      </c>
      <c r="AS33" s="284">
        <f>-Cockpit!$N$10+AS32</f>
        <v>127848.63357121099</v>
      </c>
      <c r="AT33" s="284">
        <f>-Cockpit!$N$10+AT32</f>
        <v>140619.59209597786</v>
      </c>
      <c r="AU33" s="284">
        <f>-Cockpit!$N$10+AU32</f>
        <v>153770.62748273709</v>
      </c>
      <c r="AV33" s="284">
        <f>-Cockpit!$N$10+AV32</f>
        <v>167313.38903707344</v>
      </c>
      <c r="AW33" s="284">
        <f>-Cockpit!$N$10+AW32</f>
        <v>181259.88048373372</v>
      </c>
      <c r="AX33" s="284">
        <f>-Cockpit!$N$10+AX32</f>
        <v>195622.4706980015</v>
      </c>
      <c r="AY33" s="284">
        <f>-Cockpit!$N$10+AY32</f>
        <v>210413.90476098916</v>
      </c>
      <c r="AZ33" s="284">
        <f>-Cockpit!$N$10+AZ32</f>
        <v>225647.31534860417</v>
      </c>
      <c r="BA33" s="285">
        <f>-Cockpit!$N$10+BA32</f>
        <v>241336.23446424009</v>
      </c>
    </row>
    <row r="34" spans="1:53" ht="30.75" customHeight="1" thickBot="1"/>
    <row r="35" spans="1:53" ht="18" thickBot="1">
      <c r="B35" s="273" t="s">
        <v>273</v>
      </c>
    </row>
    <row r="36" spans="1:53" ht="15.75" thickBot="1">
      <c r="B36" s="276"/>
      <c r="C36" s="277"/>
      <c r="D36" s="278">
        <f t="shared" ref="D36:AI36" si="20">D7</f>
        <v>2024</v>
      </c>
      <c r="E36" s="279">
        <f t="shared" si="20"/>
        <v>2025</v>
      </c>
      <c r="F36" s="279">
        <f t="shared" si="20"/>
        <v>2026</v>
      </c>
      <c r="G36" s="279">
        <f t="shared" si="20"/>
        <v>2027</v>
      </c>
      <c r="H36" s="279">
        <f t="shared" si="20"/>
        <v>2028</v>
      </c>
      <c r="I36" s="279">
        <f t="shared" si="20"/>
        <v>2029</v>
      </c>
      <c r="J36" s="279">
        <f t="shared" si="20"/>
        <v>2030</v>
      </c>
      <c r="K36" s="279">
        <f t="shared" si="20"/>
        <v>2031</v>
      </c>
      <c r="L36" s="279">
        <f t="shared" si="20"/>
        <v>2032</v>
      </c>
      <c r="M36" s="279">
        <f t="shared" si="20"/>
        <v>2033</v>
      </c>
      <c r="N36" s="279">
        <f t="shared" si="20"/>
        <v>2034</v>
      </c>
      <c r="O36" s="279">
        <f t="shared" si="20"/>
        <v>2035</v>
      </c>
      <c r="P36" s="279">
        <f t="shared" si="20"/>
        <v>2036</v>
      </c>
      <c r="Q36" s="279">
        <f t="shared" si="20"/>
        <v>2037</v>
      </c>
      <c r="R36" s="279">
        <f t="shared" si="20"/>
        <v>2038</v>
      </c>
      <c r="S36" s="279">
        <f t="shared" si="20"/>
        <v>2039</v>
      </c>
      <c r="T36" s="279">
        <f t="shared" si="20"/>
        <v>2040</v>
      </c>
      <c r="U36" s="279">
        <f t="shared" si="20"/>
        <v>2041</v>
      </c>
      <c r="V36" s="279">
        <f t="shared" si="20"/>
        <v>2042</v>
      </c>
      <c r="W36" s="279">
        <f t="shared" si="20"/>
        <v>2043</v>
      </c>
      <c r="X36" s="279">
        <f t="shared" si="20"/>
        <v>2044</v>
      </c>
      <c r="Y36" s="279">
        <f t="shared" si="20"/>
        <v>2045</v>
      </c>
      <c r="Z36" s="279">
        <f t="shared" si="20"/>
        <v>2046</v>
      </c>
      <c r="AA36" s="279">
        <f t="shared" si="20"/>
        <v>2047</v>
      </c>
      <c r="AB36" s="279">
        <f t="shared" si="20"/>
        <v>2048</v>
      </c>
      <c r="AC36" s="279">
        <f t="shared" si="20"/>
        <v>2049</v>
      </c>
      <c r="AD36" s="279">
        <f t="shared" si="20"/>
        <v>2050</v>
      </c>
      <c r="AE36" s="279">
        <f t="shared" si="20"/>
        <v>2051</v>
      </c>
      <c r="AF36" s="279">
        <f t="shared" si="20"/>
        <v>2052</v>
      </c>
      <c r="AG36" s="279">
        <f t="shared" si="20"/>
        <v>2053</v>
      </c>
      <c r="AH36" s="279">
        <f t="shared" si="20"/>
        <v>2054</v>
      </c>
      <c r="AI36" s="279">
        <f t="shared" si="20"/>
        <v>2055</v>
      </c>
      <c r="AJ36" s="279">
        <f t="shared" ref="AJ36:BA36" si="21">AJ7</f>
        <v>2056</v>
      </c>
      <c r="AK36" s="279">
        <f t="shared" si="21"/>
        <v>2057</v>
      </c>
      <c r="AL36" s="279">
        <f t="shared" si="21"/>
        <v>2058</v>
      </c>
      <c r="AM36" s="279">
        <f t="shared" si="21"/>
        <v>2059</v>
      </c>
      <c r="AN36" s="279">
        <f t="shared" si="21"/>
        <v>2060</v>
      </c>
      <c r="AO36" s="279">
        <f t="shared" si="21"/>
        <v>2061</v>
      </c>
      <c r="AP36" s="279">
        <f t="shared" si="21"/>
        <v>2062</v>
      </c>
      <c r="AQ36" s="279">
        <f t="shared" si="21"/>
        <v>2063</v>
      </c>
      <c r="AR36" s="279">
        <f t="shared" si="21"/>
        <v>2064</v>
      </c>
      <c r="AS36" s="279">
        <f t="shared" si="21"/>
        <v>2065</v>
      </c>
      <c r="AT36" s="279">
        <f t="shared" si="21"/>
        <v>2066</v>
      </c>
      <c r="AU36" s="279">
        <f t="shared" si="21"/>
        <v>2067</v>
      </c>
      <c r="AV36" s="279">
        <f t="shared" si="21"/>
        <v>2068</v>
      </c>
      <c r="AW36" s="279">
        <f t="shared" si="21"/>
        <v>2069</v>
      </c>
      <c r="AX36" s="279">
        <f t="shared" si="21"/>
        <v>2070</v>
      </c>
      <c r="AY36" s="279">
        <f t="shared" si="21"/>
        <v>2071</v>
      </c>
      <c r="AZ36" s="279">
        <f t="shared" si="21"/>
        <v>2072</v>
      </c>
      <c r="BA36" s="280">
        <f t="shared" si="21"/>
        <v>2073</v>
      </c>
    </row>
    <row r="37" spans="1:53">
      <c r="B37" s="485" t="s">
        <v>478</v>
      </c>
      <c r="C37" s="486"/>
      <c r="D37" s="281">
        <f t="shared" ref="D37:AI37" si="22">D14</f>
        <v>630</v>
      </c>
      <c r="E37" s="281">
        <f t="shared" si="22"/>
        <v>648.30000000000007</v>
      </c>
      <c r="F37" s="281">
        <f t="shared" si="22"/>
        <v>667.13700000000006</v>
      </c>
      <c r="G37" s="281">
        <f t="shared" si="22"/>
        <v>686.52687000000014</v>
      </c>
      <c r="H37" s="281">
        <f t="shared" si="22"/>
        <v>706.48595130000012</v>
      </c>
      <c r="I37" s="281">
        <f t="shared" si="22"/>
        <v>727.03107054300017</v>
      </c>
      <c r="J37" s="281">
        <f t="shared" si="22"/>
        <v>748.17955417737016</v>
      </c>
      <c r="K37" s="281">
        <f t="shared" si="22"/>
        <v>769.94924335113285</v>
      </c>
      <c r="L37" s="281">
        <f t="shared" si="22"/>
        <v>792.35850925107741</v>
      </c>
      <c r="M37" s="281">
        <f t="shared" si="22"/>
        <v>815.42626890000838</v>
      </c>
      <c r="N37" s="281">
        <f t="shared" si="22"/>
        <v>839.17200142583533</v>
      </c>
      <c r="O37" s="281">
        <f t="shared" si="22"/>
        <v>863.61576481661348</v>
      </c>
      <c r="P37" s="281">
        <f t="shared" si="22"/>
        <v>888.77821317607516</v>
      </c>
      <c r="Q37" s="281">
        <f t="shared" si="22"/>
        <v>914.68061449461993</v>
      </c>
      <c r="R37" s="281">
        <f t="shared" si="22"/>
        <v>941.3448689511863</v>
      </c>
      <c r="S37" s="281">
        <f t="shared" si="22"/>
        <v>968.79352776188409</v>
      </c>
      <c r="T37" s="281">
        <f t="shared" si="22"/>
        <v>997.04981259174622</v>
      </c>
      <c r="U37" s="281">
        <f t="shared" si="22"/>
        <v>1026.1376355464442</v>
      </c>
      <c r="V37" s="281">
        <f t="shared" si="22"/>
        <v>1056.0816197613221</v>
      </c>
      <c r="W37" s="281">
        <f t="shared" si="22"/>
        <v>1086.907120605616</v>
      </c>
      <c r="X37" s="281">
        <f t="shared" si="22"/>
        <v>1118.6402475202681</v>
      </c>
      <c r="Y37" s="281">
        <f t="shared" si="22"/>
        <v>1151.3078865082891</v>
      </c>
      <c r="Z37" s="281">
        <f t="shared" si="22"/>
        <v>1184.937723297199</v>
      </c>
      <c r="AA37" s="281">
        <f t="shared" si="22"/>
        <v>1219.5582671936497</v>
      </c>
      <c r="AB37" s="281">
        <f t="shared" si="22"/>
        <v>1255.1988756509443</v>
      </c>
      <c r="AC37" s="281">
        <f t="shared" si="22"/>
        <v>1291.8897795707874</v>
      </c>
      <c r="AD37" s="281">
        <f t="shared" si="22"/>
        <v>1329.6621093612321</v>
      </c>
      <c r="AE37" s="281">
        <f t="shared" si="22"/>
        <v>1368.5479217734567</v>
      </c>
      <c r="AF37" s="281">
        <f t="shared" si="22"/>
        <v>1408.5802275406757</v>
      </c>
      <c r="AG37" s="281">
        <f t="shared" si="22"/>
        <v>1449.7930198431916</v>
      </c>
      <c r="AH37" s="281">
        <f t="shared" si="22"/>
        <v>1492.2213036243088</v>
      </c>
      <c r="AI37" s="281">
        <f t="shared" si="22"/>
        <v>1535.9011257825762</v>
      </c>
      <c r="AJ37" s="281">
        <f t="shared" ref="AJ37:BA37" si="23">AJ14</f>
        <v>1580.8696062665822</v>
      </c>
      <c r="AK37" s="281">
        <f t="shared" si="23"/>
        <v>1627.1649700993189</v>
      </c>
      <c r="AL37" s="281">
        <f t="shared" si="23"/>
        <v>1674.8265803599327</v>
      </c>
      <c r="AM37" s="281">
        <f t="shared" si="23"/>
        <v>1723.8949721515173</v>
      </c>
      <c r="AN37" s="281">
        <f t="shared" si="23"/>
        <v>1774.4118875844656</v>
      </c>
      <c r="AO37" s="281">
        <f t="shared" si="23"/>
        <v>1826.4203118057703</v>
      </c>
      <c r="AP37" s="281">
        <f t="shared" si="23"/>
        <v>1879.9645101055896</v>
      </c>
      <c r="AQ37" s="281">
        <f t="shared" si="23"/>
        <v>1935.0900661333162</v>
      </c>
      <c r="AR37" s="281">
        <f t="shared" si="23"/>
        <v>1991.843921256366</v>
      </c>
      <c r="AS37" s="281">
        <f t="shared" si="23"/>
        <v>2050.2744150958879</v>
      </c>
      <c r="AT37" s="281">
        <f t="shared" si="23"/>
        <v>2110.4313272746322</v>
      </c>
      <c r="AU37" s="281">
        <f t="shared" si="23"/>
        <v>2172.3659204132564</v>
      </c>
      <c r="AV37" s="281">
        <f t="shared" si="23"/>
        <v>2236.1309844124471</v>
      </c>
      <c r="AW37" s="281">
        <f t="shared" si="23"/>
        <v>2301.7808820593491</v>
      </c>
      <c r="AX37" s="281">
        <f t="shared" si="23"/>
        <v>2369.371595997949</v>
      </c>
      <c r="AY37" s="281">
        <f t="shared" si="23"/>
        <v>2438.9607771042429</v>
      </c>
      <c r="AZ37" s="281">
        <f t="shared" si="23"/>
        <v>2510.6077943082532</v>
      </c>
      <c r="BA37" s="282">
        <f t="shared" si="23"/>
        <v>2584.3737859062007</v>
      </c>
    </row>
    <row r="38" spans="1:53">
      <c r="B38" s="479" t="s">
        <v>254</v>
      </c>
      <c r="C38" s="480"/>
      <c r="D38" s="10">
        <f t="shared" ref="D38:AI38" si="24">D23-D21-D22</f>
        <v>-90</v>
      </c>
      <c r="E38" s="10">
        <f t="shared" si="24"/>
        <v>-91.8</v>
      </c>
      <c r="F38" s="10">
        <f t="shared" si="24"/>
        <v>-93.635999999999996</v>
      </c>
      <c r="G38" s="10">
        <f t="shared" si="24"/>
        <v>-95.508719999999983</v>
      </c>
      <c r="H38" s="10">
        <f t="shared" si="24"/>
        <v>-97.418894399999999</v>
      </c>
      <c r="I38" s="10">
        <f t="shared" si="24"/>
        <v>-99.367272287999981</v>
      </c>
      <c r="J38" s="10">
        <f t="shared" si="24"/>
        <v>-101.35461773375999</v>
      </c>
      <c r="K38" s="10">
        <f t="shared" si="24"/>
        <v>-103.38171008843521</v>
      </c>
      <c r="L38" s="10">
        <f t="shared" si="24"/>
        <v>-105.44934429020392</v>
      </c>
      <c r="M38" s="10">
        <f t="shared" si="24"/>
        <v>-107.55833117600798</v>
      </c>
      <c r="N38" s="10">
        <f t="shared" si="24"/>
        <v>-109.70949779952817</v>
      </c>
      <c r="O38" s="10">
        <f t="shared" si="24"/>
        <v>-111.90368775551873</v>
      </c>
      <c r="P38" s="10">
        <f t="shared" si="24"/>
        <v>-114.1417615106291</v>
      </c>
      <c r="Q38" s="10">
        <f t="shared" si="24"/>
        <v>-116.42459674084171</v>
      </c>
      <c r="R38" s="10">
        <f t="shared" si="24"/>
        <v>-118.75308867565855</v>
      </c>
      <c r="S38" s="10">
        <f t="shared" si="24"/>
        <v>-121.12815044917171</v>
      </c>
      <c r="T38" s="10">
        <f t="shared" si="24"/>
        <v>-123.5507134581551</v>
      </c>
      <c r="U38" s="10">
        <f t="shared" si="24"/>
        <v>-126.02172772731822</v>
      </c>
      <c r="V38" s="10">
        <f t="shared" si="24"/>
        <v>-128.54216228186459</v>
      </c>
      <c r="W38" s="10">
        <f t="shared" si="24"/>
        <v>-131.11300552750188</v>
      </c>
      <c r="X38" s="10">
        <f t="shared" si="24"/>
        <v>-133.73526563805191</v>
      </c>
      <c r="Y38" s="10">
        <f t="shared" si="24"/>
        <v>-136.40997095081298</v>
      </c>
      <c r="Z38" s="10">
        <f t="shared" si="24"/>
        <v>-139.13817036982917</v>
      </c>
      <c r="AA38" s="10">
        <f t="shared" si="24"/>
        <v>-141.92093377722577</v>
      </c>
      <c r="AB38" s="10">
        <f t="shared" si="24"/>
        <v>-144.75935245277032</v>
      </c>
      <c r="AC38" s="10">
        <f t="shared" si="24"/>
        <v>-147.6545395018257</v>
      </c>
      <c r="AD38" s="10">
        <f t="shared" si="24"/>
        <v>-150.60763029186222</v>
      </c>
      <c r="AE38" s="10">
        <f t="shared" si="24"/>
        <v>-153.61978289769951</v>
      </c>
      <c r="AF38" s="10">
        <f t="shared" si="24"/>
        <v>-156.69217855565347</v>
      </c>
      <c r="AG38" s="10">
        <f t="shared" si="24"/>
        <v>-159.82602212676653</v>
      </c>
      <c r="AH38" s="10">
        <f t="shared" si="24"/>
        <v>-163.02254256930186</v>
      </c>
      <c r="AI38" s="10">
        <f t="shared" si="24"/>
        <v>-166.28299342068794</v>
      </c>
      <c r="AJ38" s="10">
        <f t="shared" ref="AJ38:BA38" si="25">AJ23-AJ21-AJ22</f>
        <v>-169.60865328910168</v>
      </c>
      <c r="AK38" s="10">
        <f t="shared" si="25"/>
        <v>-173.00082635488369</v>
      </c>
      <c r="AL38" s="10">
        <f t="shared" si="25"/>
        <v>-176.46084288198139</v>
      </c>
      <c r="AM38" s="10">
        <f t="shared" si="25"/>
        <v>-179.99005973962099</v>
      </c>
      <c r="AN38" s="10">
        <f t="shared" si="25"/>
        <v>-183.58986093441348</v>
      </c>
      <c r="AO38" s="10">
        <f t="shared" si="25"/>
        <v>-187.26165815310173</v>
      </c>
      <c r="AP38" s="10">
        <f t="shared" si="25"/>
        <v>-191.0068913161638</v>
      </c>
      <c r="AQ38" s="10">
        <f t="shared" si="25"/>
        <v>-194.82702914248705</v>
      </c>
      <c r="AR38" s="10">
        <f t="shared" si="25"/>
        <v>-198.72356972533677</v>
      </c>
      <c r="AS38" s="10">
        <f t="shared" si="25"/>
        <v>-202.69804111984357</v>
      </c>
      <c r="AT38" s="10">
        <f t="shared" si="25"/>
        <v>-206.75200194224035</v>
      </c>
      <c r="AU38" s="10">
        <f t="shared" si="25"/>
        <v>-210.88704198108525</v>
      </c>
      <c r="AV38" s="10">
        <f t="shared" si="25"/>
        <v>-215.10478282070693</v>
      </c>
      <c r="AW38" s="10">
        <f t="shared" si="25"/>
        <v>-219.40687847712104</v>
      </c>
      <c r="AX38" s="10">
        <f t="shared" si="25"/>
        <v>-223.79501604666356</v>
      </c>
      <c r="AY38" s="10">
        <f t="shared" si="25"/>
        <v>-228.27091636759678</v>
      </c>
      <c r="AZ38" s="10">
        <f t="shared" si="25"/>
        <v>-232.83633469494876</v>
      </c>
      <c r="BA38" s="283">
        <f t="shared" si="25"/>
        <v>-237.49306138884765</v>
      </c>
    </row>
    <row r="39" spans="1:53">
      <c r="B39" s="479" t="s">
        <v>31</v>
      </c>
      <c r="C39" s="480"/>
      <c r="D39" s="10">
        <f>-'Wert, AfA, Darlehen'!D110/12</f>
        <v>-303.33333333333337</v>
      </c>
      <c r="E39" s="10">
        <f>-'Wert, AfA, Darlehen'!E110/12</f>
        <v>-294.23333333333335</v>
      </c>
      <c r="F39" s="10">
        <f>-'Wert, AfA, Darlehen'!F110/12</f>
        <v>-284.81483333333335</v>
      </c>
      <c r="G39" s="10">
        <f>-'Wert, AfA, Darlehen'!G110/12</f>
        <v>-275.06668583333339</v>
      </c>
      <c r="H39" s="10">
        <f>-'Wert, AfA, Darlehen'!H110/12</f>
        <v>-264.9773531708334</v>
      </c>
      <c r="I39" s="10">
        <f>-'Wert, AfA, Darlehen'!I110/12</f>
        <v>-254.53489386514585</v>
      </c>
      <c r="J39" s="10">
        <f>-'Wert, AfA, Darlehen'!J110/12</f>
        <v>-243.72694848375929</v>
      </c>
      <c r="K39" s="10">
        <f>-'Wert, AfA, Darlehen'!K110/12</f>
        <v>-232.54072501402422</v>
      </c>
      <c r="L39" s="10">
        <f>-'Wert, AfA, Darlehen'!L110/12</f>
        <v>-220.96298372284841</v>
      </c>
      <c r="M39" s="10">
        <f>-'Wert, AfA, Darlehen'!M110/12</f>
        <v>-208.98002148648141</v>
      </c>
      <c r="N39" s="10">
        <f>-'Wert, AfA, Darlehen'!N110/12</f>
        <v>-196.57765557184163</v>
      </c>
      <c r="O39" s="10">
        <f>-'Wert, AfA, Darlehen'!O110/12</f>
        <v>-183.7412068501894</v>
      </c>
      <c r="P39" s="10">
        <f>-'Wert, AfA, Darlehen'!P110/12</f>
        <v>-170.45548242327936</v>
      </c>
      <c r="Q39" s="10">
        <f>-'Wert, AfA, Darlehen'!Q110/12</f>
        <v>-156.70475764142748</v>
      </c>
      <c r="R39" s="10">
        <f>-'Wert, AfA, Darlehen'!R110/12</f>
        <v>-142.47275749221077</v>
      </c>
      <c r="S39" s="10">
        <f>-'Wert, AfA, Darlehen'!S110/12</f>
        <v>-127.74263733777148</v>
      </c>
      <c r="T39" s="10">
        <f>-'Wert, AfA, Darlehen'!T110/12</f>
        <v>-112.49696297792683</v>
      </c>
      <c r="U39" s="10">
        <f>-'Wert, AfA, Darlehen'!U110/12</f>
        <v>-96.717690015487577</v>
      </c>
      <c r="V39" s="10">
        <f>-'Wert, AfA, Darlehen'!V110/12</f>
        <v>-80.386142499362975</v>
      </c>
      <c r="W39" s="10">
        <f>-'Wert, AfA, Darlehen'!W110/12</f>
        <v>-63.482990820174017</v>
      </c>
      <c r="X39" s="10">
        <f>-'Wert, AfA, Darlehen'!X110/12</f>
        <v>-45.988228832213444</v>
      </c>
      <c r="Y39" s="10">
        <f>-'Wert, AfA, Darlehen'!Y110/12</f>
        <v>-27.881150174674243</v>
      </c>
      <c r="Z39" s="10">
        <f>-'Wert, AfA, Darlehen'!Z110/12</f>
        <v>-9.1403237641211685</v>
      </c>
      <c r="AA39" s="10">
        <f>-'Wert, AfA, Darlehen'!AA110/12</f>
        <v>0</v>
      </c>
      <c r="AB39" s="10">
        <f>-'Wert, AfA, Darlehen'!AB110/12</f>
        <v>0</v>
      </c>
      <c r="AC39" s="10">
        <f>-'Wert, AfA, Darlehen'!AC110/12</f>
        <v>0</v>
      </c>
      <c r="AD39" s="10">
        <f>-'Wert, AfA, Darlehen'!AD110/12</f>
        <v>0</v>
      </c>
      <c r="AE39" s="10">
        <f>-'Wert, AfA, Darlehen'!AE110/12</f>
        <v>0</v>
      </c>
      <c r="AF39" s="10">
        <f>-'Wert, AfA, Darlehen'!AF110/12</f>
        <v>0</v>
      </c>
      <c r="AG39" s="10">
        <f>-'Wert, AfA, Darlehen'!AG110/12</f>
        <v>0</v>
      </c>
      <c r="AH39" s="10">
        <f>-'Wert, AfA, Darlehen'!AH110/12</f>
        <v>0</v>
      </c>
      <c r="AI39" s="10">
        <f>-'Wert, AfA, Darlehen'!AI110/12</f>
        <v>0</v>
      </c>
      <c r="AJ39" s="10">
        <f>-'Wert, AfA, Darlehen'!AJ110/12</f>
        <v>0</v>
      </c>
      <c r="AK39" s="10">
        <f>-'Wert, AfA, Darlehen'!AK110/12</f>
        <v>0</v>
      </c>
      <c r="AL39" s="10">
        <f>-'Wert, AfA, Darlehen'!AL110/12</f>
        <v>0</v>
      </c>
      <c r="AM39" s="10">
        <f>-'Wert, AfA, Darlehen'!AM110/12</f>
        <v>0</v>
      </c>
      <c r="AN39" s="10">
        <f>-'Wert, AfA, Darlehen'!AN110/12</f>
        <v>0</v>
      </c>
      <c r="AO39" s="10">
        <f>-'Wert, AfA, Darlehen'!AO110/12</f>
        <v>0</v>
      </c>
      <c r="AP39" s="10">
        <f>-'Wert, AfA, Darlehen'!AP110/12</f>
        <v>0</v>
      </c>
      <c r="AQ39" s="10">
        <f>-'Wert, AfA, Darlehen'!AQ110/12</f>
        <v>0</v>
      </c>
      <c r="AR39" s="10">
        <f>-'Wert, AfA, Darlehen'!AR110/12</f>
        <v>0</v>
      </c>
      <c r="AS39" s="10">
        <f>-'Wert, AfA, Darlehen'!AS110/12</f>
        <v>0</v>
      </c>
      <c r="AT39" s="10">
        <f>-'Wert, AfA, Darlehen'!AT110/12</f>
        <v>0</v>
      </c>
      <c r="AU39" s="10">
        <f>-'Wert, AfA, Darlehen'!AU110/12</f>
        <v>0</v>
      </c>
      <c r="AV39" s="10">
        <f>-'Wert, AfA, Darlehen'!AV110/12</f>
        <v>0</v>
      </c>
      <c r="AW39" s="10">
        <f>-'Wert, AfA, Darlehen'!AW110/12</f>
        <v>0</v>
      </c>
      <c r="AX39" s="10">
        <f>-'Wert, AfA, Darlehen'!AX110/12</f>
        <v>0</v>
      </c>
      <c r="AY39" s="10">
        <f>-'Wert, AfA, Darlehen'!AY110/12</f>
        <v>0</v>
      </c>
      <c r="AZ39" s="10">
        <f>-'Wert, AfA, Darlehen'!AZ110/12</f>
        <v>0</v>
      </c>
      <c r="BA39" s="283">
        <f>-'Wert, AfA, Darlehen'!BA110/12</f>
        <v>0</v>
      </c>
    </row>
    <row r="40" spans="1:53">
      <c r="B40" s="479" t="s">
        <v>36</v>
      </c>
      <c r="C40" s="480"/>
      <c r="D40" s="10">
        <f>-'Wert, AfA, Darlehen'!D19-'Wert, AfA, Darlehen'!D24-IF(Cockpit!E32="Abziehen",'Wert, AfA, Darlehen'!D34,'Wert, AfA, Darlehen'!D34-'Wert, AfA, Darlehen'!D28/12)</f>
        <v>-162.51305555555555</v>
      </c>
      <c r="E40" s="10">
        <f>-'Wert, AfA, Darlehen'!E19-'Wert, AfA, Darlehen'!E24-'Wert, AfA, Darlehen'!E34</f>
        <v>-162.51305555555555</v>
      </c>
      <c r="F40" s="10">
        <f>-'Wert, AfA, Darlehen'!F19-'Wert, AfA, Darlehen'!F24-'Wert, AfA, Darlehen'!F34</f>
        <v>-162.51305555555555</v>
      </c>
      <c r="G40" s="10">
        <f>-'Wert, AfA, Darlehen'!G19-'Wert, AfA, Darlehen'!G24-'Wert, AfA, Darlehen'!G34</f>
        <v>-162.51305555555555</v>
      </c>
      <c r="H40" s="10">
        <f>-'Wert, AfA, Darlehen'!H19-'Wert, AfA, Darlehen'!H24-'Wert, AfA, Darlehen'!H34</f>
        <v>-162.51305555555555</v>
      </c>
      <c r="I40" s="10">
        <f>-'Wert, AfA, Darlehen'!I19-'Wert, AfA, Darlehen'!I24-'Wert, AfA, Darlehen'!I34</f>
        <v>-162.51305555555555</v>
      </c>
      <c r="J40" s="10">
        <f>-'Wert, AfA, Darlehen'!J19-'Wert, AfA, Darlehen'!J24-'Wert, AfA, Darlehen'!J34</f>
        <v>-162.51305555555555</v>
      </c>
      <c r="K40" s="10">
        <f>-'Wert, AfA, Darlehen'!K19-'Wert, AfA, Darlehen'!K24-'Wert, AfA, Darlehen'!K34</f>
        <v>-162.51305555555555</v>
      </c>
      <c r="L40" s="10">
        <f>-'Wert, AfA, Darlehen'!L19-'Wert, AfA, Darlehen'!L24-'Wert, AfA, Darlehen'!L34</f>
        <v>-162.51305555555555</v>
      </c>
      <c r="M40" s="10">
        <f>-'Wert, AfA, Darlehen'!M19-'Wert, AfA, Darlehen'!M24-'Wert, AfA, Darlehen'!M34</f>
        <v>-162.51305555555555</v>
      </c>
      <c r="N40" s="10">
        <f>-'Wert, AfA, Darlehen'!N19-'Wert, AfA, Darlehen'!N24-'Wert, AfA, Darlehen'!N34</f>
        <v>-162.51305555555555</v>
      </c>
      <c r="O40" s="10">
        <f>-'Wert, AfA, Darlehen'!O19-'Wert, AfA, Darlehen'!O24-'Wert, AfA, Darlehen'!O34</f>
        <v>-162.51305555555555</v>
      </c>
      <c r="P40" s="10">
        <f>-'Wert, AfA, Darlehen'!P19-'Wert, AfA, Darlehen'!P24-'Wert, AfA, Darlehen'!P34</f>
        <v>-162.51305555555555</v>
      </c>
      <c r="Q40" s="10">
        <f>-'Wert, AfA, Darlehen'!Q19-'Wert, AfA, Darlehen'!Q24-'Wert, AfA, Darlehen'!Q34</f>
        <v>-162.51305555555555</v>
      </c>
      <c r="R40" s="10">
        <f>-'Wert, AfA, Darlehen'!R19-'Wert, AfA, Darlehen'!R24-'Wert, AfA, Darlehen'!R34</f>
        <v>-162.51305555555555</v>
      </c>
      <c r="S40" s="10">
        <f>-'Wert, AfA, Darlehen'!S19-'Wert, AfA, Darlehen'!S24-'Wert, AfA, Darlehen'!S34</f>
        <v>-106.9575</v>
      </c>
      <c r="T40" s="10">
        <f>-'Wert, AfA, Darlehen'!T19-'Wert, AfA, Darlehen'!T24-'Wert, AfA, Darlehen'!T34</f>
        <v>-106.9575</v>
      </c>
      <c r="U40" s="10">
        <f>-'Wert, AfA, Darlehen'!U19-'Wert, AfA, Darlehen'!U24-'Wert, AfA, Darlehen'!U34</f>
        <v>-106.9575</v>
      </c>
      <c r="V40" s="10">
        <f>-'Wert, AfA, Darlehen'!V19-'Wert, AfA, Darlehen'!V24-'Wert, AfA, Darlehen'!V34</f>
        <v>-106.9575</v>
      </c>
      <c r="W40" s="10">
        <f>-'Wert, AfA, Darlehen'!W19-'Wert, AfA, Darlehen'!W24-'Wert, AfA, Darlehen'!W34</f>
        <v>-106.9575</v>
      </c>
      <c r="X40" s="10">
        <f>-'Wert, AfA, Darlehen'!X19-'Wert, AfA, Darlehen'!X24-'Wert, AfA, Darlehen'!X34</f>
        <v>-106.9575</v>
      </c>
      <c r="Y40" s="10">
        <f>-'Wert, AfA, Darlehen'!Y19-'Wert, AfA, Darlehen'!Y24-'Wert, AfA, Darlehen'!Y34</f>
        <v>-106.9575</v>
      </c>
      <c r="Z40" s="10">
        <f>-'Wert, AfA, Darlehen'!Z19-'Wert, AfA, Darlehen'!Z24-'Wert, AfA, Darlehen'!Z34</f>
        <v>-106.9575</v>
      </c>
      <c r="AA40" s="10">
        <f>-'Wert, AfA, Darlehen'!AA19-'Wert, AfA, Darlehen'!AA24-'Wert, AfA, Darlehen'!AA34</f>
        <v>-106.9575</v>
      </c>
      <c r="AB40" s="10">
        <f>-'Wert, AfA, Darlehen'!AB19-'Wert, AfA, Darlehen'!AB24-'Wert, AfA, Darlehen'!AB34</f>
        <v>-106.9575</v>
      </c>
      <c r="AC40" s="10">
        <f>-'Wert, AfA, Darlehen'!AC19-'Wert, AfA, Darlehen'!AC24-'Wert, AfA, Darlehen'!AC34</f>
        <v>-106.9575</v>
      </c>
      <c r="AD40" s="10">
        <f>-'Wert, AfA, Darlehen'!AD19-'Wert, AfA, Darlehen'!AD24-'Wert, AfA, Darlehen'!AD34</f>
        <v>-106.9575</v>
      </c>
      <c r="AE40" s="10">
        <f>-'Wert, AfA, Darlehen'!AE19-'Wert, AfA, Darlehen'!AE24-'Wert, AfA, Darlehen'!AE34</f>
        <v>-106.9575</v>
      </c>
      <c r="AF40" s="10">
        <f>-'Wert, AfA, Darlehen'!AF19-'Wert, AfA, Darlehen'!AF24-'Wert, AfA, Darlehen'!AF34</f>
        <v>-106.9575</v>
      </c>
      <c r="AG40" s="10">
        <f>-'Wert, AfA, Darlehen'!AG19-'Wert, AfA, Darlehen'!AG24-'Wert, AfA, Darlehen'!AG34</f>
        <v>-106.9575</v>
      </c>
      <c r="AH40" s="10">
        <f>-'Wert, AfA, Darlehen'!AH19-'Wert, AfA, Darlehen'!AH24-'Wert, AfA, Darlehen'!AH34</f>
        <v>-106.9575</v>
      </c>
      <c r="AI40" s="10">
        <f>-'Wert, AfA, Darlehen'!AI19-'Wert, AfA, Darlehen'!AI24-'Wert, AfA, Darlehen'!AI34</f>
        <v>-106.9575</v>
      </c>
      <c r="AJ40" s="10">
        <f>-'Wert, AfA, Darlehen'!AJ19-'Wert, AfA, Darlehen'!AJ24-'Wert, AfA, Darlehen'!AJ34</f>
        <v>-106.9575</v>
      </c>
      <c r="AK40" s="10">
        <f>-'Wert, AfA, Darlehen'!AK19-'Wert, AfA, Darlehen'!AK24-'Wert, AfA, Darlehen'!AK34</f>
        <v>-106.9575</v>
      </c>
      <c r="AL40" s="10">
        <f>-'Wert, AfA, Darlehen'!AL19-'Wert, AfA, Darlehen'!AL24-'Wert, AfA, Darlehen'!AL34</f>
        <v>-106.9575</v>
      </c>
      <c r="AM40" s="10">
        <f>-'Wert, AfA, Darlehen'!AM19-'Wert, AfA, Darlehen'!AM24-'Wert, AfA, Darlehen'!AM34</f>
        <v>-106.9575</v>
      </c>
      <c r="AN40" s="10">
        <f>-'Wert, AfA, Darlehen'!AN19-'Wert, AfA, Darlehen'!AN24-'Wert, AfA, Darlehen'!AN34</f>
        <v>-106.9575</v>
      </c>
      <c r="AO40" s="10">
        <f>-'Wert, AfA, Darlehen'!AO19-'Wert, AfA, Darlehen'!AO24-'Wert, AfA, Darlehen'!AO34</f>
        <v>-106.9575</v>
      </c>
      <c r="AP40" s="10">
        <f>-'Wert, AfA, Darlehen'!AP19-'Wert, AfA, Darlehen'!AP24-'Wert, AfA, Darlehen'!AP34</f>
        <v>-106.9575</v>
      </c>
      <c r="AQ40" s="10">
        <f>-'Wert, AfA, Darlehen'!AQ19-'Wert, AfA, Darlehen'!AQ24-'Wert, AfA, Darlehen'!AQ34</f>
        <v>-106.9575</v>
      </c>
      <c r="AR40" s="10">
        <f>-'Wert, AfA, Darlehen'!AR19-'Wert, AfA, Darlehen'!AR24-'Wert, AfA, Darlehen'!AR34</f>
        <v>-106.9575</v>
      </c>
      <c r="AS40" s="10">
        <f>-'Wert, AfA, Darlehen'!AS19-'Wert, AfA, Darlehen'!AS24-'Wert, AfA, Darlehen'!AS34</f>
        <v>-106.9575</v>
      </c>
      <c r="AT40" s="10">
        <f>-'Wert, AfA, Darlehen'!AT19-'Wert, AfA, Darlehen'!AT24-'Wert, AfA, Darlehen'!AT34</f>
        <v>-106.9575</v>
      </c>
      <c r="AU40" s="10">
        <f>-'Wert, AfA, Darlehen'!AU19-'Wert, AfA, Darlehen'!AU24-'Wert, AfA, Darlehen'!AU34</f>
        <v>-106.9575</v>
      </c>
      <c r="AV40" s="10">
        <f>-'Wert, AfA, Darlehen'!AV19-'Wert, AfA, Darlehen'!AV24-'Wert, AfA, Darlehen'!AV34</f>
        <v>-106.9575</v>
      </c>
      <c r="AW40" s="10">
        <f>-'Wert, AfA, Darlehen'!AW19-'Wert, AfA, Darlehen'!AW24-'Wert, AfA, Darlehen'!AW34</f>
        <v>-106.9575</v>
      </c>
      <c r="AX40" s="10">
        <f>-'Wert, AfA, Darlehen'!AX19-'Wert, AfA, Darlehen'!AX24-'Wert, AfA, Darlehen'!AX34</f>
        <v>-106.9575</v>
      </c>
      <c r="AY40" s="10">
        <f>-'Wert, AfA, Darlehen'!AY19-'Wert, AfA, Darlehen'!AY24-'Wert, AfA, Darlehen'!AY34</f>
        <v>-106.9575</v>
      </c>
      <c r="AZ40" s="10">
        <f>-'Wert, AfA, Darlehen'!AZ19-'Wert, AfA, Darlehen'!AZ24-'Wert, AfA, Darlehen'!AZ34</f>
        <v>-106.9575</v>
      </c>
      <c r="BA40" s="283">
        <f>-'Wert, AfA, Darlehen'!BA19-'Wert, AfA, Darlehen'!BA24-'Wert, AfA, Darlehen'!BA34</f>
        <v>-106.9575</v>
      </c>
    </row>
    <row r="41" spans="1:53">
      <c r="B41" s="479" t="s">
        <v>37</v>
      </c>
      <c r="C41" s="480"/>
      <c r="D41" s="10">
        <f t="shared" ref="D41:AI41" si="26">SUM(D37:D40)</f>
        <v>74.153611111111076</v>
      </c>
      <c r="E41" s="10">
        <f t="shared" si="26"/>
        <v>99.753611111111212</v>
      </c>
      <c r="F41" s="10">
        <f t="shared" si="26"/>
        <v>126.17311111111118</v>
      </c>
      <c r="G41" s="10">
        <f t="shared" si="26"/>
        <v>153.43840861111116</v>
      </c>
      <c r="H41" s="10">
        <f t="shared" si="26"/>
        <v>181.57664817361118</v>
      </c>
      <c r="I41" s="10">
        <f t="shared" si="26"/>
        <v>210.61584883429882</v>
      </c>
      <c r="J41" s="10">
        <f t="shared" si="26"/>
        <v>240.58493240429524</v>
      </c>
      <c r="K41" s="10">
        <f t="shared" si="26"/>
        <v>271.51375269311791</v>
      </c>
      <c r="L41" s="10">
        <f t="shared" si="26"/>
        <v>303.43312568246949</v>
      </c>
      <c r="M41" s="10">
        <f t="shared" si="26"/>
        <v>336.37486068196347</v>
      </c>
      <c r="N41" s="10">
        <f t="shared" si="26"/>
        <v>370.37179249890994</v>
      </c>
      <c r="O41" s="10">
        <f t="shared" si="26"/>
        <v>405.45781465534981</v>
      </c>
      <c r="P41" s="10">
        <f t="shared" si="26"/>
        <v>441.6679136866112</v>
      </c>
      <c r="Q41" s="10">
        <f t="shared" si="26"/>
        <v>479.03820455679522</v>
      </c>
      <c r="R41" s="10">
        <f t="shared" si="26"/>
        <v>517.60596722776143</v>
      </c>
      <c r="S41" s="10">
        <f t="shared" si="26"/>
        <v>612.96523997494091</v>
      </c>
      <c r="T41" s="10">
        <f t="shared" si="26"/>
        <v>654.04463615566431</v>
      </c>
      <c r="U41" s="10">
        <f t="shared" si="26"/>
        <v>696.44071780363845</v>
      </c>
      <c r="V41" s="10">
        <f t="shared" si="26"/>
        <v>740.1958149800945</v>
      </c>
      <c r="W41" s="10">
        <f t="shared" si="26"/>
        <v>785.35362425794017</v>
      </c>
      <c r="X41" s="10">
        <f t="shared" si="26"/>
        <v>831.95925305000276</v>
      </c>
      <c r="Y41" s="10">
        <f t="shared" si="26"/>
        <v>880.05926538280198</v>
      </c>
      <c r="Z41" s="10">
        <f t="shared" si="26"/>
        <v>929.70172916324873</v>
      </c>
      <c r="AA41" s="10">
        <f t="shared" si="26"/>
        <v>970.67983341642389</v>
      </c>
      <c r="AB41" s="10">
        <f t="shared" si="26"/>
        <v>1003.4820231981739</v>
      </c>
      <c r="AC41" s="10">
        <f t="shared" si="26"/>
        <v>1037.2777400689617</v>
      </c>
      <c r="AD41" s="10">
        <f t="shared" si="26"/>
        <v>1072.0969790693698</v>
      </c>
      <c r="AE41" s="10">
        <f t="shared" si="26"/>
        <v>1107.9706388757572</v>
      </c>
      <c r="AF41" s="10">
        <f t="shared" si="26"/>
        <v>1144.9305489850221</v>
      </c>
      <c r="AG41" s="10">
        <f t="shared" si="26"/>
        <v>1183.0094977164251</v>
      </c>
      <c r="AH41" s="10">
        <f t="shared" si="26"/>
        <v>1222.241261055007</v>
      </c>
      <c r="AI41" s="10">
        <f t="shared" si="26"/>
        <v>1262.6606323618882</v>
      </c>
      <c r="AJ41" s="10">
        <f t="shared" ref="AJ41:BA41" si="27">SUM(AJ37:AJ40)</f>
        <v>1304.3034529774804</v>
      </c>
      <c r="AK41" s="10">
        <f t="shared" si="27"/>
        <v>1347.2066437444353</v>
      </c>
      <c r="AL41" s="10">
        <f t="shared" si="27"/>
        <v>1391.4082374779514</v>
      </c>
      <c r="AM41" s="10">
        <f t="shared" si="27"/>
        <v>1436.9474124118963</v>
      </c>
      <c r="AN41" s="10">
        <f t="shared" si="27"/>
        <v>1483.8645266500521</v>
      </c>
      <c r="AO41" s="10">
        <f t="shared" si="27"/>
        <v>1532.2011536526686</v>
      </c>
      <c r="AP41" s="10">
        <f t="shared" si="27"/>
        <v>1582.0001187894259</v>
      </c>
      <c r="AQ41" s="10">
        <f t="shared" si="27"/>
        <v>1633.3055369908293</v>
      </c>
      <c r="AR41" s="10">
        <f t="shared" si="27"/>
        <v>1686.1628515310292</v>
      </c>
      <c r="AS41" s="10">
        <f t="shared" si="27"/>
        <v>1740.6188739760444</v>
      </c>
      <c r="AT41" s="10">
        <f t="shared" si="27"/>
        <v>1796.7218253323917</v>
      </c>
      <c r="AU41" s="10">
        <f t="shared" si="27"/>
        <v>1854.5213784321711</v>
      </c>
      <c r="AV41" s="10">
        <f t="shared" si="27"/>
        <v>1914.0687015917401</v>
      </c>
      <c r="AW41" s="10">
        <f t="shared" si="27"/>
        <v>1975.416503582228</v>
      </c>
      <c r="AX41" s="10">
        <f t="shared" si="27"/>
        <v>2038.6190799512856</v>
      </c>
      <c r="AY41" s="10">
        <f t="shared" si="27"/>
        <v>2103.7323607366461</v>
      </c>
      <c r="AZ41" s="10">
        <f t="shared" si="27"/>
        <v>2170.8139596133046</v>
      </c>
      <c r="BA41" s="283">
        <f t="shared" si="27"/>
        <v>2239.923224517353</v>
      </c>
    </row>
    <row r="42" spans="1:53">
      <c r="B42" s="479" t="s">
        <v>294</v>
      </c>
      <c r="C42" s="480"/>
      <c r="D42" s="35">
        <f>Cockpit!Q33</f>
        <v>0.4</v>
      </c>
      <c r="E42" s="289">
        <f t="shared" ref="E42:AJ42" si="28">D42</f>
        <v>0.4</v>
      </c>
      <c r="F42" s="289">
        <f t="shared" si="28"/>
        <v>0.4</v>
      </c>
      <c r="G42" s="289">
        <f t="shared" si="28"/>
        <v>0.4</v>
      </c>
      <c r="H42" s="289">
        <f t="shared" si="28"/>
        <v>0.4</v>
      </c>
      <c r="I42" s="289">
        <f t="shared" si="28"/>
        <v>0.4</v>
      </c>
      <c r="J42" s="289">
        <f t="shared" si="28"/>
        <v>0.4</v>
      </c>
      <c r="K42" s="289">
        <f t="shared" si="28"/>
        <v>0.4</v>
      </c>
      <c r="L42" s="289">
        <f t="shared" si="28"/>
        <v>0.4</v>
      </c>
      <c r="M42" s="289">
        <f t="shared" si="28"/>
        <v>0.4</v>
      </c>
      <c r="N42" s="289">
        <f t="shared" si="28"/>
        <v>0.4</v>
      </c>
      <c r="O42" s="289">
        <f t="shared" si="28"/>
        <v>0.4</v>
      </c>
      <c r="P42" s="289">
        <f t="shared" si="28"/>
        <v>0.4</v>
      </c>
      <c r="Q42" s="289">
        <f t="shared" si="28"/>
        <v>0.4</v>
      </c>
      <c r="R42" s="289">
        <f t="shared" si="28"/>
        <v>0.4</v>
      </c>
      <c r="S42" s="289">
        <f t="shared" si="28"/>
        <v>0.4</v>
      </c>
      <c r="T42" s="289">
        <f t="shared" si="28"/>
        <v>0.4</v>
      </c>
      <c r="U42" s="289">
        <f t="shared" si="28"/>
        <v>0.4</v>
      </c>
      <c r="V42" s="289">
        <f t="shared" si="28"/>
        <v>0.4</v>
      </c>
      <c r="W42" s="289">
        <f t="shared" si="28"/>
        <v>0.4</v>
      </c>
      <c r="X42" s="289">
        <f t="shared" si="28"/>
        <v>0.4</v>
      </c>
      <c r="Y42" s="289">
        <f t="shared" si="28"/>
        <v>0.4</v>
      </c>
      <c r="Z42" s="289">
        <f t="shared" si="28"/>
        <v>0.4</v>
      </c>
      <c r="AA42" s="289">
        <f t="shared" si="28"/>
        <v>0.4</v>
      </c>
      <c r="AB42" s="289">
        <f t="shared" si="28"/>
        <v>0.4</v>
      </c>
      <c r="AC42" s="289">
        <f t="shared" si="28"/>
        <v>0.4</v>
      </c>
      <c r="AD42" s="289">
        <f t="shared" si="28"/>
        <v>0.4</v>
      </c>
      <c r="AE42" s="289">
        <f t="shared" si="28"/>
        <v>0.4</v>
      </c>
      <c r="AF42" s="289">
        <f t="shared" si="28"/>
        <v>0.4</v>
      </c>
      <c r="AG42" s="289">
        <f t="shared" si="28"/>
        <v>0.4</v>
      </c>
      <c r="AH42" s="289">
        <f t="shared" si="28"/>
        <v>0.4</v>
      </c>
      <c r="AI42" s="289">
        <f t="shared" si="28"/>
        <v>0.4</v>
      </c>
      <c r="AJ42" s="289">
        <f t="shared" si="28"/>
        <v>0.4</v>
      </c>
      <c r="AK42" s="289">
        <f t="shared" ref="AK42:BA42" si="29">AJ42</f>
        <v>0.4</v>
      </c>
      <c r="AL42" s="289">
        <f t="shared" si="29"/>
        <v>0.4</v>
      </c>
      <c r="AM42" s="289">
        <f t="shared" si="29"/>
        <v>0.4</v>
      </c>
      <c r="AN42" s="289">
        <f t="shared" si="29"/>
        <v>0.4</v>
      </c>
      <c r="AO42" s="289">
        <f t="shared" si="29"/>
        <v>0.4</v>
      </c>
      <c r="AP42" s="289">
        <f t="shared" si="29"/>
        <v>0.4</v>
      </c>
      <c r="AQ42" s="289">
        <f t="shared" si="29"/>
        <v>0.4</v>
      </c>
      <c r="AR42" s="289">
        <f t="shared" si="29"/>
        <v>0.4</v>
      </c>
      <c r="AS42" s="289">
        <f t="shared" si="29"/>
        <v>0.4</v>
      </c>
      <c r="AT42" s="289">
        <f t="shared" si="29"/>
        <v>0.4</v>
      </c>
      <c r="AU42" s="289">
        <f t="shared" si="29"/>
        <v>0.4</v>
      </c>
      <c r="AV42" s="289">
        <f t="shared" si="29"/>
        <v>0.4</v>
      </c>
      <c r="AW42" s="289">
        <f t="shared" si="29"/>
        <v>0.4</v>
      </c>
      <c r="AX42" s="289">
        <f t="shared" si="29"/>
        <v>0.4</v>
      </c>
      <c r="AY42" s="289">
        <f t="shared" si="29"/>
        <v>0.4</v>
      </c>
      <c r="AZ42" s="289">
        <f t="shared" si="29"/>
        <v>0.4</v>
      </c>
      <c r="BA42" s="290">
        <f t="shared" si="29"/>
        <v>0.4</v>
      </c>
    </row>
    <row r="43" spans="1:53" ht="15.75" thickBot="1">
      <c r="B43" s="481" t="s">
        <v>40</v>
      </c>
      <c r="C43" s="482"/>
      <c r="D43" s="284">
        <f t="shared" ref="D43:AI43" si="30">D42*D41</f>
        <v>29.661444444444431</v>
      </c>
      <c r="E43" s="284">
        <f t="shared" si="30"/>
        <v>39.901444444444486</v>
      </c>
      <c r="F43" s="284">
        <f t="shared" si="30"/>
        <v>50.469244444444477</v>
      </c>
      <c r="G43" s="284">
        <f t="shared" si="30"/>
        <v>61.375363444444467</v>
      </c>
      <c r="H43" s="284">
        <f t="shared" si="30"/>
        <v>72.630659269444479</v>
      </c>
      <c r="I43" s="284">
        <f t="shared" si="30"/>
        <v>84.246339533719535</v>
      </c>
      <c r="J43" s="284">
        <f t="shared" si="30"/>
        <v>96.233972961718109</v>
      </c>
      <c r="K43" s="284">
        <f t="shared" si="30"/>
        <v>108.60550107724717</v>
      </c>
      <c r="L43" s="284">
        <f t="shared" si="30"/>
        <v>121.3732502729878</v>
      </c>
      <c r="M43" s="284">
        <f t="shared" si="30"/>
        <v>134.54994427278538</v>
      </c>
      <c r="N43" s="284">
        <f t="shared" si="30"/>
        <v>148.14871699956399</v>
      </c>
      <c r="O43" s="284">
        <f t="shared" si="30"/>
        <v>162.18312586213995</v>
      </c>
      <c r="P43" s="284">
        <f t="shared" si="30"/>
        <v>176.66716547464449</v>
      </c>
      <c r="Q43" s="284">
        <f t="shared" si="30"/>
        <v>191.61528182271809</v>
      </c>
      <c r="R43" s="284">
        <f t="shared" si="30"/>
        <v>207.04238689110457</v>
      </c>
      <c r="S43" s="284">
        <f t="shared" si="30"/>
        <v>245.18609598997637</v>
      </c>
      <c r="T43" s="284">
        <f t="shared" si="30"/>
        <v>261.61785446226571</v>
      </c>
      <c r="U43" s="284">
        <f t="shared" si="30"/>
        <v>278.57628712145538</v>
      </c>
      <c r="V43" s="284">
        <f t="shared" si="30"/>
        <v>296.07832599203783</v>
      </c>
      <c r="W43" s="284">
        <f t="shared" si="30"/>
        <v>314.14144970317608</v>
      </c>
      <c r="X43" s="284">
        <f t="shared" si="30"/>
        <v>332.78370122000115</v>
      </c>
      <c r="Y43" s="284">
        <f t="shared" si="30"/>
        <v>352.02370615312083</v>
      </c>
      <c r="Z43" s="284">
        <f t="shared" si="30"/>
        <v>371.88069166529954</v>
      </c>
      <c r="AA43" s="284">
        <f t="shared" si="30"/>
        <v>388.27193336656956</v>
      </c>
      <c r="AB43" s="284">
        <f t="shared" si="30"/>
        <v>401.39280927926961</v>
      </c>
      <c r="AC43" s="284">
        <f t="shared" si="30"/>
        <v>414.91109602758473</v>
      </c>
      <c r="AD43" s="284">
        <f t="shared" si="30"/>
        <v>428.83879162774792</v>
      </c>
      <c r="AE43" s="284">
        <f t="shared" si="30"/>
        <v>443.18825555030293</v>
      </c>
      <c r="AF43" s="284">
        <f t="shared" si="30"/>
        <v>457.97221959400889</v>
      </c>
      <c r="AG43" s="284">
        <f t="shared" si="30"/>
        <v>473.20379908657009</v>
      </c>
      <c r="AH43" s="284">
        <f t="shared" si="30"/>
        <v>488.89650442200286</v>
      </c>
      <c r="AI43" s="284">
        <f t="shared" si="30"/>
        <v>505.06425294475531</v>
      </c>
      <c r="AJ43" s="284">
        <f t="shared" ref="AJ43:BA43" si="31">AJ42*AJ41</f>
        <v>521.72138119099225</v>
      </c>
      <c r="AK43" s="284">
        <f t="shared" si="31"/>
        <v>538.88265749777418</v>
      </c>
      <c r="AL43" s="284">
        <f t="shared" si="31"/>
        <v>556.56329499118056</v>
      </c>
      <c r="AM43" s="284">
        <f t="shared" si="31"/>
        <v>574.77896496475853</v>
      </c>
      <c r="AN43" s="284">
        <f t="shared" si="31"/>
        <v>593.54581066002083</v>
      </c>
      <c r="AO43" s="284">
        <f t="shared" si="31"/>
        <v>612.88046146106751</v>
      </c>
      <c r="AP43" s="284">
        <f t="shared" si="31"/>
        <v>632.80004751577042</v>
      </c>
      <c r="AQ43" s="284">
        <f t="shared" si="31"/>
        <v>653.32221479633176</v>
      </c>
      <c r="AR43" s="284">
        <f t="shared" si="31"/>
        <v>674.46514061241169</v>
      </c>
      <c r="AS43" s="284">
        <f t="shared" si="31"/>
        <v>696.24754959041775</v>
      </c>
      <c r="AT43" s="284">
        <f t="shared" si="31"/>
        <v>718.68873013295672</v>
      </c>
      <c r="AU43" s="284">
        <f t="shared" si="31"/>
        <v>741.80855137286846</v>
      </c>
      <c r="AV43" s="284">
        <f t="shared" si="31"/>
        <v>765.62748063669608</v>
      </c>
      <c r="AW43" s="284">
        <f t="shared" si="31"/>
        <v>790.16660143289118</v>
      </c>
      <c r="AX43" s="284">
        <f t="shared" si="31"/>
        <v>815.4476319805143</v>
      </c>
      <c r="AY43" s="284">
        <f t="shared" si="31"/>
        <v>841.49294429465851</v>
      </c>
      <c r="AZ43" s="284">
        <f t="shared" si="31"/>
        <v>868.32558384532194</v>
      </c>
      <c r="BA43" s="285">
        <f t="shared" si="31"/>
        <v>895.96928980694122</v>
      </c>
    </row>
    <row r="45" spans="1:53">
      <c r="B45" s="135" t="s">
        <v>372</v>
      </c>
    </row>
  </sheetData>
  <sheetProtection algorithmName="SHA-512" hashValue="BShRODx3wIH9hZ6F2+lSmui0XwTd7wXG/iQKv9T8n51OSMQo7GgexC65nEgenR5n5hC7RWMY7MSTlBVqK/w0ow==" saltValue="tWmyPyP8nEXucdPQiJrL3A==" spinCount="100000" sheet="1" objects="1" scenarios="1" formatCells="0" formatColumns="0"/>
  <dataConsolidate/>
  <mergeCells count="29">
    <mergeCell ref="B22:C22"/>
    <mergeCell ref="B1:C3"/>
    <mergeCell ref="E1:I3"/>
    <mergeCell ref="J1:P3"/>
    <mergeCell ref="B20:C20"/>
    <mergeCell ref="B21:C21"/>
    <mergeCell ref="B12:C12"/>
    <mergeCell ref="B13:C13"/>
    <mergeCell ref="B14:C14"/>
    <mergeCell ref="B19:C19"/>
    <mergeCell ref="B8:C8"/>
    <mergeCell ref="B9:C9"/>
    <mergeCell ref="B10:C10"/>
    <mergeCell ref="B11:C11"/>
    <mergeCell ref="B24:C24"/>
    <mergeCell ref="B25:C25"/>
    <mergeCell ref="B23:C23"/>
    <mergeCell ref="B26:C26"/>
    <mergeCell ref="B27:C27"/>
    <mergeCell ref="B28:C28"/>
    <mergeCell ref="B37:C37"/>
    <mergeCell ref="B38:C38"/>
    <mergeCell ref="B32:C32"/>
    <mergeCell ref="B33:C33"/>
    <mergeCell ref="B39:C39"/>
    <mergeCell ref="B40:C40"/>
    <mergeCell ref="B41:C41"/>
    <mergeCell ref="B42:C42"/>
    <mergeCell ref="B43:C43"/>
  </mergeCells>
  <dataValidations count="30">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0300-000000000000}"/>
    <dataValidation allowBlank="1" showInputMessage="1" showErrorMessage="1" promptTitle="Cashflow pro Monat" prompt="In diesem Bereich ist der Verlauf des monatlichen Cashflows über einen Zeitraum von 50 Jahren ab Kauf abgebildet." sqref="B17" xr:uid="{00000000-0002-0000-0300-000001000000}"/>
    <dataValidation allowBlank="1" showInputMessage="1" showErrorMessage="1" promptTitle="Break Even Rechnung" prompt="In diesem Bereich ist der Verlauf des kumulierten Cashflows über einen Zeitraum von 50 Jahren ab Kauf abgebildet. Dies dient der Ermittlung der Break Even Zeitpunkte." sqref="B30" xr:uid="{00000000-0002-0000-0300-000002000000}"/>
    <dataValidation allowBlank="1" showInputMessage="1" showErrorMessage="1" promptTitle="Nebenrechnung Steuer pro Monat" prompt="In diesem Bereich ist der Verlauf der monatlichen Steuerberechnung über einen Zeitraum von 50 Jahren ab Kauf abgebildet. Außerdem kann der persönliche Steuersatz für einzelne Jahre angepasst werden." sqref="B35" xr:uid="{00000000-0002-0000-0300-000003000000}"/>
    <dataValidation allowBlank="1" showInputMessage="1" showErrorMessage="1" promptTitle="Nettokaltmiete vor Erhöhung" prompt="Dies ist die Nettokaltmiete vor einer geplanten Mieterhöhung." sqref="B8:C8 E8:BA8" xr:uid="{00000000-0002-0000-0300-000004000000}"/>
    <dataValidation allowBlank="1" showInputMessage="1" showErrorMessage="1" promptTitle="Geplante Mieterhöhung" prompt="Hier gibst du eine geplante Mieterhöhung ein. Die Mieterhöhung findet rechnerisch zum 1. Januar des jeweiligen Jahres statt._x000a__x000a_Format: Mieterhöhung in %, bspw. 3%." sqref="B9:C9" xr:uid="{00000000-0002-0000-0300-000005000000}"/>
    <dataValidation type="decimal" allowBlank="1" showInputMessage="1" showErrorMessage="1" errorTitle="Geplante Mieterhöhung" error="Bitte gib die geplante Mieterhöhung in % ein, bspw. 3%. Du kannst auch negative Werte (Mietreduzierungen) planen." promptTitle="Geplante Mieterhöhung" prompt="Hier gibst du eine geplante Mieterhöhung ein. Die Mieterhöhung findet rechnerisch zum 1. Januar des jeweiligen Jahres statt._x000a__x000a_Standardmäßig wird der auf dem Reiter &quot;Cockpit&quot; festgelegte Prozentsatz verwendet._x000a__x000a_Format: Mieterhöhung in %, bspw. 3%." sqref="E9:BA9" xr:uid="{00000000-0002-0000-0300-000006000000}">
      <formula1>-1</formula1>
      <formula2>999</formula2>
    </dataValidation>
    <dataValidation allowBlank="1" showInputMessage="1" showErrorMessage="1" promptTitle="Nettokaltmiete" prompt="Diese Nettokaltmiete ergibt sich nach der Mieterhöhung." sqref="B10:BA10" xr:uid="{00000000-0002-0000-0300-000007000000}"/>
    <dataValidation allowBlank="1" showInputMessage="1" showErrorMessage="1" promptTitle="Nettokaltmiete lt. MFH-Kalkulato" prompt="Wenn du in der Profi-Version den MFH-Kalkulator auf dem entsprechenden Tabellenblatt eingeschaltet hast, dann wird hier der dort erzeugte Mietverlauf angezeigt. Dieser wird dann für alle weiteren Berechnungen verwendet." sqref="B11:BA11" xr:uid="{00000000-0002-0000-0300-000008000000}"/>
    <dataValidation allowBlank="1" showInputMessage="1" showErrorMessage="1" promptTitle="Nettokaltmiete (effektiv)" prompt="Mit dieser Nettokaltmiete wird effektiv weitergerechnet. Es handelt sich entweder um die oben errechnete Kaltmiete nach Mieterhöhung oder (in der Profi-Version bei eingeschaltete MFH-Kalkulator) um den Mietenverlauf der MFH-Kalkulation." sqref="B12:BA12" xr:uid="{00000000-0002-0000-0300-000009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13:BA13" xr:uid="{00000000-0002-0000-0300-00000A000000}"/>
    <dataValidation allowBlank="1" showInputMessage="1" showErrorMessage="1" promptTitle="Bruttokaltmiete" prompt="Ergibt sich durch Addition der Nettokaltmiete (effektiv) und der umlagefähigen Kosten." sqref="B14:BA14" xr:uid="{00000000-0002-0000-0300-00000B000000}"/>
    <dataValidation allowBlank="1" showInputMessage="1" showErrorMessage="1" promptTitle="Bruttokaltmiete" prompt="Die Bruttokaltmiete kommt aus der Berechnung des Mietverlaufes weiter oben." sqref="B19:BA19" xr:uid="{00000000-0002-0000-0300-00000C000000}"/>
    <dataValidation allowBlank="1" showInputMessage="1" showErrorMessage="1" promptTitle="Bewirtschaftungskosten" prompt="Die Bewirtschaftungskosten steigen jedes Jahr um den auf dem Reiter &quot;Cockpit&quot; festgelegten Prozentsatz für Kostensteigerungen." sqref="B20:BA20" xr:uid="{00000000-0002-0000-0300-00000D000000}"/>
    <dataValidation allowBlank="1" showInputMessage="1" showErrorMessage="1" promptTitle="Eigene Instandhaltungsrücklage" prompt="Die eigene Instandhaltungsrücklage steigt jedes Jahr um den auf dem Reiter &quot;Cockpit&quot; festgelegten Prozentsatz für Kostensteigerungen." sqref="B21:BA21" xr:uid="{00000000-0002-0000-0300-00000E000000}"/>
    <dataValidation allowBlank="1" showInputMessage="1" showErrorMessage="1" promptTitle="Kalkulatorischer Mietausfall" prompt="Der kalkulatorische Mietausfall ist auf dem Reiter &quot;Cockpit&quot; in % der Warmmiete definiert. Er steigt deshalb automatisch mit der Warmmiete." sqref="B22:BA22" xr:uid="{00000000-0002-0000-0300-00000F000000}"/>
    <dataValidation allowBlank="1" showInputMessage="1" showErrorMessage="1" promptTitle="Summe Bewirtschaftungskosten" prompt="Dies ist die Summe der monatlichen Bewirtschaftungskosten im jeweiligen Jahr." sqref="B23:BA23" xr:uid="{00000000-0002-0000-0300-000010000000}"/>
    <dataValidation allowBlank="1" showInputMessage="1" showErrorMessage="1" promptTitle="Zinsen" prompt="Die monatlichen Zinsen im jeweiligen Jahr ergeben sich aus dem separaten Darlehensverlauf (eigenes Tabellenblatt)." sqref="B24:BA24 B39:BA39" xr:uid="{00000000-0002-0000-0300-000011000000}"/>
    <dataValidation allowBlank="1" showInputMessage="1" showErrorMessage="1" promptTitle="Tilgung" prompt="Die monatliche Tilgung im jeweiligen Jahr ergibt sich aus dem separaten Darlehensverlauf (eigenes Tabellenblatt)." sqref="B25:BA25" xr:uid="{00000000-0002-0000-0300-000012000000}"/>
    <dataValidation allowBlank="1" showInputMessage="1" showErrorMessage="1" promptTitle="Cashflow operativ" prompt="Aus den hochgerechneten Einzelpositionen ergibt sich dieser hochgerechnete monatliche Cashflow. Die Farbskala ist die gleiche, wie auf dem Reiter &quot;Cockpit&quot;und kann dort über das Zahnrad am oberen Bildschirmrand angepasst werden." sqref="B26:BA26" xr:uid="{00000000-0002-0000-0300-000013000000}"/>
    <dataValidation allowBlank="1" showInputMessage="1" showErrorMessage="1" promptTitle="Steuern" prompt="Dies sind die monatlichen Steuern, die in der Nebenrechnung für das jeweilige Jahr ermittelt wurden." sqref="B27:BA27" xr:uid="{00000000-0002-0000-0300-000014000000}"/>
    <dataValidation allowBlank="1" showInputMessage="1" showErrorMessage="1" promptTitle="Cashflow nach Steuern" prompt="Aus dem operativen Cashflow und den hochgerechneten Steuern ergibt sich dieser hochgerechntete monatliche Cashflow nach Steuern. Die Farbskala kann auf dem Reiter &quot;Cockpit&quot; über das Zahnrad am oberen Bildschirmrand angepasst werden." sqref="B28:BA28" xr:uid="{00000000-0002-0000-0300-000015000000}"/>
    <dataValidation allowBlank="1" showInputMessage="1" showErrorMessage="1" promptTitle="Kum. Cashflow am Jahresende" prompt="Bis zum Jahresende hat sich insgesamt dieser Cashflow nach Steuern kumuliert." sqref="B32:BA32" xr:uid="{00000000-0002-0000-0300-000016000000}"/>
    <dataValidation allowBlank="1" showInputMessage="1" showErrorMessage="1" promptTitle="Kum. Cashflow inkl. EK-Einsatz" prompt="Bis zum Jahresende hat sich insgesamt dieser Cashflow nach Steuern kumuliert. Dabei wird jeweils der anfängliche Eigenkapitaleinsatz abgezogen." sqref="B33:BA33" xr:uid="{00000000-0002-0000-0300-000017000000}"/>
    <dataValidation allowBlank="1" showInputMessage="1" showErrorMessage="1" promptTitle="Bruttokaltmiete" prompt="Die Bruttokaltmiete kommt aus der Berechnung des Mietverlaufs weiter oben." sqref="B37:BA37" xr:uid="{00000000-0002-0000-0300-000018000000}"/>
    <dataValidation allowBlank="1" showInputMessage="1" showErrorMessage="1" promptTitle="Bewirtschaftungskosten" prompt="Die Bewirtschaftungskosten (ohne eigene Rücklagen, da nicht steuermindernd) inkl. der geplanten einzelnen Investitionsmaßnahmen (siehe weiter oben auf diesem Reiter)." sqref="B38:BA38" xr:uid="{00000000-0002-0000-0300-000019000000}"/>
    <dataValidation allowBlank="1" showInputMessage="1" showErrorMessage="1" promptTitle="Abschreibung / AfA" prompt="Die monatliche Abschreibung im jeweiligen Jahr ergibt sich aus dem separaten Abschreibungsverlauf (eigenes Tabellenblatt)." sqref="B40:BA40" xr:uid="{00000000-0002-0000-0300-00001A000000}"/>
    <dataValidation allowBlank="1" showInputMessage="1" showErrorMessage="1" promptTitle="Zu versteuernder Cashflow" prompt="Aus den einzelnen hochgerechneten Positionen ergibt sich dieser hochgerechnete zu versteuernde Cashflow." sqref="B41:BA41" xr:uid="{00000000-0002-0000-0300-00001B000000}"/>
    <dataValidation allowBlank="1" showInputMessage="1" showErrorMessage="1" promptTitle="Persönlicher Grenzsteuersatz" prompt="Hier kannst du für das jeweilige Jahr einen abweichenden Grenzsteuersatz festlegen. Dieser wird dann ab dem entsprechenden Jahr verwendet - bis zu dem Jahr, in dem du eine erneute manuelle Änderung vornimmst. Bspw. für Reduktion bei Renteneintritt." sqref="B42:BA42" xr:uid="{00000000-0002-0000-0300-00001C000000}"/>
    <dataValidation allowBlank="1" showInputMessage="1" showErrorMessage="1" promptTitle="Steuern" prompt="Aus dem zu versteuernden Cashflow und dem persönlichen Grenzsteuersatz ergibt sich diese hochgerechnete monatliche Steuerbelastung." sqref="B43:BA43" xr:uid="{00000000-0002-0000-0300-00001D000000}"/>
  </dataValidations>
  <hyperlinks>
    <hyperlink ref="B1:B3" location="Rendite!A1" display="Zurück zum Cockpit" xr:uid="{00000000-0004-0000-0300-000000000000}"/>
    <hyperlink ref="K1:K3" location="Rendite!A1" display="Zurück zum Cockpit" xr:uid="{00000000-0004-0000-0300-000001000000}"/>
    <hyperlink ref="J1:O3" location="'Verlauf - Wert, AfA, Darlehen'!A1" display="zu Wert, Abschreibung und Darlehen" xr:uid="{00000000-0004-0000-0300-000002000000}"/>
    <hyperlink ref="B1:C3" location="Cockpit!A1" display="zurück zum Cockpit" xr:uid="{00000000-0004-0000-0300-000003000000}"/>
    <hyperlink ref="J1:P3" location="'Wert, AfA, Darlehen'!A1" display="zu Wert, Abschreibung und Darlehen wechseln" xr:uid="{00000000-0004-0000-0300-000004000000}"/>
    <hyperlink ref="B45" location="Deckblatt!A1" display="Keine Gewähr für die Richtigkeit der Angaben. Dieses Tool ersetzt keine fundierte Rechts-, Steuer- oder Finanzberatung. Mehr Details hier." xr:uid="{00000000-0004-0000-0300-000005000000}"/>
  </hyperlinks>
  <pageMargins left="0.23622047244094491" right="0.23622047244094491" top="0.74803149606299213" bottom="0.74803149606299213" header="0.31496062992125984" footer="0.31496062992125984"/>
  <pageSetup paperSize="9" scale="82" fitToWidth="0" orientation="landscape" r:id="rId1"/>
  <ignoredErrors>
    <ignoredError sqref="E9:BA9 E42:BA42"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107FD256-0F97-455C-951B-5DB2485A622C}">
            <xm:f>'MFH-Kalkulator'!$C$6="Ein"</xm:f>
            <x14:dxf>
              <font>
                <color theme="0" tint="-0.34998626667073579"/>
              </font>
              <fill>
                <patternFill>
                  <bgColor theme="0" tint="-4.9989318521683403E-2"/>
                </patternFill>
              </fill>
            </x14:dxf>
          </x14:cfRule>
          <xm:sqref>B8:BA10</xm:sqref>
        </x14:conditionalFormatting>
        <x14:conditionalFormatting xmlns:xm="http://schemas.microsoft.com/office/excel/2006/main">
          <x14:cfRule type="expression" priority="5" id="{76F95931-85C2-4AA5-A4ED-46CF798CDC1C}">
            <xm:f>'MFH-Kalkulator'!$C$6="Aus"</xm:f>
            <x14:dxf>
              <font>
                <color theme="0" tint="-0.34998626667073579"/>
              </font>
              <fill>
                <patternFill>
                  <bgColor theme="0" tint="-4.9989318521683403E-2"/>
                </patternFill>
              </fill>
            </x14:dxf>
          </x14:cfRule>
          <xm:sqref>B11:BA11</xm:sqref>
        </x14:conditionalFormatting>
        <x14:conditionalFormatting xmlns:xm="http://schemas.microsoft.com/office/excel/2006/main">
          <x14:cfRule type="colorScale" priority="9" id="{46D7741E-AEC3-46DD-B2DF-88DEAC55A526}">
            <x14:colorScale>
              <x14:cfvo type="num">
                <xm:f>Konfiguration!$E$11</xm:f>
              </x14:cfvo>
              <x14:cfvo type="num">
                <xm:f>Konfiguration!$D$11</xm:f>
              </x14:cfvo>
              <x14:cfvo type="num">
                <xm:f>Konfiguration!$C$11</xm:f>
              </x14:cfvo>
              <x14:color rgb="FFF8696B"/>
              <x14:color rgb="FFFFEB84"/>
              <x14:color rgb="FF63BE7B"/>
            </x14:colorScale>
          </x14:cfRule>
          <xm:sqref>D26:BA26</xm:sqref>
        </x14:conditionalFormatting>
        <x14:conditionalFormatting xmlns:xm="http://schemas.microsoft.com/office/excel/2006/main">
          <x14:cfRule type="colorScale" priority="8" id="{EF8BBCF8-4CC3-43DB-983A-5AC822FDF50C}">
            <x14:colorScale>
              <x14:cfvo type="num">
                <xm:f>Konfiguration!$E$12</xm:f>
              </x14:cfvo>
              <x14:cfvo type="num">
                <xm:f>Konfiguration!$D$12</xm:f>
              </x14:cfvo>
              <x14:cfvo type="num">
                <xm:f>Konfiguration!$C$12</xm:f>
              </x14:cfvo>
              <x14:color rgb="FFF8696B"/>
              <x14:color rgb="FFFFEB84"/>
              <x14:color rgb="FF63BE7B"/>
            </x14:colorScale>
          </x14:cfRule>
          <xm:sqref>D28:BA28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sheetPr>
  <dimension ref="A1:BA133"/>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T26" sqref="T26"/>
    </sheetView>
  </sheetViews>
  <sheetFormatPr baseColWidth="10" defaultColWidth="9.140625" defaultRowHeight="15"/>
  <cols>
    <col min="1" max="1" width="3.42578125" style="6" customWidth="1"/>
    <col min="2" max="2" width="34.710937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7" t="s">
        <v>351</v>
      </c>
      <c r="C1" s="427"/>
      <c r="E1" s="491" t="s">
        <v>359</v>
      </c>
      <c r="F1" s="491"/>
      <c r="G1" s="491"/>
      <c r="H1" s="491"/>
      <c r="I1" s="491"/>
      <c r="J1" s="427" t="s">
        <v>469</v>
      </c>
      <c r="K1" s="427"/>
      <c r="L1" s="427"/>
      <c r="M1" s="427"/>
      <c r="N1" s="427"/>
      <c r="O1" s="427"/>
      <c r="P1" s="427"/>
      <c r="Q1" s="427"/>
      <c r="R1" s="427"/>
      <c r="T1" s="427"/>
      <c r="U1" s="427"/>
    </row>
    <row r="2" spans="1:53" s="150" customFormat="1" ht="15" customHeight="1">
      <c r="B2" s="427"/>
      <c r="C2" s="427"/>
      <c r="E2" s="491"/>
      <c r="F2" s="491"/>
      <c r="G2" s="491"/>
      <c r="H2" s="491"/>
      <c r="I2" s="491"/>
      <c r="J2" s="427"/>
      <c r="K2" s="427"/>
      <c r="L2" s="427"/>
      <c r="M2" s="427"/>
      <c r="N2" s="427"/>
      <c r="O2" s="427"/>
      <c r="P2" s="427"/>
      <c r="Q2" s="427"/>
      <c r="R2" s="427"/>
      <c r="T2" s="427"/>
      <c r="U2" s="427"/>
    </row>
    <row r="3" spans="1:53" s="150" customFormat="1" ht="12.75" customHeight="1">
      <c r="B3" s="427"/>
      <c r="C3" s="427"/>
      <c r="E3" s="491"/>
      <c r="F3" s="491"/>
      <c r="G3" s="491"/>
      <c r="H3" s="491"/>
      <c r="I3" s="491"/>
      <c r="J3" s="427"/>
      <c r="K3" s="427"/>
      <c r="L3" s="427"/>
      <c r="M3" s="427"/>
      <c r="N3" s="427"/>
      <c r="O3" s="427"/>
      <c r="P3" s="427"/>
      <c r="Q3" s="427"/>
      <c r="R3" s="427"/>
      <c r="T3" s="427"/>
      <c r="U3" s="42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3" t="s">
        <v>60</v>
      </c>
      <c r="C6" s="33"/>
      <c r="D6" s="34"/>
      <c r="I6" s="6"/>
      <c r="J6" s="6"/>
      <c r="K6" s="6"/>
      <c r="L6" s="6"/>
    </row>
    <row r="7" spans="1:53" ht="15.75" thickBot="1">
      <c r="B7" s="276" t="s">
        <v>46</v>
      </c>
      <c r="C7" s="277"/>
      <c r="D7" s="278">
        <f>YEAR(Cockpit!C10)</f>
        <v>2024</v>
      </c>
      <c r="E7" s="279">
        <f>D7+1</f>
        <v>2025</v>
      </c>
      <c r="F7" s="279">
        <f t="shared" ref="F7:BA7" si="0">E7+1</f>
        <v>2026</v>
      </c>
      <c r="G7" s="279">
        <f t="shared" si="0"/>
        <v>2027</v>
      </c>
      <c r="H7" s="279">
        <f t="shared" si="0"/>
        <v>2028</v>
      </c>
      <c r="I7" s="279">
        <f t="shared" si="0"/>
        <v>2029</v>
      </c>
      <c r="J7" s="279">
        <f t="shared" si="0"/>
        <v>2030</v>
      </c>
      <c r="K7" s="279">
        <f t="shared" si="0"/>
        <v>2031</v>
      </c>
      <c r="L7" s="279">
        <f t="shared" si="0"/>
        <v>2032</v>
      </c>
      <c r="M7" s="279">
        <f t="shared" si="0"/>
        <v>2033</v>
      </c>
      <c r="N7" s="279">
        <f t="shared" si="0"/>
        <v>2034</v>
      </c>
      <c r="O7" s="279">
        <f t="shared" si="0"/>
        <v>2035</v>
      </c>
      <c r="P7" s="279">
        <f t="shared" si="0"/>
        <v>2036</v>
      </c>
      <c r="Q7" s="279">
        <f t="shared" si="0"/>
        <v>2037</v>
      </c>
      <c r="R7" s="279">
        <f t="shared" si="0"/>
        <v>2038</v>
      </c>
      <c r="S7" s="279">
        <f t="shared" si="0"/>
        <v>2039</v>
      </c>
      <c r="T7" s="279">
        <f t="shared" si="0"/>
        <v>2040</v>
      </c>
      <c r="U7" s="279">
        <f t="shared" si="0"/>
        <v>2041</v>
      </c>
      <c r="V7" s="279">
        <f t="shared" si="0"/>
        <v>2042</v>
      </c>
      <c r="W7" s="279">
        <f t="shared" si="0"/>
        <v>2043</v>
      </c>
      <c r="X7" s="279">
        <f t="shared" si="0"/>
        <v>2044</v>
      </c>
      <c r="Y7" s="279">
        <f t="shared" si="0"/>
        <v>2045</v>
      </c>
      <c r="Z7" s="279">
        <f t="shared" si="0"/>
        <v>2046</v>
      </c>
      <c r="AA7" s="279">
        <f t="shared" si="0"/>
        <v>2047</v>
      </c>
      <c r="AB7" s="279">
        <f t="shared" si="0"/>
        <v>2048</v>
      </c>
      <c r="AC7" s="279">
        <f t="shared" si="0"/>
        <v>2049</v>
      </c>
      <c r="AD7" s="279">
        <f t="shared" si="0"/>
        <v>2050</v>
      </c>
      <c r="AE7" s="279">
        <f t="shared" si="0"/>
        <v>2051</v>
      </c>
      <c r="AF7" s="279">
        <f t="shared" si="0"/>
        <v>2052</v>
      </c>
      <c r="AG7" s="279">
        <f t="shared" si="0"/>
        <v>2053</v>
      </c>
      <c r="AH7" s="279">
        <f t="shared" si="0"/>
        <v>2054</v>
      </c>
      <c r="AI7" s="279">
        <f t="shared" si="0"/>
        <v>2055</v>
      </c>
      <c r="AJ7" s="279">
        <f t="shared" si="0"/>
        <v>2056</v>
      </c>
      <c r="AK7" s="279">
        <f t="shared" si="0"/>
        <v>2057</v>
      </c>
      <c r="AL7" s="279">
        <f t="shared" si="0"/>
        <v>2058</v>
      </c>
      <c r="AM7" s="279">
        <f t="shared" si="0"/>
        <v>2059</v>
      </c>
      <c r="AN7" s="279">
        <f t="shared" si="0"/>
        <v>2060</v>
      </c>
      <c r="AO7" s="279">
        <f t="shared" si="0"/>
        <v>2061</v>
      </c>
      <c r="AP7" s="279">
        <f t="shared" si="0"/>
        <v>2062</v>
      </c>
      <c r="AQ7" s="279">
        <f t="shared" si="0"/>
        <v>2063</v>
      </c>
      <c r="AR7" s="279">
        <f t="shared" si="0"/>
        <v>2064</v>
      </c>
      <c r="AS7" s="279">
        <f t="shared" si="0"/>
        <v>2065</v>
      </c>
      <c r="AT7" s="279">
        <f t="shared" si="0"/>
        <v>2066</v>
      </c>
      <c r="AU7" s="279">
        <f t="shared" si="0"/>
        <v>2067</v>
      </c>
      <c r="AV7" s="279">
        <f t="shared" si="0"/>
        <v>2068</v>
      </c>
      <c r="AW7" s="279">
        <f t="shared" si="0"/>
        <v>2069</v>
      </c>
      <c r="AX7" s="279">
        <f t="shared" si="0"/>
        <v>2070</v>
      </c>
      <c r="AY7" s="279">
        <f t="shared" si="0"/>
        <v>2071</v>
      </c>
      <c r="AZ7" s="279">
        <f t="shared" si="0"/>
        <v>2072</v>
      </c>
      <c r="BA7" s="280">
        <f t="shared" si="0"/>
        <v>2073</v>
      </c>
    </row>
    <row r="8" spans="1:53">
      <c r="A8"/>
      <c r="B8" s="485" t="s">
        <v>65</v>
      </c>
      <c r="C8" s="486"/>
      <c r="D8" s="291">
        <f>Cockpit!D14+Cockpit!E30</f>
        <v>138000</v>
      </c>
      <c r="E8" s="291">
        <f>D12</f>
        <v>140760</v>
      </c>
      <c r="F8" s="291">
        <f t="shared" ref="F8:BA8" si="1">E12</f>
        <v>143575.20000000001</v>
      </c>
      <c r="G8" s="291">
        <f t="shared" si="1"/>
        <v>146446.704</v>
      </c>
      <c r="H8" s="291">
        <f t="shared" si="1"/>
        <v>149375.63808</v>
      </c>
      <c r="I8" s="291">
        <f t="shared" si="1"/>
        <v>152363.1508416</v>
      </c>
      <c r="J8" s="291">
        <f t="shared" si="1"/>
        <v>155410.413858432</v>
      </c>
      <c r="K8" s="291">
        <f t="shared" si="1"/>
        <v>158518.62213560066</v>
      </c>
      <c r="L8" s="291">
        <f t="shared" si="1"/>
        <v>161688.99457831268</v>
      </c>
      <c r="M8" s="291">
        <f t="shared" si="1"/>
        <v>164922.77446987893</v>
      </c>
      <c r="N8" s="291">
        <f t="shared" si="1"/>
        <v>168221.2299592765</v>
      </c>
      <c r="O8" s="291">
        <f t="shared" si="1"/>
        <v>171585.65455846203</v>
      </c>
      <c r="P8" s="291">
        <f t="shared" si="1"/>
        <v>175017.36764963128</v>
      </c>
      <c r="Q8" s="291">
        <f t="shared" si="1"/>
        <v>178517.71500262391</v>
      </c>
      <c r="R8" s="291">
        <f t="shared" si="1"/>
        <v>182088.06930267639</v>
      </c>
      <c r="S8" s="291">
        <f t="shared" si="1"/>
        <v>185729.83068872991</v>
      </c>
      <c r="T8" s="291">
        <f t="shared" si="1"/>
        <v>189444.42730250451</v>
      </c>
      <c r="U8" s="291">
        <f t="shared" si="1"/>
        <v>193233.3158485546</v>
      </c>
      <c r="V8" s="291">
        <f t="shared" si="1"/>
        <v>197097.9821655257</v>
      </c>
      <c r="W8" s="291">
        <f t="shared" si="1"/>
        <v>201039.94180883621</v>
      </c>
      <c r="X8" s="291">
        <f t="shared" si="1"/>
        <v>205060.74064501293</v>
      </c>
      <c r="Y8" s="291">
        <f t="shared" si="1"/>
        <v>209161.95545791319</v>
      </c>
      <c r="Z8" s="291">
        <f t="shared" si="1"/>
        <v>213345.19456707145</v>
      </c>
      <c r="AA8" s="291">
        <f t="shared" si="1"/>
        <v>217612.09845841289</v>
      </c>
      <c r="AB8" s="291">
        <f t="shared" si="1"/>
        <v>221964.34042758113</v>
      </c>
      <c r="AC8" s="291">
        <f t="shared" si="1"/>
        <v>226403.62723613274</v>
      </c>
      <c r="AD8" s="291">
        <f t="shared" si="1"/>
        <v>230931.69978085539</v>
      </c>
      <c r="AE8" s="291">
        <f t="shared" si="1"/>
        <v>235550.33377647249</v>
      </c>
      <c r="AF8" s="291">
        <f t="shared" si="1"/>
        <v>240261.34045200192</v>
      </c>
      <c r="AG8" s="291">
        <f t="shared" si="1"/>
        <v>245066.56726104196</v>
      </c>
      <c r="AH8" s="291">
        <f t="shared" si="1"/>
        <v>249967.89860626281</v>
      </c>
      <c r="AI8" s="291">
        <f t="shared" si="1"/>
        <v>254967.25657838807</v>
      </c>
      <c r="AJ8" s="291">
        <f t="shared" si="1"/>
        <v>260066.60170995584</v>
      </c>
      <c r="AK8" s="291">
        <f t="shared" si="1"/>
        <v>265267.93374415493</v>
      </c>
      <c r="AL8" s="291">
        <f t="shared" si="1"/>
        <v>270573.29241903801</v>
      </c>
      <c r="AM8" s="291">
        <f t="shared" si="1"/>
        <v>275984.75826741877</v>
      </c>
      <c r="AN8" s="291">
        <f t="shared" si="1"/>
        <v>281504.45343276713</v>
      </c>
      <c r="AO8" s="291">
        <f t="shared" si="1"/>
        <v>287134.54250142246</v>
      </c>
      <c r="AP8" s="291">
        <f t="shared" si="1"/>
        <v>292877.23335145094</v>
      </c>
      <c r="AQ8" s="291">
        <f t="shared" si="1"/>
        <v>298734.77801847993</v>
      </c>
      <c r="AR8" s="291">
        <f t="shared" si="1"/>
        <v>304709.47357884952</v>
      </c>
      <c r="AS8" s="291">
        <f t="shared" si="1"/>
        <v>310803.66305042652</v>
      </c>
      <c r="AT8" s="291">
        <f t="shared" si="1"/>
        <v>317019.73631143506</v>
      </c>
      <c r="AU8" s="291">
        <f t="shared" si="1"/>
        <v>323360.13103766378</v>
      </c>
      <c r="AV8" s="291">
        <f t="shared" si="1"/>
        <v>329827.33365841705</v>
      </c>
      <c r="AW8" s="291">
        <f t="shared" si="1"/>
        <v>336423.88033158542</v>
      </c>
      <c r="AX8" s="291">
        <f t="shared" si="1"/>
        <v>343152.35793821712</v>
      </c>
      <c r="AY8" s="291">
        <f t="shared" si="1"/>
        <v>350015.40509698144</v>
      </c>
      <c r="AZ8" s="291">
        <f t="shared" si="1"/>
        <v>357015.71319892106</v>
      </c>
      <c r="BA8" s="292">
        <f t="shared" si="1"/>
        <v>364156.02746289951</v>
      </c>
    </row>
    <row r="9" spans="1:53">
      <c r="A9"/>
      <c r="B9" s="457" t="s">
        <v>66</v>
      </c>
      <c r="C9" s="458"/>
      <c r="D9" s="4">
        <f>D8-'Wert, AfA, Darlehen'!D106</f>
        <v>34000</v>
      </c>
      <c r="E9" s="4">
        <f>E8-'Wert, AfA, Darlehen'!E106</f>
        <v>39880</v>
      </c>
      <c r="F9" s="4">
        <f>F8-'Wert, AfA, Darlehen'!F106</f>
        <v>45924.400000000009</v>
      </c>
      <c r="G9" s="4">
        <f>G8-'Wert, AfA, Darlehen'!G106</f>
        <v>52138.125999999989</v>
      </c>
      <c r="H9" s="4">
        <f>H8-'Wert, AfA, Darlehen'!H106</f>
        <v>58526.259850000002</v>
      </c>
      <c r="I9" s="4">
        <f>I8-'Wert, AfA, Darlehen'!I106</f>
        <v>65094.044373550001</v>
      </c>
      <c r="J9" s="4">
        <f>J8-'Wert, AfA, Darlehen'!J106</f>
        <v>71846.88866400026</v>
      </c>
      <c r="K9" s="4">
        <f>K8-'Wert, AfA, Darlehen'!K106</f>
        <v>78790.373559363798</v>
      </c>
      <c r="L9" s="4">
        <f>L8-'Wert, AfA, Darlehen'!L106</f>
        <v>85930.257301907521</v>
      </c>
      <c r="M9" s="4">
        <f>M8-'Wert, AfA, Darlehen'!M106</f>
        <v>93272.481388799599</v>
      </c>
      <c r="N9" s="4">
        <f>N8-'Wert, AfA, Darlehen'!N106</f>
        <v>100823.17662035939</v>
      </c>
      <c r="O9" s="4">
        <f>O8-'Wert, AfA, Darlehen'!O106</f>
        <v>108588.66935268282</v>
      </c>
      <c r="P9" s="4">
        <f>P8-'Wert, AfA, Darlehen'!P106</f>
        <v>116575.48796164979</v>
      </c>
      <c r="Q9" s="4">
        <f>Q8-'Wert, AfA, Darlehen'!Q106</f>
        <v>124790.36952556306</v>
      </c>
      <c r="R9" s="4">
        <f>R8-'Wert, AfA, Darlehen'!R106</f>
        <v>133240.26673391843</v>
      </c>
      <c r="S9" s="4">
        <f>S8-'Wert, AfA, Darlehen'!S106</f>
        <v>141932.3550300654</v>
      </c>
      <c r="T9" s="4">
        <f>T8-'Wert, AfA, Darlehen'!T106</f>
        <v>150874.03999578673</v>
      </c>
      <c r="U9" s="4">
        <f>U8-'Wert, AfA, Darlehen'!U106</f>
        <v>160072.96498610172</v>
      </c>
      <c r="V9" s="4">
        <f>V8-'Wert, AfA, Darlehen'!V106</f>
        <v>169537.01902288696</v>
      </c>
      <c r="W9" s="4">
        <f>W8-'Wert, AfA, Darlehen'!W106</f>
        <v>179274.34495620511</v>
      </c>
      <c r="X9" s="4">
        <f>X8-'Wert, AfA, Darlehen'!X106</f>
        <v>189293.34790253977</v>
      </c>
      <c r="Y9" s="4">
        <f>Y8-'Wert, AfA, Darlehen'!Y106</f>
        <v>199602.70396945346</v>
      </c>
      <c r="Z9" s="4">
        <f>Z8-'Wert, AfA, Darlehen'!Z106</f>
        <v>210211.36927651562</v>
      </c>
      <c r="AA9" s="4">
        <f>AA8-'Wert, AfA, Darlehen'!AA106</f>
        <v>217612.09845841289</v>
      </c>
      <c r="AB9" s="4">
        <f>AB8-'Wert, AfA, Darlehen'!AB106</f>
        <v>221964.34042758113</v>
      </c>
      <c r="AC9" s="4">
        <f>AC8-'Wert, AfA, Darlehen'!AC106</f>
        <v>226403.62723613274</v>
      </c>
      <c r="AD9" s="4">
        <f>AD8-'Wert, AfA, Darlehen'!AD106</f>
        <v>230931.69978085539</v>
      </c>
      <c r="AE9" s="4">
        <f>AE8-'Wert, AfA, Darlehen'!AE106</f>
        <v>235550.33377647249</v>
      </c>
      <c r="AF9" s="4">
        <f>AF8-'Wert, AfA, Darlehen'!AF106</f>
        <v>240261.34045200192</v>
      </c>
      <c r="AG9" s="4">
        <f>AG8-'Wert, AfA, Darlehen'!AG106</f>
        <v>245066.56726104196</v>
      </c>
      <c r="AH9" s="4">
        <f>AH8-'Wert, AfA, Darlehen'!AH106</f>
        <v>249967.89860626281</v>
      </c>
      <c r="AI9" s="4">
        <f>AI8-'Wert, AfA, Darlehen'!AI106</f>
        <v>254967.25657838807</v>
      </c>
      <c r="AJ9" s="4">
        <f>AJ8-'Wert, AfA, Darlehen'!AJ106</f>
        <v>260066.60170995584</v>
      </c>
      <c r="AK9" s="4">
        <f>AK8-'Wert, AfA, Darlehen'!AK106</f>
        <v>265267.93374415493</v>
      </c>
      <c r="AL9" s="4">
        <f>AL8-'Wert, AfA, Darlehen'!AL106</f>
        <v>270573.29241903801</v>
      </c>
      <c r="AM9" s="4">
        <f>AM8-'Wert, AfA, Darlehen'!AM106</f>
        <v>275984.75826741877</v>
      </c>
      <c r="AN9" s="4">
        <f>AN8-'Wert, AfA, Darlehen'!AN106</f>
        <v>281504.45343276713</v>
      </c>
      <c r="AO9" s="4">
        <f>AO8-'Wert, AfA, Darlehen'!AO106</f>
        <v>287134.54250142246</v>
      </c>
      <c r="AP9" s="4">
        <f>AP8-'Wert, AfA, Darlehen'!AP106</f>
        <v>292877.23335145094</v>
      </c>
      <c r="AQ9" s="4">
        <f>AQ8-'Wert, AfA, Darlehen'!AQ106</f>
        <v>298734.77801847993</v>
      </c>
      <c r="AR9" s="4">
        <f>AR8-'Wert, AfA, Darlehen'!AR106</f>
        <v>304709.47357884952</v>
      </c>
      <c r="AS9" s="4">
        <f>AS8-'Wert, AfA, Darlehen'!AS106</f>
        <v>310803.66305042652</v>
      </c>
      <c r="AT9" s="4">
        <f>AT8-'Wert, AfA, Darlehen'!AT106</f>
        <v>317019.73631143506</v>
      </c>
      <c r="AU9" s="4">
        <f>AU8-'Wert, AfA, Darlehen'!AU106</f>
        <v>323360.13103766378</v>
      </c>
      <c r="AV9" s="4">
        <f>AV8-'Wert, AfA, Darlehen'!AV106</f>
        <v>329827.33365841705</v>
      </c>
      <c r="AW9" s="4">
        <f>AW8-'Wert, AfA, Darlehen'!AW106</f>
        <v>336423.88033158542</v>
      </c>
      <c r="AX9" s="4">
        <f>AX8-'Wert, AfA, Darlehen'!AX106</f>
        <v>343152.35793821712</v>
      </c>
      <c r="AY9" s="4">
        <f>AY8-'Wert, AfA, Darlehen'!AY106</f>
        <v>350015.40509698144</v>
      </c>
      <c r="AZ9" s="4">
        <f>AZ8-'Wert, AfA, Darlehen'!AZ106</f>
        <v>357015.71319892106</v>
      </c>
      <c r="BA9" s="295">
        <f>BA8-'Wert, AfA, Darlehen'!BA106</f>
        <v>364156.02746289951</v>
      </c>
    </row>
    <row r="10" spans="1:53">
      <c r="A10"/>
      <c r="B10" s="496" t="s">
        <v>92</v>
      </c>
      <c r="C10" s="497"/>
      <c r="D10" s="44">
        <f>Cockpit!$H$32</f>
        <v>0.02</v>
      </c>
      <c r="E10" s="418">
        <f>D10</f>
        <v>0.02</v>
      </c>
      <c r="F10" s="418">
        <f>E10</f>
        <v>0.02</v>
      </c>
      <c r="G10" s="418">
        <f t="shared" ref="G10:BA10" si="2">F10</f>
        <v>0.02</v>
      </c>
      <c r="H10" s="418">
        <f t="shared" si="2"/>
        <v>0.02</v>
      </c>
      <c r="I10" s="418">
        <f t="shared" si="2"/>
        <v>0.02</v>
      </c>
      <c r="J10" s="418">
        <f t="shared" si="2"/>
        <v>0.02</v>
      </c>
      <c r="K10" s="418">
        <f t="shared" si="2"/>
        <v>0.02</v>
      </c>
      <c r="L10" s="418">
        <f t="shared" si="2"/>
        <v>0.02</v>
      </c>
      <c r="M10" s="418">
        <f t="shared" si="2"/>
        <v>0.02</v>
      </c>
      <c r="N10" s="418">
        <f t="shared" si="2"/>
        <v>0.02</v>
      </c>
      <c r="O10" s="418">
        <f t="shared" si="2"/>
        <v>0.02</v>
      </c>
      <c r="P10" s="418">
        <f t="shared" si="2"/>
        <v>0.02</v>
      </c>
      <c r="Q10" s="418">
        <f t="shared" si="2"/>
        <v>0.02</v>
      </c>
      <c r="R10" s="418">
        <f t="shared" si="2"/>
        <v>0.02</v>
      </c>
      <c r="S10" s="418">
        <f t="shared" si="2"/>
        <v>0.02</v>
      </c>
      <c r="T10" s="418">
        <f t="shared" si="2"/>
        <v>0.02</v>
      </c>
      <c r="U10" s="418">
        <f t="shared" si="2"/>
        <v>0.02</v>
      </c>
      <c r="V10" s="418">
        <f t="shared" si="2"/>
        <v>0.02</v>
      </c>
      <c r="W10" s="418">
        <f t="shared" si="2"/>
        <v>0.02</v>
      </c>
      <c r="X10" s="418">
        <f t="shared" si="2"/>
        <v>0.02</v>
      </c>
      <c r="Y10" s="418">
        <f t="shared" si="2"/>
        <v>0.02</v>
      </c>
      <c r="Z10" s="418">
        <f t="shared" si="2"/>
        <v>0.02</v>
      </c>
      <c r="AA10" s="418">
        <f t="shared" si="2"/>
        <v>0.02</v>
      </c>
      <c r="AB10" s="418">
        <f t="shared" si="2"/>
        <v>0.02</v>
      </c>
      <c r="AC10" s="418">
        <f t="shared" si="2"/>
        <v>0.02</v>
      </c>
      <c r="AD10" s="418">
        <f t="shared" si="2"/>
        <v>0.02</v>
      </c>
      <c r="AE10" s="418">
        <f t="shared" si="2"/>
        <v>0.02</v>
      </c>
      <c r="AF10" s="418">
        <f t="shared" si="2"/>
        <v>0.02</v>
      </c>
      <c r="AG10" s="418">
        <f t="shared" si="2"/>
        <v>0.02</v>
      </c>
      <c r="AH10" s="418">
        <f t="shared" si="2"/>
        <v>0.02</v>
      </c>
      <c r="AI10" s="418">
        <f t="shared" si="2"/>
        <v>0.02</v>
      </c>
      <c r="AJ10" s="418">
        <f t="shared" si="2"/>
        <v>0.02</v>
      </c>
      <c r="AK10" s="418">
        <f t="shared" si="2"/>
        <v>0.02</v>
      </c>
      <c r="AL10" s="418">
        <f t="shared" si="2"/>
        <v>0.02</v>
      </c>
      <c r="AM10" s="418">
        <f t="shared" si="2"/>
        <v>0.02</v>
      </c>
      <c r="AN10" s="418">
        <f t="shared" si="2"/>
        <v>0.02</v>
      </c>
      <c r="AO10" s="418">
        <f t="shared" si="2"/>
        <v>0.02</v>
      </c>
      <c r="AP10" s="418">
        <f t="shared" si="2"/>
        <v>0.02</v>
      </c>
      <c r="AQ10" s="418">
        <f t="shared" si="2"/>
        <v>0.02</v>
      </c>
      <c r="AR10" s="418">
        <f t="shared" si="2"/>
        <v>0.02</v>
      </c>
      <c r="AS10" s="418">
        <f t="shared" si="2"/>
        <v>0.02</v>
      </c>
      <c r="AT10" s="418">
        <f t="shared" si="2"/>
        <v>0.02</v>
      </c>
      <c r="AU10" s="418">
        <f t="shared" si="2"/>
        <v>0.02</v>
      </c>
      <c r="AV10" s="418">
        <f t="shared" si="2"/>
        <v>0.02</v>
      </c>
      <c r="AW10" s="418">
        <f t="shared" si="2"/>
        <v>0.02</v>
      </c>
      <c r="AX10" s="418">
        <f t="shared" si="2"/>
        <v>0.02</v>
      </c>
      <c r="AY10" s="418">
        <f t="shared" si="2"/>
        <v>0.02</v>
      </c>
      <c r="AZ10" s="418">
        <f t="shared" si="2"/>
        <v>0.02</v>
      </c>
      <c r="BA10" s="419">
        <f t="shared" si="2"/>
        <v>0.02</v>
      </c>
    </row>
    <row r="11" spans="1:53">
      <c r="A11"/>
      <c r="B11" s="457" t="s">
        <v>92</v>
      </c>
      <c r="C11" s="458"/>
      <c r="D11" s="4">
        <f>D8*D10</f>
        <v>2760</v>
      </c>
      <c r="E11" s="4">
        <f>E8*E10</f>
        <v>2815.2000000000003</v>
      </c>
      <c r="F11" s="4">
        <f>F8*F10</f>
        <v>2871.5040000000004</v>
      </c>
      <c r="G11" s="4">
        <f t="shared" ref="G11:BA11" si="3">G8*G10</f>
        <v>2928.93408</v>
      </c>
      <c r="H11" s="4">
        <f t="shared" si="3"/>
        <v>2987.5127616</v>
      </c>
      <c r="I11" s="4">
        <f t="shared" si="3"/>
        <v>3047.2630168320002</v>
      </c>
      <c r="J11" s="4">
        <f t="shared" si="3"/>
        <v>3108.2082771686401</v>
      </c>
      <c r="K11" s="4">
        <f t="shared" si="3"/>
        <v>3170.3724427120133</v>
      </c>
      <c r="L11" s="4">
        <f t="shared" si="3"/>
        <v>3233.7798915662534</v>
      </c>
      <c r="M11" s="4">
        <f t="shared" si="3"/>
        <v>3298.4554893975787</v>
      </c>
      <c r="N11" s="4">
        <f t="shared" si="3"/>
        <v>3364.42459918553</v>
      </c>
      <c r="O11" s="4">
        <f t="shared" si="3"/>
        <v>3431.7130911692407</v>
      </c>
      <c r="P11" s="4">
        <f t="shared" si="3"/>
        <v>3500.3473529926259</v>
      </c>
      <c r="Q11" s="4">
        <f t="shared" si="3"/>
        <v>3570.3543000524783</v>
      </c>
      <c r="R11" s="4">
        <f t="shared" si="3"/>
        <v>3641.761386053528</v>
      </c>
      <c r="S11" s="4">
        <f t="shared" si="3"/>
        <v>3714.5966137745982</v>
      </c>
      <c r="T11" s="4">
        <f t="shared" si="3"/>
        <v>3788.8885460500901</v>
      </c>
      <c r="U11" s="4">
        <f t="shared" si="3"/>
        <v>3864.6663169710919</v>
      </c>
      <c r="V11" s="4">
        <f t="shared" si="3"/>
        <v>3941.9596433105139</v>
      </c>
      <c r="W11" s="4">
        <f t="shared" si="3"/>
        <v>4020.7988361767243</v>
      </c>
      <c r="X11" s="4">
        <f t="shared" si="3"/>
        <v>4101.2148129002589</v>
      </c>
      <c r="Y11" s="4">
        <f t="shared" si="3"/>
        <v>4183.239109158264</v>
      </c>
      <c r="Z11" s="4">
        <f t="shared" si="3"/>
        <v>4266.9038913414288</v>
      </c>
      <c r="AA11" s="4">
        <f t="shared" si="3"/>
        <v>4352.241969168258</v>
      </c>
      <c r="AB11" s="4">
        <f t="shared" si="3"/>
        <v>4439.2868085516229</v>
      </c>
      <c r="AC11" s="4">
        <f t="shared" si="3"/>
        <v>4528.072544722655</v>
      </c>
      <c r="AD11" s="4">
        <f t="shared" si="3"/>
        <v>4618.6339956171078</v>
      </c>
      <c r="AE11" s="4">
        <f t="shared" si="3"/>
        <v>4711.0066755294501</v>
      </c>
      <c r="AF11" s="4">
        <f t="shared" si="3"/>
        <v>4805.2268090400385</v>
      </c>
      <c r="AG11" s="4">
        <f t="shared" si="3"/>
        <v>4901.3313452208395</v>
      </c>
      <c r="AH11" s="4">
        <f t="shared" si="3"/>
        <v>4999.3579721252563</v>
      </c>
      <c r="AI11" s="4">
        <f t="shared" si="3"/>
        <v>5099.3451315677612</v>
      </c>
      <c r="AJ11" s="4">
        <f t="shared" si="3"/>
        <v>5201.3320341991166</v>
      </c>
      <c r="AK11" s="4">
        <f t="shared" si="3"/>
        <v>5305.3586748830985</v>
      </c>
      <c r="AL11" s="4">
        <f t="shared" si="3"/>
        <v>5411.4658483807607</v>
      </c>
      <c r="AM11" s="4">
        <f t="shared" si="3"/>
        <v>5519.6951653483757</v>
      </c>
      <c r="AN11" s="4">
        <f t="shared" si="3"/>
        <v>5630.089068655343</v>
      </c>
      <c r="AO11" s="4">
        <f t="shared" si="3"/>
        <v>5742.6908500284489</v>
      </c>
      <c r="AP11" s="4">
        <f t="shared" si="3"/>
        <v>5857.5446670290185</v>
      </c>
      <c r="AQ11" s="4">
        <f t="shared" si="3"/>
        <v>5974.6955603695988</v>
      </c>
      <c r="AR11" s="4">
        <f t="shared" si="3"/>
        <v>6094.1894715769904</v>
      </c>
      <c r="AS11" s="4">
        <f t="shared" si="3"/>
        <v>6216.0732610085306</v>
      </c>
      <c r="AT11" s="4">
        <f t="shared" si="3"/>
        <v>6340.3947262287011</v>
      </c>
      <c r="AU11" s="4">
        <f t="shared" si="3"/>
        <v>6467.2026207532763</v>
      </c>
      <c r="AV11" s="4">
        <f t="shared" si="3"/>
        <v>6596.5466731683409</v>
      </c>
      <c r="AW11" s="4">
        <f t="shared" si="3"/>
        <v>6728.4776066317081</v>
      </c>
      <c r="AX11" s="4">
        <f t="shared" si="3"/>
        <v>6863.0471587643424</v>
      </c>
      <c r="AY11" s="4">
        <f t="shared" si="3"/>
        <v>7000.3081019396286</v>
      </c>
      <c r="AZ11" s="4">
        <f t="shared" si="3"/>
        <v>7140.314263978421</v>
      </c>
      <c r="BA11" s="295">
        <f t="shared" si="3"/>
        <v>7283.1205492579902</v>
      </c>
    </row>
    <row r="12" spans="1:53" ht="15.75" thickBot="1">
      <c r="A12"/>
      <c r="B12" s="498" t="s">
        <v>280</v>
      </c>
      <c r="C12" s="499"/>
      <c r="D12" s="305">
        <f>D8+D11</f>
        <v>140760</v>
      </c>
      <c r="E12" s="305">
        <f t="shared" ref="E12:BA12" si="4">E8+E11</f>
        <v>143575.20000000001</v>
      </c>
      <c r="F12" s="305">
        <f t="shared" si="4"/>
        <v>146446.704</v>
      </c>
      <c r="G12" s="305">
        <f t="shared" si="4"/>
        <v>149375.63808</v>
      </c>
      <c r="H12" s="305">
        <f t="shared" si="4"/>
        <v>152363.1508416</v>
      </c>
      <c r="I12" s="305">
        <f t="shared" si="4"/>
        <v>155410.413858432</v>
      </c>
      <c r="J12" s="305">
        <f t="shared" si="4"/>
        <v>158518.62213560066</v>
      </c>
      <c r="K12" s="305">
        <f t="shared" si="4"/>
        <v>161688.99457831268</v>
      </c>
      <c r="L12" s="305">
        <f t="shared" si="4"/>
        <v>164922.77446987893</v>
      </c>
      <c r="M12" s="305">
        <f t="shared" si="4"/>
        <v>168221.2299592765</v>
      </c>
      <c r="N12" s="305">
        <f t="shared" si="4"/>
        <v>171585.65455846203</v>
      </c>
      <c r="O12" s="305">
        <f t="shared" si="4"/>
        <v>175017.36764963128</v>
      </c>
      <c r="P12" s="305">
        <f t="shared" si="4"/>
        <v>178517.71500262391</v>
      </c>
      <c r="Q12" s="305">
        <f t="shared" si="4"/>
        <v>182088.06930267639</v>
      </c>
      <c r="R12" s="305">
        <f t="shared" si="4"/>
        <v>185729.83068872991</v>
      </c>
      <c r="S12" s="305">
        <f t="shared" si="4"/>
        <v>189444.42730250451</v>
      </c>
      <c r="T12" s="305">
        <f t="shared" si="4"/>
        <v>193233.3158485546</v>
      </c>
      <c r="U12" s="305">
        <f t="shared" si="4"/>
        <v>197097.9821655257</v>
      </c>
      <c r="V12" s="305">
        <f t="shared" si="4"/>
        <v>201039.94180883621</v>
      </c>
      <c r="W12" s="305">
        <f t="shared" si="4"/>
        <v>205060.74064501293</v>
      </c>
      <c r="X12" s="305">
        <f t="shared" si="4"/>
        <v>209161.95545791319</v>
      </c>
      <c r="Y12" s="305">
        <f t="shared" si="4"/>
        <v>213345.19456707145</v>
      </c>
      <c r="Z12" s="305">
        <f t="shared" si="4"/>
        <v>217612.09845841289</v>
      </c>
      <c r="AA12" s="305">
        <f t="shared" si="4"/>
        <v>221964.34042758113</v>
      </c>
      <c r="AB12" s="305">
        <f t="shared" si="4"/>
        <v>226403.62723613274</v>
      </c>
      <c r="AC12" s="305">
        <f t="shared" si="4"/>
        <v>230931.69978085539</v>
      </c>
      <c r="AD12" s="305">
        <f t="shared" si="4"/>
        <v>235550.33377647249</v>
      </c>
      <c r="AE12" s="305">
        <f t="shared" si="4"/>
        <v>240261.34045200192</v>
      </c>
      <c r="AF12" s="305">
        <f t="shared" si="4"/>
        <v>245066.56726104196</v>
      </c>
      <c r="AG12" s="305">
        <f t="shared" si="4"/>
        <v>249967.89860626281</v>
      </c>
      <c r="AH12" s="305">
        <f t="shared" si="4"/>
        <v>254967.25657838807</v>
      </c>
      <c r="AI12" s="305">
        <f t="shared" si="4"/>
        <v>260066.60170995584</v>
      </c>
      <c r="AJ12" s="305">
        <f t="shared" si="4"/>
        <v>265267.93374415493</v>
      </c>
      <c r="AK12" s="305">
        <f t="shared" si="4"/>
        <v>270573.29241903801</v>
      </c>
      <c r="AL12" s="305">
        <f t="shared" si="4"/>
        <v>275984.75826741877</v>
      </c>
      <c r="AM12" s="305">
        <f t="shared" si="4"/>
        <v>281504.45343276713</v>
      </c>
      <c r="AN12" s="305">
        <f t="shared" si="4"/>
        <v>287134.54250142246</v>
      </c>
      <c r="AO12" s="305">
        <f t="shared" si="4"/>
        <v>292877.23335145094</v>
      </c>
      <c r="AP12" s="305">
        <f t="shared" si="4"/>
        <v>298734.77801847993</v>
      </c>
      <c r="AQ12" s="305">
        <f t="shared" si="4"/>
        <v>304709.47357884952</v>
      </c>
      <c r="AR12" s="305">
        <f t="shared" si="4"/>
        <v>310803.66305042652</v>
      </c>
      <c r="AS12" s="305">
        <f t="shared" si="4"/>
        <v>317019.73631143506</v>
      </c>
      <c r="AT12" s="305">
        <f t="shared" si="4"/>
        <v>323360.13103766378</v>
      </c>
      <c r="AU12" s="305">
        <f t="shared" si="4"/>
        <v>329827.33365841705</v>
      </c>
      <c r="AV12" s="305">
        <f t="shared" si="4"/>
        <v>336423.88033158542</v>
      </c>
      <c r="AW12" s="305">
        <f t="shared" si="4"/>
        <v>343152.35793821712</v>
      </c>
      <c r="AX12" s="305">
        <f t="shared" si="4"/>
        <v>350015.40509698144</v>
      </c>
      <c r="AY12" s="305">
        <f t="shared" si="4"/>
        <v>357015.71319892106</v>
      </c>
      <c r="AZ12" s="305">
        <f t="shared" si="4"/>
        <v>364156.02746289951</v>
      </c>
      <c r="BA12" s="306">
        <f t="shared" si="4"/>
        <v>371439.14801215753</v>
      </c>
    </row>
    <row r="13" spans="1:53" ht="39" customHeight="1" thickBot="1">
      <c r="D13" s="36"/>
    </row>
    <row r="14" spans="1:53" ht="18" thickBot="1">
      <c r="B14" s="273" t="s">
        <v>263</v>
      </c>
      <c r="D14" s="36"/>
    </row>
    <row r="15" spans="1:53" ht="15.75" thickBot="1">
      <c r="B15" s="276" t="s">
        <v>46</v>
      </c>
      <c r="C15" s="277"/>
      <c r="D15" s="278">
        <f>'Miete, Cashflow, Steuern'!D7</f>
        <v>2024</v>
      </c>
      <c r="E15" s="279">
        <f>'Miete, Cashflow, Steuern'!E7</f>
        <v>2025</v>
      </c>
      <c r="F15" s="279">
        <f>'Miete, Cashflow, Steuern'!F7</f>
        <v>2026</v>
      </c>
      <c r="G15" s="279">
        <f>'Miete, Cashflow, Steuern'!G7</f>
        <v>2027</v>
      </c>
      <c r="H15" s="279">
        <f>'Miete, Cashflow, Steuern'!H7</f>
        <v>2028</v>
      </c>
      <c r="I15" s="279">
        <f>'Miete, Cashflow, Steuern'!I7</f>
        <v>2029</v>
      </c>
      <c r="J15" s="279">
        <f>'Miete, Cashflow, Steuern'!J7</f>
        <v>2030</v>
      </c>
      <c r="K15" s="279">
        <f>'Miete, Cashflow, Steuern'!K7</f>
        <v>2031</v>
      </c>
      <c r="L15" s="279">
        <f>'Miete, Cashflow, Steuern'!L7</f>
        <v>2032</v>
      </c>
      <c r="M15" s="279">
        <f>'Miete, Cashflow, Steuern'!M7</f>
        <v>2033</v>
      </c>
      <c r="N15" s="279">
        <f>'Miete, Cashflow, Steuern'!N7</f>
        <v>2034</v>
      </c>
      <c r="O15" s="279">
        <f>'Miete, Cashflow, Steuern'!O7</f>
        <v>2035</v>
      </c>
      <c r="P15" s="279">
        <f>'Miete, Cashflow, Steuern'!P7</f>
        <v>2036</v>
      </c>
      <c r="Q15" s="279">
        <f>'Miete, Cashflow, Steuern'!Q7</f>
        <v>2037</v>
      </c>
      <c r="R15" s="279">
        <f>'Miete, Cashflow, Steuern'!R7</f>
        <v>2038</v>
      </c>
      <c r="S15" s="279">
        <f>'Miete, Cashflow, Steuern'!S7</f>
        <v>2039</v>
      </c>
      <c r="T15" s="279">
        <f>'Miete, Cashflow, Steuern'!T7</f>
        <v>2040</v>
      </c>
      <c r="U15" s="279">
        <f>'Miete, Cashflow, Steuern'!U7</f>
        <v>2041</v>
      </c>
      <c r="V15" s="279">
        <f>'Miete, Cashflow, Steuern'!V7</f>
        <v>2042</v>
      </c>
      <c r="W15" s="279">
        <f>'Miete, Cashflow, Steuern'!W7</f>
        <v>2043</v>
      </c>
      <c r="X15" s="279">
        <f>'Miete, Cashflow, Steuern'!X7</f>
        <v>2044</v>
      </c>
      <c r="Y15" s="279">
        <f>'Miete, Cashflow, Steuern'!Y7</f>
        <v>2045</v>
      </c>
      <c r="Z15" s="279">
        <f>'Miete, Cashflow, Steuern'!Z7</f>
        <v>2046</v>
      </c>
      <c r="AA15" s="279">
        <f>'Miete, Cashflow, Steuern'!AA7</f>
        <v>2047</v>
      </c>
      <c r="AB15" s="279">
        <f>'Miete, Cashflow, Steuern'!AB7</f>
        <v>2048</v>
      </c>
      <c r="AC15" s="279">
        <f>'Miete, Cashflow, Steuern'!AC7</f>
        <v>2049</v>
      </c>
      <c r="AD15" s="279">
        <f>'Miete, Cashflow, Steuern'!AD7</f>
        <v>2050</v>
      </c>
      <c r="AE15" s="279">
        <f>'Miete, Cashflow, Steuern'!AE7</f>
        <v>2051</v>
      </c>
      <c r="AF15" s="279">
        <f>'Miete, Cashflow, Steuern'!AF7</f>
        <v>2052</v>
      </c>
      <c r="AG15" s="279">
        <f>'Miete, Cashflow, Steuern'!AG7</f>
        <v>2053</v>
      </c>
      <c r="AH15" s="279">
        <f>'Miete, Cashflow, Steuern'!AH7</f>
        <v>2054</v>
      </c>
      <c r="AI15" s="279">
        <f>'Miete, Cashflow, Steuern'!AI7</f>
        <v>2055</v>
      </c>
      <c r="AJ15" s="279">
        <f>'Miete, Cashflow, Steuern'!AJ7</f>
        <v>2056</v>
      </c>
      <c r="AK15" s="279">
        <f>'Miete, Cashflow, Steuern'!AK7</f>
        <v>2057</v>
      </c>
      <c r="AL15" s="279">
        <f>'Miete, Cashflow, Steuern'!AL7</f>
        <v>2058</v>
      </c>
      <c r="AM15" s="279">
        <f>'Miete, Cashflow, Steuern'!AM7</f>
        <v>2059</v>
      </c>
      <c r="AN15" s="279">
        <f>'Miete, Cashflow, Steuern'!AN7</f>
        <v>2060</v>
      </c>
      <c r="AO15" s="279">
        <f>'Miete, Cashflow, Steuern'!AO7</f>
        <v>2061</v>
      </c>
      <c r="AP15" s="279">
        <f>'Miete, Cashflow, Steuern'!AP7</f>
        <v>2062</v>
      </c>
      <c r="AQ15" s="279">
        <f>'Miete, Cashflow, Steuern'!AQ7</f>
        <v>2063</v>
      </c>
      <c r="AR15" s="279">
        <f>'Miete, Cashflow, Steuern'!AR7</f>
        <v>2064</v>
      </c>
      <c r="AS15" s="279">
        <f>'Miete, Cashflow, Steuern'!AS7</f>
        <v>2065</v>
      </c>
      <c r="AT15" s="279">
        <f>'Miete, Cashflow, Steuern'!AT7</f>
        <v>2066</v>
      </c>
      <c r="AU15" s="279">
        <f>'Miete, Cashflow, Steuern'!AU7</f>
        <v>2067</v>
      </c>
      <c r="AV15" s="279">
        <f>'Miete, Cashflow, Steuern'!AV7</f>
        <v>2068</v>
      </c>
      <c r="AW15" s="279">
        <f>'Miete, Cashflow, Steuern'!AW7</f>
        <v>2069</v>
      </c>
      <c r="AX15" s="279">
        <f>'Miete, Cashflow, Steuern'!AX7</f>
        <v>2070</v>
      </c>
      <c r="AY15" s="279">
        <f>'Miete, Cashflow, Steuern'!AY7</f>
        <v>2071</v>
      </c>
      <c r="AZ15" s="279">
        <f>'Miete, Cashflow, Steuern'!AZ7</f>
        <v>2072</v>
      </c>
      <c r="BA15" s="280">
        <f>'Miete, Cashflow, Steuern'!BA7</f>
        <v>2073</v>
      </c>
    </row>
    <row r="16" spans="1:53">
      <c r="B16" s="303" t="s">
        <v>483</v>
      </c>
      <c r="C16" s="137"/>
      <c r="D16" s="10">
        <f>Cockpit!H22</f>
        <v>85566</v>
      </c>
      <c r="E16" s="10">
        <f>D16</f>
        <v>85566</v>
      </c>
      <c r="F16" s="10">
        <f t="shared" ref="F16:BA16" si="5">E16</f>
        <v>85566</v>
      </c>
      <c r="G16" s="10">
        <f t="shared" si="5"/>
        <v>85566</v>
      </c>
      <c r="H16" s="10">
        <f t="shared" si="5"/>
        <v>85566</v>
      </c>
      <c r="I16" s="10">
        <f t="shared" si="5"/>
        <v>85566</v>
      </c>
      <c r="J16" s="10">
        <f t="shared" si="5"/>
        <v>85566</v>
      </c>
      <c r="K16" s="10">
        <f t="shared" si="5"/>
        <v>85566</v>
      </c>
      <c r="L16" s="10">
        <f t="shared" si="5"/>
        <v>85566</v>
      </c>
      <c r="M16" s="10">
        <f t="shared" si="5"/>
        <v>85566</v>
      </c>
      <c r="N16" s="10">
        <f t="shared" si="5"/>
        <v>85566</v>
      </c>
      <c r="O16" s="10">
        <f t="shared" si="5"/>
        <v>85566</v>
      </c>
      <c r="P16" s="10">
        <f t="shared" si="5"/>
        <v>85566</v>
      </c>
      <c r="Q16" s="10">
        <f t="shared" si="5"/>
        <v>85566</v>
      </c>
      <c r="R16" s="10">
        <f t="shared" si="5"/>
        <v>85566</v>
      </c>
      <c r="S16" s="10">
        <f t="shared" si="5"/>
        <v>85566</v>
      </c>
      <c r="T16" s="10">
        <f t="shared" si="5"/>
        <v>85566</v>
      </c>
      <c r="U16" s="10">
        <f t="shared" si="5"/>
        <v>85566</v>
      </c>
      <c r="V16" s="10">
        <f t="shared" si="5"/>
        <v>85566</v>
      </c>
      <c r="W16" s="10">
        <f t="shared" si="5"/>
        <v>85566</v>
      </c>
      <c r="X16" s="10">
        <f t="shared" si="5"/>
        <v>85566</v>
      </c>
      <c r="Y16" s="10">
        <f t="shared" si="5"/>
        <v>85566</v>
      </c>
      <c r="Z16" s="10">
        <f t="shared" si="5"/>
        <v>85566</v>
      </c>
      <c r="AA16" s="10">
        <f t="shared" si="5"/>
        <v>85566</v>
      </c>
      <c r="AB16" s="10">
        <f t="shared" si="5"/>
        <v>85566</v>
      </c>
      <c r="AC16" s="10">
        <f t="shared" si="5"/>
        <v>85566</v>
      </c>
      <c r="AD16" s="10">
        <f t="shared" si="5"/>
        <v>85566</v>
      </c>
      <c r="AE16" s="10">
        <f t="shared" si="5"/>
        <v>85566</v>
      </c>
      <c r="AF16" s="10">
        <f t="shared" si="5"/>
        <v>85566</v>
      </c>
      <c r="AG16" s="10">
        <f t="shared" si="5"/>
        <v>85566</v>
      </c>
      <c r="AH16" s="10">
        <f t="shared" si="5"/>
        <v>85566</v>
      </c>
      <c r="AI16" s="10">
        <f t="shared" si="5"/>
        <v>85566</v>
      </c>
      <c r="AJ16" s="10">
        <f t="shared" si="5"/>
        <v>85566</v>
      </c>
      <c r="AK16" s="10">
        <f t="shared" si="5"/>
        <v>85566</v>
      </c>
      <c r="AL16" s="10">
        <f t="shared" si="5"/>
        <v>85566</v>
      </c>
      <c r="AM16" s="10">
        <f t="shared" si="5"/>
        <v>85566</v>
      </c>
      <c r="AN16" s="10">
        <f t="shared" si="5"/>
        <v>85566</v>
      </c>
      <c r="AO16" s="10">
        <f t="shared" si="5"/>
        <v>85566</v>
      </c>
      <c r="AP16" s="10">
        <f t="shared" si="5"/>
        <v>85566</v>
      </c>
      <c r="AQ16" s="10">
        <f t="shared" si="5"/>
        <v>85566</v>
      </c>
      <c r="AR16" s="10">
        <f t="shared" si="5"/>
        <v>85566</v>
      </c>
      <c r="AS16" s="10">
        <f t="shared" si="5"/>
        <v>85566</v>
      </c>
      <c r="AT16" s="10">
        <f t="shared" si="5"/>
        <v>85566</v>
      </c>
      <c r="AU16" s="10">
        <f t="shared" si="5"/>
        <v>85566</v>
      </c>
      <c r="AV16" s="10">
        <f t="shared" si="5"/>
        <v>85566</v>
      </c>
      <c r="AW16" s="10">
        <f t="shared" si="5"/>
        <v>85566</v>
      </c>
      <c r="AX16" s="10">
        <f t="shared" si="5"/>
        <v>85566</v>
      </c>
      <c r="AY16" s="10">
        <f t="shared" si="5"/>
        <v>85566</v>
      </c>
      <c r="AZ16" s="10">
        <f t="shared" si="5"/>
        <v>85566</v>
      </c>
      <c r="BA16" s="283">
        <f t="shared" si="5"/>
        <v>85566</v>
      </c>
    </row>
    <row r="17" spans="2:53">
      <c r="B17" s="479" t="s">
        <v>264</v>
      </c>
      <c r="C17" s="480"/>
      <c r="D17" s="37">
        <f>Cockpit!H20</f>
        <v>1.4999999999999999E-2</v>
      </c>
      <c r="E17" s="37">
        <f t="shared" ref="E17:AJ17" si="6">D17</f>
        <v>1.4999999999999999E-2</v>
      </c>
      <c r="F17" s="37">
        <f t="shared" si="6"/>
        <v>1.4999999999999999E-2</v>
      </c>
      <c r="G17" s="37">
        <f t="shared" si="6"/>
        <v>1.4999999999999999E-2</v>
      </c>
      <c r="H17" s="37">
        <f t="shared" si="6"/>
        <v>1.4999999999999999E-2</v>
      </c>
      <c r="I17" s="37">
        <f t="shared" si="6"/>
        <v>1.4999999999999999E-2</v>
      </c>
      <c r="J17" s="37">
        <f t="shared" si="6"/>
        <v>1.4999999999999999E-2</v>
      </c>
      <c r="K17" s="37">
        <f t="shared" si="6"/>
        <v>1.4999999999999999E-2</v>
      </c>
      <c r="L17" s="37">
        <f t="shared" si="6"/>
        <v>1.4999999999999999E-2</v>
      </c>
      <c r="M17" s="37">
        <f t="shared" si="6"/>
        <v>1.4999999999999999E-2</v>
      </c>
      <c r="N17" s="37">
        <f t="shared" si="6"/>
        <v>1.4999999999999999E-2</v>
      </c>
      <c r="O17" s="37">
        <f t="shared" si="6"/>
        <v>1.4999999999999999E-2</v>
      </c>
      <c r="P17" s="37">
        <f t="shared" si="6"/>
        <v>1.4999999999999999E-2</v>
      </c>
      <c r="Q17" s="37">
        <f t="shared" si="6"/>
        <v>1.4999999999999999E-2</v>
      </c>
      <c r="R17" s="37">
        <f t="shared" si="6"/>
        <v>1.4999999999999999E-2</v>
      </c>
      <c r="S17" s="37">
        <f t="shared" si="6"/>
        <v>1.4999999999999999E-2</v>
      </c>
      <c r="T17" s="37">
        <f t="shared" si="6"/>
        <v>1.4999999999999999E-2</v>
      </c>
      <c r="U17" s="37">
        <f t="shared" si="6"/>
        <v>1.4999999999999999E-2</v>
      </c>
      <c r="V17" s="37">
        <f t="shared" si="6"/>
        <v>1.4999999999999999E-2</v>
      </c>
      <c r="W17" s="37">
        <f t="shared" si="6"/>
        <v>1.4999999999999999E-2</v>
      </c>
      <c r="X17" s="37">
        <f t="shared" si="6"/>
        <v>1.4999999999999999E-2</v>
      </c>
      <c r="Y17" s="37">
        <f t="shared" si="6"/>
        <v>1.4999999999999999E-2</v>
      </c>
      <c r="Z17" s="37">
        <f t="shared" si="6"/>
        <v>1.4999999999999999E-2</v>
      </c>
      <c r="AA17" s="37">
        <f t="shared" si="6"/>
        <v>1.4999999999999999E-2</v>
      </c>
      <c r="AB17" s="37">
        <f t="shared" si="6"/>
        <v>1.4999999999999999E-2</v>
      </c>
      <c r="AC17" s="37">
        <f t="shared" si="6"/>
        <v>1.4999999999999999E-2</v>
      </c>
      <c r="AD17" s="37">
        <f t="shared" si="6"/>
        <v>1.4999999999999999E-2</v>
      </c>
      <c r="AE17" s="37">
        <f t="shared" si="6"/>
        <v>1.4999999999999999E-2</v>
      </c>
      <c r="AF17" s="37">
        <f t="shared" si="6"/>
        <v>1.4999999999999999E-2</v>
      </c>
      <c r="AG17" s="37">
        <f t="shared" si="6"/>
        <v>1.4999999999999999E-2</v>
      </c>
      <c r="AH17" s="37">
        <f t="shared" si="6"/>
        <v>1.4999999999999999E-2</v>
      </c>
      <c r="AI17" s="37">
        <f t="shared" si="6"/>
        <v>1.4999999999999999E-2</v>
      </c>
      <c r="AJ17" s="37">
        <f t="shared" si="6"/>
        <v>1.4999999999999999E-2</v>
      </c>
      <c r="AK17" s="37">
        <f t="shared" ref="AK17:BA17" si="7">AJ17</f>
        <v>1.4999999999999999E-2</v>
      </c>
      <c r="AL17" s="37">
        <f t="shared" si="7"/>
        <v>1.4999999999999999E-2</v>
      </c>
      <c r="AM17" s="37">
        <f t="shared" si="7"/>
        <v>1.4999999999999999E-2</v>
      </c>
      <c r="AN17" s="37">
        <f t="shared" si="7"/>
        <v>1.4999999999999999E-2</v>
      </c>
      <c r="AO17" s="37">
        <f t="shared" si="7"/>
        <v>1.4999999999999999E-2</v>
      </c>
      <c r="AP17" s="37">
        <f t="shared" si="7"/>
        <v>1.4999999999999999E-2</v>
      </c>
      <c r="AQ17" s="37">
        <f t="shared" si="7"/>
        <v>1.4999999999999999E-2</v>
      </c>
      <c r="AR17" s="37">
        <f t="shared" si="7"/>
        <v>1.4999999999999999E-2</v>
      </c>
      <c r="AS17" s="37">
        <f t="shared" si="7"/>
        <v>1.4999999999999999E-2</v>
      </c>
      <c r="AT17" s="37">
        <f t="shared" si="7"/>
        <v>1.4999999999999999E-2</v>
      </c>
      <c r="AU17" s="37">
        <f t="shared" si="7"/>
        <v>1.4999999999999999E-2</v>
      </c>
      <c r="AV17" s="37">
        <f t="shared" si="7"/>
        <v>1.4999999999999999E-2</v>
      </c>
      <c r="AW17" s="37">
        <f t="shared" si="7"/>
        <v>1.4999999999999999E-2</v>
      </c>
      <c r="AX17" s="37">
        <f t="shared" si="7"/>
        <v>1.4999999999999999E-2</v>
      </c>
      <c r="AY17" s="37">
        <f t="shared" si="7"/>
        <v>1.4999999999999999E-2</v>
      </c>
      <c r="AZ17" s="37">
        <f t="shared" si="7"/>
        <v>1.4999999999999999E-2</v>
      </c>
      <c r="BA17" s="304">
        <f t="shared" si="7"/>
        <v>1.4999999999999999E-2</v>
      </c>
    </row>
    <row r="18" spans="2:53">
      <c r="B18" s="479" t="s">
        <v>265</v>
      </c>
      <c r="C18" s="480"/>
      <c r="D18" s="10">
        <f>D17*D16</f>
        <v>1283.49</v>
      </c>
      <c r="E18" s="10">
        <f t="shared" ref="E18:AJ18" si="8">MIN(E17*E16,E16-D20)</f>
        <v>1283.49</v>
      </c>
      <c r="F18" s="10">
        <f t="shared" si="8"/>
        <v>1283.49</v>
      </c>
      <c r="G18" s="10">
        <f t="shared" si="8"/>
        <v>1283.49</v>
      </c>
      <c r="H18" s="10">
        <f t="shared" si="8"/>
        <v>1283.49</v>
      </c>
      <c r="I18" s="10">
        <f t="shared" si="8"/>
        <v>1283.49</v>
      </c>
      <c r="J18" s="10">
        <f t="shared" si="8"/>
        <v>1283.49</v>
      </c>
      <c r="K18" s="10">
        <f t="shared" si="8"/>
        <v>1283.49</v>
      </c>
      <c r="L18" s="10">
        <f t="shared" si="8"/>
        <v>1283.49</v>
      </c>
      <c r="M18" s="10">
        <f t="shared" si="8"/>
        <v>1283.49</v>
      </c>
      <c r="N18" s="10">
        <f t="shared" si="8"/>
        <v>1283.49</v>
      </c>
      <c r="O18" s="10">
        <f t="shared" si="8"/>
        <v>1283.49</v>
      </c>
      <c r="P18" s="10">
        <f t="shared" si="8"/>
        <v>1283.49</v>
      </c>
      <c r="Q18" s="10">
        <f t="shared" si="8"/>
        <v>1283.49</v>
      </c>
      <c r="R18" s="10">
        <f t="shared" si="8"/>
        <v>1283.49</v>
      </c>
      <c r="S18" s="10">
        <f t="shared" si="8"/>
        <v>1283.49</v>
      </c>
      <c r="T18" s="10">
        <f t="shared" si="8"/>
        <v>1283.49</v>
      </c>
      <c r="U18" s="10">
        <f t="shared" si="8"/>
        <v>1283.49</v>
      </c>
      <c r="V18" s="10">
        <f t="shared" si="8"/>
        <v>1283.49</v>
      </c>
      <c r="W18" s="10">
        <f t="shared" si="8"/>
        <v>1283.49</v>
      </c>
      <c r="X18" s="10">
        <f t="shared" si="8"/>
        <v>1283.49</v>
      </c>
      <c r="Y18" s="10">
        <f t="shared" si="8"/>
        <v>1283.49</v>
      </c>
      <c r="Z18" s="10">
        <f t="shared" si="8"/>
        <v>1283.49</v>
      </c>
      <c r="AA18" s="10">
        <f t="shared" si="8"/>
        <v>1283.49</v>
      </c>
      <c r="AB18" s="10">
        <f t="shared" si="8"/>
        <v>1283.49</v>
      </c>
      <c r="AC18" s="10">
        <f t="shared" si="8"/>
        <v>1283.49</v>
      </c>
      <c r="AD18" s="10">
        <f t="shared" si="8"/>
        <v>1283.49</v>
      </c>
      <c r="AE18" s="10">
        <f t="shared" si="8"/>
        <v>1283.49</v>
      </c>
      <c r="AF18" s="10">
        <f t="shared" si="8"/>
        <v>1283.49</v>
      </c>
      <c r="AG18" s="10">
        <f t="shared" si="8"/>
        <v>1283.49</v>
      </c>
      <c r="AH18" s="10">
        <f t="shared" si="8"/>
        <v>1283.49</v>
      </c>
      <c r="AI18" s="10">
        <f t="shared" si="8"/>
        <v>1283.49</v>
      </c>
      <c r="AJ18" s="10">
        <f t="shared" si="8"/>
        <v>1283.49</v>
      </c>
      <c r="AK18" s="10">
        <f t="shared" ref="AK18:BA18" si="9">MIN(AK17*AK16,AK16-AJ20)</f>
        <v>1283.49</v>
      </c>
      <c r="AL18" s="10">
        <f t="shared" si="9"/>
        <v>1283.49</v>
      </c>
      <c r="AM18" s="10">
        <f t="shared" si="9"/>
        <v>1283.49</v>
      </c>
      <c r="AN18" s="10">
        <f t="shared" si="9"/>
        <v>1283.49</v>
      </c>
      <c r="AO18" s="10">
        <f t="shared" si="9"/>
        <v>1283.49</v>
      </c>
      <c r="AP18" s="10">
        <f t="shared" si="9"/>
        <v>1283.49</v>
      </c>
      <c r="AQ18" s="10">
        <f t="shared" si="9"/>
        <v>1283.49</v>
      </c>
      <c r="AR18" s="10">
        <f t="shared" si="9"/>
        <v>1283.49</v>
      </c>
      <c r="AS18" s="10">
        <f t="shared" si="9"/>
        <v>1283.49</v>
      </c>
      <c r="AT18" s="10">
        <f t="shared" si="9"/>
        <v>1283.49</v>
      </c>
      <c r="AU18" s="10">
        <f t="shared" si="9"/>
        <v>1283.49</v>
      </c>
      <c r="AV18" s="10">
        <f t="shared" si="9"/>
        <v>1283.49</v>
      </c>
      <c r="AW18" s="10">
        <f t="shared" si="9"/>
        <v>1283.49</v>
      </c>
      <c r="AX18" s="10">
        <f t="shared" si="9"/>
        <v>1283.49</v>
      </c>
      <c r="AY18" s="10">
        <f t="shared" si="9"/>
        <v>1283.49</v>
      </c>
      <c r="AZ18" s="10">
        <f t="shared" si="9"/>
        <v>1283.49</v>
      </c>
      <c r="BA18" s="283">
        <f t="shared" si="9"/>
        <v>1283.49</v>
      </c>
    </row>
    <row r="19" spans="2:53">
      <c r="B19" s="494" t="s">
        <v>266</v>
      </c>
      <c r="C19" s="495"/>
      <c r="D19" s="38">
        <f>D18/12</f>
        <v>106.9575</v>
      </c>
      <c r="E19" s="10">
        <f>E18/12</f>
        <v>106.9575</v>
      </c>
      <c r="F19" s="10">
        <f t="shared" ref="F19:BA19" si="10">F18/12</f>
        <v>106.9575</v>
      </c>
      <c r="G19" s="10">
        <f t="shared" si="10"/>
        <v>106.9575</v>
      </c>
      <c r="H19" s="10">
        <f t="shared" si="10"/>
        <v>106.9575</v>
      </c>
      <c r="I19" s="10">
        <f t="shared" si="10"/>
        <v>106.9575</v>
      </c>
      <c r="J19" s="10">
        <f t="shared" si="10"/>
        <v>106.9575</v>
      </c>
      <c r="K19" s="10">
        <f t="shared" si="10"/>
        <v>106.9575</v>
      </c>
      <c r="L19" s="10">
        <f t="shared" si="10"/>
        <v>106.9575</v>
      </c>
      <c r="M19" s="10">
        <f t="shared" si="10"/>
        <v>106.9575</v>
      </c>
      <c r="N19" s="10">
        <f t="shared" si="10"/>
        <v>106.9575</v>
      </c>
      <c r="O19" s="10">
        <f t="shared" si="10"/>
        <v>106.9575</v>
      </c>
      <c r="P19" s="10">
        <f t="shared" si="10"/>
        <v>106.9575</v>
      </c>
      <c r="Q19" s="10">
        <f t="shared" si="10"/>
        <v>106.9575</v>
      </c>
      <c r="R19" s="10">
        <f t="shared" si="10"/>
        <v>106.9575</v>
      </c>
      <c r="S19" s="10">
        <f t="shared" si="10"/>
        <v>106.9575</v>
      </c>
      <c r="T19" s="10">
        <f t="shared" si="10"/>
        <v>106.9575</v>
      </c>
      <c r="U19" s="10">
        <f t="shared" si="10"/>
        <v>106.9575</v>
      </c>
      <c r="V19" s="10">
        <f t="shared" si="10"/>
        <v>106.9575</v>
      </c>
      <c r="W19" s="10">
        <f t="shared" si="10"/>
        <v>106.9575</v>
      </c>
      <c r="X19" s="10">
        <f t="shared" si="10"/>
        <v>106.9575</v>
      </c>
      <c r="Y19" s="10">
        <f t="shared" si="10"/>
        <v>106.9575</v>
      </c>
      <c r="Z19" s="10">
        <f t="shared" si="10"/>
        <v>106.9575</v>
      </c>
      <c r="AA19" s="10">
        <f t="shared" si="10"/>
        <v>106.9575</v>
      </c>
      <c r="AB19" s="10">
        <f t="shared" si="10"/>
        <v>106.9575</v>
      </c>
      <c r="AC19" s="10">
        <f t="shared" si="10"/>
        <v>106.9575</v>
      </c>
      <c r="AD19" s="10">
        <f t="shared" si="10"/>
        <v>106.9575</v>
      </c>
      <c r="AE19" s="10">
        <f t="shared" si="10"/>
        <v>106.9575</v>
      </c>
      <c r="AF19" s="10">
        <f t="shared" si="10"/>
        <v>106.9575</v>
      </c>
      <c r="AG19" s="10">
        <f t="shared" si="10"/>
        <v>106.9575</v>
      </c>
      <c r="AH19" s="10">
        <f t="shared" si="10"/>
        <v>106.9575</v>
      </c>
      <c r="AI19" s="10">
        <f t="shared" si="10"/>
        <v>106.9575</v>
      </c>
      <c r="AJ19" s="10">
        <f t="shared" si="10"/>
        <v>106.9575</v>
      </c>
      <c r="AK19" s="10">
        <f t="shared" si="10"/>
        <v>106.9575</v>
      </c>
      <c r="AL19" s="10">
        <f t="shared" si="10"/>
        <v>106.9575</v>
      </c>
      <c r="AM19" s="10">
        <f t="shared" si="10"/>
        <v>106.9575</v>
      </c>
      <c r="AN19" s="10">
        <f t="shared" si="10"/>
        <v>106.9575</v>
      </c>
      <c r="AO19" s="10">
        <f t="shared" si="10"/>
        <v>106.9575</v>
      </c>
      <c r="AP19" s="10">
        <f t="shared" si="10"/>
        <v>106.9575</v>
      </c>
      <c r="AQ19" s="10">
        <f t="shared" si="10"/>
        <v>106.9575</v>
      </c>
      <c r="AR19" s="10">
        <f t="shared" si="10"/>
        <v>106.9575</v>
      </c>
      <c r="AS19" s="10">
        <f t="shared" si="10"/>
        <v>106.9575</v>
      </c>
      <c r="AT19" s="10">
        <f t="shared" si="10"/>
        <v>106.9575</v>
      </c>
      <c r="AU19" s="10">
        <f t="shared" si="10"/>
        <v>106.9575</v>
      </c>
      <c r="AV19" s="10">
        <f t="shared" si="10"/>
        <v>106.9575</v>
      </c>
      <c r="AW19" s="10">
        <f t="shared" si="10"/>
        <v>106.9575</v>
      </c>
      <c r="AX19" s="10">
        <f t="shared" si="10"/>
        <v>106.9575</v>
      </c>
      <c r="AY19" s="10">
        <f t="shared" si="10"/>
        <v>106.9575</v>
      </c>
      <c r="AZ19" s="10">
        <f t="shared" si="10"/>
        <v>106.9575</v>
      </c>
      <c r="BA19" s="283">
        <f t="shared" si="10"/>
        <v>106.9575</v>
      </c>
    </row>
    <row r="20" spans="2:53" ht="15.75" thickBot="1">
      <c r="B20" s="481" t="s">
        <v>258</v>
      </c>
      <c r="C20" s="482"/>
      <c r="D20" s="284">
        <f>D18</f>
        <v>1283.49</v>
      </c>
      <c r="E20" s="284">
        <f t="shared" ref="E20:AJ20" si="11">D20+E18</f>
        <v>2566.98</v>
      </c>
      <c r="F20" s="284">
        <f t="shared" si="11"/>
        <v>3850.4700000000003</v>
      </c>
      <c r="G20" s="284">
        <f t="shared" si="11"/>
        <v>5133.96</v>
      </c>
      <c r="H20" s="284">
        <f t="shared" si="11"/>
        <v>6417.45</v>
      </c>
      <c r="I20" s="284">
        <f t="shared" si="11"/>
        <v>7700.94</v>
      </c>
      <c r="J20" s="284">
        <f t="shared" si="11"/>
        <v>8984.43</v>
      </c>
      <c r="K20" s="284">
        <f t="shared" si="11"/>
        <v>10267.92</v>
      </c>
      <c r="L20" s="284">
        <f t="shared" si="11"/>
        <v>11551.41</v>
      </c>
      <c r="M20" s="284">
        <f t="shared" si="11"/>
        <v>12834.9</v>
      </c>
      <c r="N20" s="284">
        <f t="shared" si="11"/>
        <v>14118.39</v>
      </c>
      <c r="O20" s="284">
        <f t="shared" si="11"/>
        <v>15401.88</v>
      </c>
      <c r="P20" s="284">
        <f t="shared" si="11"/>
        <v>16685.37</v>
      </c>
      <c r="Q20" s="284">
        <f t="shared" si="11"/>
        <v>17968.86</v>
      </c>
      <c r="R20" s="284">
        <f t="shared" si="11"/>
        <v>19252.350000000002</v>
      </c>
      <c r="S20" s="284">
        <f t="shared" si="11"/>
        <v>20535.840000000004</v>
      </c>
      <c r="T20" s="284">
        <f t="shared" si="11"/>
        <v>21819.330000000005</v>
      </c>
      <c r="U20" s="284">
        <f t="shared" si="11"/>
        <v>23102.820000000007</v>
      </c>
      <c r="V20" s="284">
        <f t="shared" si="11"/>
        <v>24386.310000000009</v>
      </c>
      <c r="W20" s="284">
        <f t="shared" si="11"/>
        <v>25669.80000000001</v>
      </c>
      <c r="X20" s="284">
        <f t="shared" si="11"/>
        <v>26953.290000000012</v>
      </c>
      <c r="Y20" s="284">
        <f t="shared" si="11"/>
        <v>28236.780000000013</v>
      </c>
      <c r="Z20" s="284">
        <f t="shared" si="11"/>
        <v>29520.270000000015</v>
      </c>
      <c r="AA20" s="284">
        <f t="shared" si="11"/>
        <v>30803.760000000017</v>
      </c>
      <c r="AB20" s="284">
        <f t="shared" si="11"/>
        <v>32087.250000000018</v>
      </c>
      <c r="AC20" s="284">
        <f t="shared" si="11"/>
        <v>33370.74000000002</v>
      </c>
      <c r="AD20" s="284">
        <f t="shared" si="11"/>
        <v>34654.230000000018</v>
      </c>
      <c r="AE20" s="284">
        <f t="shared" si="11"/>
        <v>35937.720000000016</v>
      </c>
      <c r="AF20" s="284">
        <f t="shared" si="11"/>
        <v>37221.210000000014</v>
      </c>
      <c r="AG20" s="284">
        <f t="shared" si="11"/>
        <v>38504.700000000012</v>
      </c>
      <c r="AH20" s="284">
        <f t="shared" si="11"/>
        <v>39788.19000000001</v>
      </c>
      <c r="AI20" s="284">
        <f t="shared" si="11"/>
        <v>41071.680000000008</v>
      </c>
      <c r="AJ20" s="284">
        <f t="shared" si="11"/>
        <v>42355.170000000006</v>
      </c>
      <c r="AK20" s="284">
        <f t="shared" ref="AK20:BA20" si="12">AJ20+AK18</f>
        <v>43638.66</v>
      </c>
      <c r="AL20" s="284">
        <f t="shared" si="12"/>
        <v>44922.15</v>
      </c>
      <c r="AM20" s="284">
        <f t="shared" si="12"/>
        <v>46205.64</v>
      </c>
      <c r="AN20" s="284">
        <f t="shared" si="12"/>
        <v>47489.13</v>
      </c>
      <c r="AO20" s="284">
        <f t="shared" si="12"/>
        <v>48772.619999999995</v>
      </c>
      <c r="AP20" s="284">
        <f t="shared" si="12"/>
        <v>50056.109999999993</v>
      </c>
      <c r="AQ20" s="284">
        <f t="shared" si="12"/>
        <v>51339.599999999991</v>
      </c>
      <c r="AR20" s="284">
        <f t="shared" si="12"/>
        <v>52623.089999999989</v>
      </c>
      <c r="AS20" s="284">
        <f t="shared" si="12"/>
        <v>53906.579999999987</v>
      </c>
      <c r="AT20" s="284">
        <f t="shared" si="12"/>
        <v>55190.069999999985</v>
      </c>
      <c r="AU20" s="284">
        <f t="shared" si="12"/>
        <v>56473.559999999983</v>
      </c>
      <c r="AV20" s="284">
        <f t="shared" si="12"/>
        <v>57757.049999999981</v>
      </c>
      <c r="AW20" s="284">
        <f t="shared" si="12"/>
        <v>59040.539999999979</v>
      </c>
      <c r="AX20" s="284">
        <f t="shared" si="12"/>
        <v>60324.029999999977</v>
      </c>
      <c r="AY20" s="284">
        <f t="shared" si="12"/>
        <v>61607.519999999975</v>
      </c>
      <c r="AZ20" s="284">
        <f t="shared" si="12"/>
        <v>62891.009999999973</v>
      </c>
      <c r="BA20" s="285">
        <f t="shared" si="12"/>
        <v>64174.499999999971</v>
      </c>
    </row>
    <row r="21" spans="2:53" ht="15.75" thickBot="1">
      <c r="D21" s="36"/>
    </row>
    <row r="22" spans="2:53" ht="18" hidden="1" thickBot="1">
      <c r="B22" s="273" t="s">
        <v>262</v>
      </c>
      <c r="D22" s="36"/>
    </row>
    <row r="23" spans="2:53" ht="15.75" hidden="1" thickBot="1">
      <c r="B23" s="276" t="s">
        <v>46</v>
      </c>
      <c r="C23" s="277"/>
      <c r="D23" s="278">
        <f t="shared" ref="D23:AI23" si="13">D7</f>
        <v>2024</v>
      </c>
      <c r="E23" s="279">
        <f t="shared" si="13"/>
        <v>2025</v>
      </c>
      <c r="F23" s="279">
        <f t="shared" si="13"/>
        <v>2026</v>
      </c>
      <c r="G23" s="279">
        <f t="shared" si="13"/>
        <v>2027</v>
      </c>
      <c r="H23" s="279">
        <f t="shared" si="13"/>
        <v>2028</v>
      </c>
      <c r="I23" s="279">
        <f t="shared" si="13"/>
        <v>2029</v>
      </c>
      <c r="J23" s="279">
        <f t="shared" si="13"/>
        <v>2030</v>
      </c>
      <c r="K23" s="279">
        <f t="shared" si="13"/>
        <v>2031</v>
      </c>
      <c r="L23" s="279">
        <f t="shared" si="13"/>
        <v>2032</v>
      </c>
      <c r="M23" s="279">
        <f t="shared" si="13"/>
        <v>2033</v>
      </c>
      <c r="N23" s="279">
        <f t="shared" si="13"/>
        <v>2034</v>
      </c>
      <c r="O23" s="279">
        <f t="shared" si="13"/>
        <v>2035</v>
      </c>
      <c r="P23" s="279">
        <f t="shared" si="13"/>
        <v>2036</v>
      </c>
      <c r="Q23" s="279">
        <f t="shared" si="13"/>
        <v>2037</v>
      </c>
      <c r="R23" s="279">
        <f t="shared" si="13"/>
        <v>2038</v>
      </c>
      <c r="S23" s="279">
        <f t="shared" si="13"/>
        <v>2039</v>
      </c>
      <c r="T23" s="279">
        <f t="shared" si="13"/>
        <v>2040</v>
      </c>
      <c r="U23" s="279">
        <f t="shared" si="13"/>
        <v>2041</v>
      </c>
      <c r="V23" s="279">
        <f t="shared" si="13"/>
        <v>2042</v>
      </c>
      <c r="W23" s="279">
        <f t="shared" si="13"/>
        <v>2043</v>
      </c>
      <c r="X23" s="279">
        <f t="shared" si="13"/>
        <v>2044</v>
      </c>
      <c r="Y23" s="279">
        <f t="shared" si="13"/>
        <v>2045</v>
      </c>
      <c r="Z23" s="279">
        <f t="shared" si="13"/>
        <v>2046</v>
      </c>
      <c r="AA23" s="279">
        <f t="shared" si="13"/>
        <v>2047</v>
      </c>
      <c r="AB23" s="279">
        <f t="shared" si="13"/>
        <v>2048</v>
      </c>
      <c r="AC23" s="279">
        <f t="shared" si="13"/>
        <v>2049</v>
      </c>
      <c r="AD23" s="279">
        <f t="shared" si="13"/>
        <v>2050</v>
      </c>
      <c r="AE23" s="279">
        <f t="shared" si="13"/>
        <v>2051</v>
      </c>
      <c r="AF23" s="279">
        <f t="shared" si="13"/>
        <v>2052</v>
      </c>
      <c r="AG23" s="279">
        <f t="shared" si="13"/>
        <v>2053</v>
      </c>
      <c r="AH23" s="279">
        <f t="shared" si="13"/>
        <v>2054</v>
      </c>
      <c r="AI23" s="279">
        <f t="shared" si="13"/>
        <v>2055</v>
      </c>
      <c r="AJ23" s="279">
        <f t="shared" ref="AJ23:BA23" si="14">AJ7</f>
        <v>2056</v>
      </c>
      <c r="AK23" s="279">
        <f t="shared" si="14"/>
        <v>2057</v>
      </c>
      <c r="AL23" s="279">
        <f t="shared" si="14"/>
        <v>2058</v>
      </c>
      <c r="AM23" s="279">
        <f t="shared" si="14"/>
        <v>2059</v>
      </c>
      <c r="AN23" s="279">
        <f t="shared" si="14"/>
        <v>2060</v>
      </c>
      <c r="AO23" s="279">
        <f t="shared" si="14"/>
        <v>2061</v>
      </c>
      <c r="AP23" s="279">
        <f t="shared" si="14"/>
        <v>2062</v>
      </c>
      <c r="AQ23" s="279">
        <f t="shared" si="14"/>
        <v>2063</v>
      </c>
      <c r="AR23" s="279">
        <f t="shared" si="14"/>
        <v>2064</v>
      </c>
      <c r="AS23" s="279">
        <f t="shared" si="14"/>
        <v>2065</v>
      </c>
      <c r="AT23" s="279">
        <f t="shared" si="14"/>
        <v>2066</v>
      </c>
      <c r="AU23" s="279">
        <f t="shared" si="14"/>
        <v>2067</v>
      </c>
      <c r="AV23" s="279">
        <f t="shared" si="14"/>
        <v>2068</v>
      </c>
      <c r="AW23" s="279">
        <f t="shared" si="14"/>
        <v>2069</v>
      </c>
      <c r="AX23" s="279">
        <f t="shared" si="14"/>
        <v>2070</v>
      </c>
      <c r="AY23" s="279">
        <f t="shared" si="14"/>
        <v>2071</v>
      </c>
      <c r="AZ23" s="279">
        <f t="shared" si="14"/>
        <v>2072</v>
      </c>
      <c r="BA23" s="280">
        <f t="shared" si="14"/>
        <v>2073</v>
      </c>
    </row>
    <row r="24" spans="2:53" ht="15.75" hidden="1" thickBot="1">
      <c r="B24" s="481" t="s">
        <v>266</v>
      </c>
      <c r="C24" s="482"/>
      <c r="D24" s="284">
        <v>0</v>
      </c>
      <c r="E24" s="284">
        <v>0</v>
      </c>
      <c r="F24" s="284">
        <v>0</v>
      </c>
      <c r="G24" s="284">
        <v>0</v>
      </c>
      <c r="H24" s="284">
        <v>0</v>
      </c>
      <c r="I24" s="284">
        <v>0</v>
      </c>
      <c r="J24" s="284">
        <v>0</v>
      </c>
      <c r="K24" s="284">
        <v>0</v>
      </c>
      <c r="L24" s="284">
        <v>0</v>
      </c>
      <c r="M24" s="284">
        <v>0</v>
      </c>
      <c r="N24" s="284">
        <v>0</v>
      </c>
      <c r="O24" s="284">
        <v>0</v>
      </c>
      <c r="P24" s="284">
        <v>0</v>
      </c>
      <c r="Q24" s="284">
        <v>0</v>
      </c>
      <c r="R24" s="284">
        <v>0</v>
      </c>
      <c r="S24" s="284">
        <v>0</v>
      </c>
      <c r="T24" s="284">
        <v>0</v>
      </c>
      <c r="U24" s="284">
        <v>0</v>
      </c>
      <c r="V24" s="284">
        <v>0</v>
      </c>
      <c r="W24" s="284">
        <v>0</v>
      </c>
      <c r="X24" s="284">
        <v>0</v>
      </c>
      <c r="Y24" s="284">
        <v>0</v>
      </c>
      <c r="Z24" s="284">
        <v>0</v>
      </c>
      <c r="AA24" s="284">
        <v>0</v>
      </c>
      <c r="AB24" s="284">
        <v>0</v>
      </c>
      <c r="AC24" s="284">
        <v>0</v>
      </c>
      <c r="AD24" s="284">
        <v>0</v>
      </c>
      <c r="AE24" s="284">
        <v>0</v>
      </c>
      <c r="AF24" s="284">
        <v>0</v>
      </c>
      <c r="AG24" s="284">
        <v>0</v>
      </c>
      <c r="AH24" s="284">
        <v>0</v>
      </c>
      <c r="AI24" s="284">
        <v>0</v>
      </c>
      <c r="AJ24" s="284">
        <v>0</v>
      </c>
      <c r="AK24" s="284">
        <v>0</v>
      </c>
      <c r="AL24" s="284">
        <v>0</v>
      </c>
      <c r="AM24" s="284">
        <v>0</v>
      </c>
      <c r="AN24" s="284">
        <v>0</v>
      </c>
      <c r="AO24" s="284">
        <v>0</v>
      </c>
      <c r="AP24" s="284">
        <v>0</v>
      </c>
      <c r="AQ24" s="284">
        <v>0</v>
      </c>
      <c r="AR24" s="284">
        <v>0</v>
      </c>
      <c r="AS24" s="284">
        <v>0</v>
      </c>
      <c r="AT24" s="284">
        <v>0</v>
      </c>
      <c r="AU24" s="284">
        <v>0</v>
      </c>
      <c r="AV24" s="284">
        <v>0</v>
      </c>
      <c r="AW24" s="284">
        <v>0</v>
      </c>
      <c r="AX24" s="284">
        <v>0</v>
      </c>
      <c r="AY24" s="284">
        <v>0</v>
      </c>
      <c r="AZ24" s="284">
        <v>0</v>
      </c>
      <c r="BA24" s="285">
        <v>0</v>
      </c>
    </row>
    <row r="25" spans="2:53" ht="15.75" hidden="1" thickBot="1">
      <c r="D25" s="36"/>
    </row>
    <row r="26" spans="2:53" ht="18" thickBot="1">
      <c r="B26" s="273" t="s">
        <v>470</v>
      </c>
      <c r="D26" s="36"/>
    </row>
    <row r="27" spans="2:53" ht="15.75" thickBot="1">
      <c r="B27" s="276" t="s">
        <v>46</v>
      </c>
      <c r="C27" s="277"/>
      <c r="D27" s="278">
        <f t="shared" ref="D27:AI27" si="15">D15</f>
        <v>2024</v>
      </c>
      <c r="E27" s="279">
        <f t="shared" si="15"/>
        <v>2025</v>
      </c>
      <c r="F27" s="279">
        <f t="shared" si="15"/>
        <v>2026</v>
      </c>
      <c r="G27" s="279">
        <f t="shared" si="15"/>
        <v>2027</v>
      </c>
      <c r="H27" s="279">
        <f t="shared" si="15"/>
        <v>2028</v>
      </c>
      <c r="I27" s="279">
        <f t="shared" si="15"/>
        <v>2029</v>
      </c>
      <c r="J27" s="279">
        <f t="shared" si="15"/>
        <v>2030</v>
      </c>
      <c r="K27" s="279">
        <f t="shared" si="15"/>
        <v>2031</v>
      </c>
      <c r="L27" s="279">
        <f t="shared" si="15"/>
        <v>2032</v>
      </c>
      <c r="M27" s="279">
        <f t="shared" si="15"/>
        <v>2033</v>
      </c>
      <c r="N27" s="279">
        <f t="shared" si="15"/>
        <v>2034</v>
      </c>
      <c r="O27" s="279">
        <f t="shared" si="15"/>
        <v>2035</v>
      </c>
      <c r="P27" s="279">
        <f t="shared" si="15"/>
        <v>2036</v>
      </c>
      <c r="Q27" s="279">
        <f t="shared" si="15"/>
        <v>2037</v>
      </c>
      <c r="R27" s="279">
        <f t="shared" si="15"/>
        <v>2038</v>
      </c>
      <c r="S27" s="279">
        <f t="shared" si="15"/>
        <v>2039</v>
      </c>
      <c r="T27" s="279">
        <f t="shared" si="15"/>
        <v>2040</v>
      </c>
      <c r="U27" s="279">
        <f t="shared" si="15"/>
        <v>2041</v>
      </c>
      <c r="V27" s="279">
        <f t="shared" si="15"/>
        <v>2042</v>
      </c>
      <c r="W27" s="279">
        <f t="shared" si="15"/>
        <v>2043</v>
      </c>
      <c r="X27" s="279">
        <f t="shared" si="15"/>
        <v>2044</v>
      </c>
      <c r="Y27" s="279">
        <f t="shared" si="15"/>
        <v>2045</v>
      </c>
      <c r="Z27" s="279">
        <f t="shared" si="15"/>
        <v>2046</v>
      </c>
      <c r="AA27" s="279">
        <f t="shared" si="15"/>
        <v>2047</v>
      </c>
      <c r="AB27" s="279">
        <f t="shared" si="15"/>
        <v>2048</v>
      </c>
      <c r="AC27" s="279">
        <f t="shared" si="15"/>
        <v>2049</v>
      </c>
      <c r="AD27" s="279">
        <f t="shared" si="15"/>
        <v>2050</v>
      </c>
      <c r="AE27" s="279">
        <f t="shared" si="15"/>
        <v>2051</v>
      </c>
      <c r="AF27" s="279">
        <f t="shared" si="15"/>
        <v>2052</v>
      </c>
      <c r="AG27" s="279">
        <f t="shared" si="15"/>
        <v>2053</v>
      </c>
      <c r="AH27" s="279">
        <f t="shared" si="15"/>
        <v>2054</v>
      </c>
      <c r="AI27" s="279">
        <f t="shared" si="15"/>
        <v>2055</v>
      </c>
      <c r="AJ27" s="279">
        <f t="shared" ref="AJ27:BA27" si="16">AJ15</f>
        <v>2056</v>
      </c>
      <c r="AK27" s="279">
        <f t="shared" si="16"/>
        <v>2057</v>
      </c>
      <c r="AL27" s="279">
        <f t="shared" si="16"/>
        <v>2058</v>
      </c>
      <c r="AM27" s="279">
        <f t="shared" si="16"/>
        <v>2059</v>
      </c>
      <c r="AN27" s="279">
        <f t="shared" si="16"/>
        <v>2060</v>
      </c>
      <c r="AO27" s="279">
        <f t="shared" si="16"/>
        <v>2061</v>
      </c>
      <c r="AP27" s="279">
        <f t="shared" si="16"/>
        <v>2062</v>
      </c>
      <c r="AQ27" s="279">
        <f t="shared" si="16"/>
        <v>2063</v>
      </c>
      <c r="AR27" s="279">
        <f t="shared" si="16"/>
        <v>2064</v>
      </c>
      <c r="AS27" s="279">
        <f t="shared" si="16"/>
        <v>2065</v>
      </c>
      <c r="AT27" s="279">
        <f t="shared" si="16"/>
        <v>2066</v>
      </c>
      <c r="AU27" s="279">
        <f t="shared" si="16"/>
        <v>2067</v>
      </c>
      <c r="AV27" s="279">
        <f t="shared" si="16"/>
        <v>2068</v>
      </c>
      <c r="AW27" s="279">
        <f t="shared" si="16"/>
        <v>2069</v>
      </c>
      <c r="AX27" s="279">
        <f t="shared" si="16"/>
        <v>2070</v>
      </c>
      <c r="AY27" s="279">
        <f t="shared" si="16"/>
        <v>2071</v>
      </c>
      <c r="AZ27" s="279">
        <f t="shared" si="16"/>
        <v>2072</v>
      </c>
      <c r="BA27" s="280">
        <f t="shared" si="16"/>
        <v>2073</v>
      </c>
    </row>
    <row r="28" spans="2:53">
      <c r="B28" s="485" t="str">
        <f>CONCATENATE("Sofort abzugfsähig (",SUMIF(Cockpit!D26:D29,"Sofort",Cockpit!C26:C29)," €)")</f>
        <v>Sofort abzugfsähig (0 €)</v>
      </c>
      <c r="C28" s="486"/>
      <c r="D28" s="281">
        <f>IF(Cockpit!E32="Abziehen",SUMIF(Cockpit!D26:D29,"Sofort",Cockpit!C26:C29),0)</f>
        <v>0</v>
      </c>
      <c r="E28" s="281">
        <v>0</v>
      </c>
      <c r="F28" s="281">
        <v>0</v>
      </c>
      <c r="G28" s="281">
        <v>0</v>
      </c>
      <c r="H28" s="281">
        <v>0</v>
      </c>
      <c r="I28" s="281">
        <v>0</v>
      </c>
      <c r="J28" s="281">
        <v>0</v>
      </c>
      <c r="K28" s="281">
        <v>0</v>
      </c>
      <c r="L28" s="281">
        <v>0</v>
      </c>
      <c r="M28" s="281">
        <v>0</v>
      </c>
      <c r="N28" s="281">
        <v>0</v>
      </c>
      <c r="O28" s="281">
        <v>0</v>
      </c>
      <c r="P28" s="281">
        <v>0</v>
      </c>
      <c r="Q28" s="281">
        <v>0</v>
      </c>
      <c r="R28" s="281">
        <v>0</v>
      </c>
      <c r="S28" s="281">
        <v>0</v>
      </c>
      <c r="T28" s="281">
        <v>0</v>
      </c>
      <c r="U28" s="281">
        <v>0</v>
      </c>
      <c r="V28" s="281">
        <v>0</v>
      </c>
      <c r="W28" s="281">
        <v>0</v>
      </c>
      <c r="X28" s="281">
        <v>0</v>
      </c>
      <c r="Y28" s="281">
        <v>0</v>
      </c>
      <c r="Z28" s="281">
        <v>0</v>
      </c>
      <c r="AA28" s="281">
        <v>0</v>
      </c>
      <c r="AB28" s="281">
        <v>0</v>
      </c>
      <c r="AC28" s="281">
        <v>0</v>
      </c>
      <c r="AD28" s="281">
        <v>0</v>
      </c>
      <c r="AE28" s="281">
        <v>0</v>
      </c>
      <c r="AF28" s="281">
        <v>0</v>
      </c>
      <c r="AG28" s="281">
        <v>0</v>
      </c>
      <c r="AH28" s="281">
        <v>0</v>
      </c>
      <c r="AI28" s="281">
        <v>0</v>
      </c>
      <c r="AJ28" s="281">
        <v>0</v>
      </c>
      <c r="AK28" s="281">
        <v>0</v>
      </c>
      <c r="AL28" s="281">
        <v>0</v>
      </c>
      <c r="AM28" s="281">
        <v>0</v>
      </c>
      <c r="AN28" s="281">
        <v>0</v>
      </c>
      <c r="AO28" s="281">
        <v>0</v>
      </c>
      <c r="AP28" s="281">
        <v>0</v>
      </c>
      <c r="AQ28" s="281">
        <v>0</v>
      </c>
      <c r="AR28" s="281">
        <v>0</v>
      </c>
      <c r="AS28" s="281">
        <v>0</v>
      </c>
      <c r="AT28" s="281">
        <v>0</v>
      </c>
      <c r="AU28" s="281">
        <v>0</v>
      </c>
      <c r="AV28" s="281">
        <v>0</v>
      </c>
      <c r="AW28" s="281">
        <v>0</v>
      </c>
      <c r="AX28" s="281">
        <v>0</v>
      </c>
      <c r="AY28" s="281">
        <v>0</v>
      </c>
      <c r="AZ28" s="281">
        <v>0</v>
      </c>
      <c r="BA28" s="282">
        <v>0</v>
      </c>
    </row>
    <row r="29" spans="2:53">
      <c r="B29" s="479" t="str">
        <f>CONCATENATE("Abschreibung über 10 Jahre (",SUMIF(Cockpit!D26:D29,"10 Jahre",Cockpit!C26:C29)," €)")</f>
        <v>Abschreibung über 10 Jahre (0 €)</v>
      </c>
      <c r="C29" s="480"/>
      <c r="D29" s="10">
        <f>SUMIF(Cockpit!D26:D29,"10 Jahre",Cockpit!C26:C29)/10</f>
        <v>0</v>
      </c>
      <c r="E29" s="10">
        <f t="shared" ref="E29:M29" si="17">D29</f>
        <v>0</v>
      </c>
      <c r="F29" s="10">
        <f t="shared" si="17"/>
        <v>0</v>
      </c>
      <c r="G29" s="10">
        <f t="shared" si="17"/>
        <v>0</v>
      </c>
      <c r="H29" s="10">
        <f t="shared" si="17"/>
        <v>0</v>
      </c>
      <c r="I29" s="10">
        <f t="shared" si="17"/>
        <v>0</v>
      </c>
      <c r="J29" s="10">
        <f t="shared" si="17"/>
        <v>0</v>
      </c>
      <c r="K29" s="10">
        <f t="shared" si="17"/>
        <v>0</v>
      </c>
      <c r="L29" s="10">
        <f t="shared" si="17"/>
        <v>0</v>
      </c>
      <c r="M29" s="10">
        <f t="shared" si="17"/>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283">
        <v>0</v>
      </c>
    </row>
    <row r="30" spans="2:53">
      <c r="B30" s="479" t="str">
        <f>CONCATENATE("Abschreibung über 15 Jahre (",SUMIF(Cockpit!D26:D29,"15 Jahre",Cockpit!C26:C29)," €)")</f>
        <v>Abschreibung über 15 Jahre (10000 €)</v>
      </c>
      <c r="C30" s="480"/>
      <c r="D30" s="10">
        <f>SUMIF(Cockpit!D26:D29,"15 Jahre",Cockpit!C26:C29)/15</f>
        <v>666.66666666666663</v>
      </c>
      <c r="E30" s="10">
        <f t="shared" ref="E30:M30" si="18">D30</f>
        <v>666.66666666666663</v>
      </c>
      <c r="F30" s="10">
        <f t="shared" si="18"/>
        <v>666.66666666666663</v>
      </c>
      <c r="G30" s="10">
        <f t="shared" si="18"/>
        <v>666.66666666666663</v>
      </c>
      <c r="H30" s="10">
        <f t="shared" si="18"/>
        <v>666.66666666666663</v>
      </c>
      <c r="I30" s="10">
        <f t="shared" si="18"/>
        <v>666.66666666666663</v>
      </c>
      <c r="J30" s="10">
        <f t="shared" si="18"/>
        <v>666.66666666666663</v>
      </c>
      <c r="K30" s="10">
        <f t="shared" si="18"/>
        <v>666.66666666666663</v>
      </c>
      <c r="L30" s="10">
        <f t="shared" si="18"/>
        <v>666.66666666666663</v>
      </c>
      <c r="M30" s="10">
        <f t="shared" si="18"/>
        <v>666.66666666666663</v>
      </c>
      <c r="N30" s="10">
        <f t="shared" ref="N30:R32" si="19">M30</f>
        <v>666.66666666666663</v>
      </c>
      <c r="O30" s="10">
        <f t="shared" si="19"/>
        <v>666.66666666666663</v>
      </c>
      <c r="P30" s="10">
        <f t="shared" si="19"/>
        <v>666.66666666666663</v>
      </c>
      <c r="Q30" s="10">
        <f t="shared" si="19"/>
        <v>666.66666666666663</v>
      </c>
      <c r="R30" s="10">
        <f t="shared" si="19"/>
        <v>666.66666666666663</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283">
        <v>0</v>
      </c>
    </row>
    <row r="31" spans="2:53">
      <c r="B31" s="479" t="str">
        <f>CONCATENATE("Abschreibung über 50 Jahre (",SUMIF(Cockpit!D26:D29,"50 Jahre",Cockpit!C26:C29)," €)")</f>
        <v>Abschreibung über 50 Jahre (0 €)</v>
      </c>
      <c r="C31" s="480"/>
      <c r="D31" s="10">
        <f>SUMIF(Cockpit!D26:D29,"50 Jahre",Cockpit!C26:C29)/50</f>
        <v>0</v>
      </c>
      <c r="E31" s="10">
        <f t="shared" ref="E31:M31" si="20">D31</f>
        <v>0</v>
      </c>
      <c r="F31" s="10">
        <f t="shared" si="20"/>
        <v>0</v>
      </c>
      <c r="G31" s="10">
        <f t="shared" si="20"/>
        <v>0</v>
      </c>
      <c r="H31" s="10">
        <f t="shared" si="20"/>
        <v>0</v>
      </c>
      <c r="I31" s="10">
        <f t="shared" si="20"/>
        <v>0</v>
      </c>
      <c r="J31" s="10">
        <f t="shared" si="20"/>
        <v>0</v>
      </c>
      <c r="K31" s="10">
        <f t="shared" si="20"/>
        <v>0</v>
      </c>
      <c r="L31" s="10">
        <f t="shared" si="20"/>
        <v>0</v>
      </c>
      <c r="M31" s="10">
        <f t="shared" si="20"/>
        <v>0</v>
      </c>
      <c r="N31" s="10">
        <f t="shared" si="19"/>
        <v>0</v>
      </c>
      <c r="O31" s="10">
        <f t="shared" si="19"/>
        <v>0</v>
      </c>
      <c r="P31" s="10">
        <f t="shared" si="19"/>
        <v>0</v>
      </c>
      <c r="Q31" s="10">
        <f t="shared" si="19"/>
        <v>0</v>
      </c>
      <c r="R31" s="10">
        <f t="shared" si="19"/>
        <v>0</v>
      </c>
      <c r="S31" s="10">
        <f t="shared" ref="S31:BA32" si="21">R31</f>
        <v>0</v>
      </c>
      <c r="T31" s="10">
        <f t="shared" si="21"/>
        <v>0</v>
      </c>
      <c r="U31" s="10">
        <f t="shared" si="21"/>
        <v>0</v>
      </c>
      <c r="V31" s="10">
        <f t="shared" si="21"/>
        <v>0</v>
      </c>
      <c r="W31" s="10">
        <f t="shared" si="21"/>
        <v>0</v>
      </c>
      <c r="X31" s="10">
        <f t="shared" si="21"/>
        <v>0</v>
      </c>
      <c r="Y31" s="10">
        <f t="shared" si="21"/>
        <v>0</v>
      </c>
      <c r="Z31" s="10">
        <f t="shared" si="21"/>
        <v>0</v>
      </c>
      <c r="AA31" s="10">
        <f t="shared" si="21"/>
        <v>0</v>
      </c>
      <c r="AB31" s="10">
        <f t="shared" si="21"/>
        <v>0</v>
      </c>
      <c r="AC31" s="10">
        <f t="shared" si="21"/>
        <v>0</v>
      </c>
      <c r="AD31" s="10">
        <f t="shared" si="21"/>
        <v>0</v>
      </c>
      <c r="AE31" s="10">
        <f t="shared" si="21"/>
        <v>0</v>
      </c>
      <c r="AF31" s="10">
        <f t="shared" si="21"/>
        <v>0</v>
      </c>
      <c r="AG31" s="10">
        <f t="shared" si="21"/>
        <v>0</v>
      </c>
      <c r="AH31" s="10">
        <f t="shared" si="21"/>
        <v>0</v>
      </c>
      <c r="AI31" s="10">
        <f t="shared" si="21"/>
        <v>0</v>
      </c>
      <c r="AJ31" s="10">
        <f t="shared" si="21"/>
        <v>0</v>
      </c>
      <c r="AK31" s="10">
        <f t="shared" si="21"/>
        <v>0</v>
      </c>
      <c r="AL31" s="10">
        <f t="shared" si="21"/>
        <v>0</v>
      </c>
      <c r="AM31" s="10">
        <f t="shared" si="21"/>
        <v>0</v>
      </c>
      <c r="AN31" s="10">
        <f t="shared" si="21"/>
        <v>0</v>
      </c>
      <c r="AO31" s="10">
        <f t="shared" si="21"/>
        <v>0</v>
      </c>
      <c r="AP31" s="10">
        <f t="shared" si="21"/>
        <v>0</v>
      </c>
      <c r="AQ31" s="10">
        <f t="shared" si="21"/>
        <v>0</v>
      </c>
      <c r="AR31" s="10">
        <f t="shared" si="21"/>
        <v>0</v>
      </c>
      <c r="AS31" s="10">
        <f t="shared" si="21"/>
        <v>0</v>
      </c>
      <c r="AT31" s="10">
        <f t="shared" si="21"/>
        <v>0</v>
      </c>
      <c r="AU31" s="10">
        <f t="shared" si="21"/>
        <v>0</v>
      </c>
      <c r="AV31" s="10">
        <f t="shared" si="21"/>
        <v>0</v>
      </c>
      <c r="AW31" s="10">
        <f t="shared" si="21"/>
        <v>0</v>
      </c>
      <c r="AX31" s="10">
        <f t="shared" si="21"/>
        <v>0</v>
      </c>
      <c r="AY31" s="10">
        <f t="shared" si="21"/>
        <v>0</v>
      </c>
      <c r="AZ31" s="10">
        <f t="shared" si="21"/>
        <v>0</v>
      </c>
      <c r="BA31" s="283">
        <f t="shared" si="21"/>
        <v>0</v>
      </c>
    </row>
    <row r="32" spans="2:53">
      <c r="B32" s="479" t="str">
        <f>CONCATENATE("Abschreibung über 67 Jahre (",SUMIF(Cockpit!D26:D29,"67 Jahre",Cockpit!C26:C29)," €)")</f>
        <v>Abschreibung über 67 Jahre (0 €)</v>
      </c>
      <c r="C32" s="480"/>
      <c r="D32" s="10">
        <f>SUMIF(Cockpit!D26:D29,"67 Jahre",Cockpit!C26:C29)/67</f>
        <v>0</v>
      </c>
      <c r="E32" s="10">
        <f t="shared" ref="E32:M32" si="22">D32</f>
        <v>0</v>
      </c>
      <c r="F32" s="10">
        <f t="shared" si="22"/>
        <v>0</v>
      </c>
      <c r="G32" s="10">
        <f t="shared" si="22"/>
        <v>0</v>
      </c>
      <c r="H32" s="10">
        <f t="shared" si="22"/>
        <v>0</v>
      </c>
      <c r="I32" s="10">
        <f t="shared" si="22"/>
        <v>0</v>
      </c>
      <c r="J32" s="10">
        <f t="shared" si="22"/>
        <v>0</v>
      </c>
      <c r="K32" s="10">
        <f t="shared" si="22"/>
        <v>0</v>
      </c>
      <c r="L32" s="10">
        <f t="shared" si="22"/>
        <v>0</v>
      </c>
      <c r="M32" s="10">
        <f t="shared" si="22"/>
        <v>0</v>
      </c>
      <c r="N32" s="10">
        <f t="shared" si="19"/>
        <v>0</v>
      </c>
      <c r="O32" s="10">
        <f t="shared" si="19"/>
        <v>0</v>
      </c>
      <c r="P32" s="10">
        <f t="shared" si="19"/>
        <v>0</v>
      </c>
      <c r="Q32" s="10">
        <f t="shared" si="19"/>
        <v>0</v>
      </c>
      <c r="R32" s="10">
        <f t="shared" si="19"/>
        <v>0</v>
      </c>
      <c r="S32" s="10">
        <f t="shared" si="21"/>
        <v>0</v>
      </c>
      <c r="T32" s="10">
        <f t="shared" si="21"/>
        <v>0</v>
      </c>
      <c r="U32" s="10">
        <f t="shared" si="21"/>
        <v>0</v>
      </c>
      <c r="V32" s="10">
        <f t="shared" si="21"/>
        <v>0</v>
      </c>
      <c r="W32" s="10">
        <f t="shared" si="21"/>
        <v>0</v>
      </c>
      <c r="X32" s="10">
        <f t="shared" si="21"/>
        <v>0</v>
      </c>
      <c r="Y32" s="10">
        <f t="shared" si="21"/>
        <v>0</v>
      </c>
      <c r="Z32" s="10">
        <f t="shared" si="21"/>
        <v>0</v>
      </c>
      <c r="AA32" s="10">
        <f t="shared" si="21"/>
        <v>0</v>
      </c>
      <c r="AB32" s="10">
        <f t="shared" si="21"/>
        <v>0</v>
      </c>
      <c r="AC32" s="10">
        <f t="shared" si="21"/>
        <v>0</v>
      </c>
      <c r="AD32" s="10">
        <f t="shared" si="21"/>
        <v>0</v>
      </c>
      <c r="AE32" s="10">
        <f t="shared" si="21"/>
        <v>0</v>
      </c>
      <c r="AF32" s="10">
        <f t="shared" si="21"/>
        <v>0</v>
      </c>
      <c r="AG32" s="10">
        <f t="shared" si="21"/>
        <v>0</v>
      </c>
      <c r="AH32" s="10">
        <f t="shared" si="21"/>
        <v>0</v>
      </c>
      <c r="AI32" s="10">
        <f t="shared" si="21"/>
        <v>0</v>
      </c>
      <c r="AJ32" s="10">
        <f t="shared" si="21"/>
        <v>0</v>
      </c>
      <c r="AK32" s="10">
        <f t="shared" si="21"/>
        <v>0</v>
      </c>
      <c r="AL32" s="10">
        <f t="shared" si="21"/>
        <v>0</v>
      </c>
      <c r="AM32" s="10">
        <f t="shared" si="21"/>
        <v>0</v>
      </c>
      <c r="AN32" s="10">
        <f t="shared" si="21"/>
        <v>0</v>
      </c>
      <c r="AO32" s="10">
        <f t="shared" si="21"/>
        <v>0</v>
      </c>
      <c r="AP32" s="10">
        <f t="shared" si="21"/>
        <v>0</v>
      </c>
      <c r="AQ32" s="10">
        <f t="shared" si="21"/>
        <v>0</v>
      </c>
      <c r="AR32" s="10">
        <f t="shared" si="21"/>
        <v>0</v>
      </c>
      <c r="AS32" s="10">
        <f t="shared" si="21"/>
        <v>0</v>
      </c>
      <c r="AT32" s="10">
        <f t="shared" si="21"/>
        <v>0</v>
      </c>
      <c r="AU32" s="10">
        <f t="shared" si="21"/>
        <v>0</v>
      </c>
      <c r="AV32" s="10">
        <f t="shared" si="21"/>
        <v>0</v>
      </c>
      <c r="AW32" s="10">
        <f t="shared" si="21"/>
        <v>0</v>
      </c>
      <c r="AX32" s="10">
        <f t="shared" si="21"/>
        <v>0</v>
      </c>
      <c r="AY32" s="10">
        <f t="shared" si="21"/>
        <v>0</v>
      </c>
      <c r="AZ32" s="10">
        <f t="shared" si="21"/>
        <v>0</v>
      </c>
      <c r="BA32" s="283">
        <f t="shared" si="21"/>
        <v>0</v>
      </c>
    </row>
    <row r="33" spans="2:53">
      <c r="B33" s="420" t="s">
        <v>472</v>
      </c>
      <c r="C33" s="421"/>
      <c r="D33" s="10">
        <f>SUM(D28:D32)</f>
        <v>666.66666666666663</v>
      </c>
      <c r="E33" s="10">
        <f t="shared" ref="E33:BA33" si="23">SUM(E28:E32)</f>
        <v>666.66666666666663</v>
      </c>
      <c r="F33" s="10">
        <f t="shared" si="23"/>
        <v>666.66666666666663</v>
      </c>
      <c r="G33" s="10">
        <f t="shared" si="23"/>
        <v>666.66666666666663</v>
      </c>
      <c r="H33" s="10">
        <f t="shared" si="23"/>
        <v>666.66666666666663</v>
      </c>
      <c r="I33" s="10">
        <f t="shared" si="23"/>
        <v>666.66666666666663</v>
      </c>
      <c r="J33" s="10">
        <f t="shared" si="23"/>
        <v>666.66666666666663</v>
      </c>
      <c r="K33" s="10">
        <f t="shared" si="23"/>
        <v>666.66666666666663</v>
      </c>
      <c r="L33" s="10">
        <f t="shared" si="23"/>
        <v>666.66666666666663</v>
      </c>
      <c r="M33" s="10">
        <f t="shared" si="23"/>
        <v>666.66666666666663</v>
      </c>
      <c r="N33" s="10">
        <f t="shared" si="23"/>
        <v>666.66666666666663</v>
      </c>
      <c r="O33" s="10">
        <f t="shared" si="23"/>
        <v>666.66666666666663</v>
      </c>
      <c r="P33" s="10">
        <f t="shared" si="23"/>
        <v>666.66666666666663</v>
      </c>
      <c r="Q33" s="10">
        <f t="shared" si="23"/>
        <v>666.66666666666663</v>
      </c>
      <c r="R33" s="10">
        <f t="shared" si="23"/>
        <v>666.66666666666663</v>
      </c>
      <c r="S33" s="10">
        <f t="shared" si="23"/>
        <v>0</v>
      </c>
      <c r="T33" s="10">
        <f t="shared" si="23"/>
        <v>0</v>
      </c>
      <c r="U33" s="10">
        <f t="shared" si="23"/>
        <v>0</v>
      </c>
      <c r="V33" s="10">
        <f t="shared" si="23"/>
        <v>0</v>
      </c>
      <c r="W33" s="10">
        <f t="shared" si="23"/>
        <v>0</v>
      </c>
      <c r="X33" s="10">
        <f t="shared" si="23"/>
        <v>0</v>
      </c>
      <c r="Y33" s="10">
        <f t="shared" si="23"/>
        <v>0</v>
      </c>
      <c r="Z33" s="10">
        <f t="shared" si="23"/>
        <v>0</v>
      </c>
      <c r="AA33" s="10">
        <f t="shared" si="23"/>
        <v>0</v>
      </c>
      <c r="AB33" s="10">
        <f t="shared" si="23"/>
        <v>0</v>
      </c>
      <c r="AC33" s="10">
        <f t="shared" si="23"/>
        <v>0</v>
      </c>
      <c r="AD33" s="10">
        <f t="shared" si="23"/>
        <v>0</v>
      </c>
      <c r="AE33" s="10">
        <f t="shared" si="23"/>
        <v>0</v>
      </c>
      <c r="AF33" s="10">
        <f t="shared" si="23"/>
        <v>0</v>
      </c>
      <c r="AG33" s="10">
        <f t="shared" si="23"/>
        <v>0</v>
      </c>
      <c r="AH33" s="10">
        <f t="shared" si="23"/>
        <v>0</v>
      </c>
      <c r="AI33" s="10">
        <f t="shared" si="23"/>
        <v>0</v>
      </c>
      <c r="AJ33" s="10">
        <f t="shared" si="23"/>
        <v>0</v>
      </c>
      <c r="AK33" s="10">
        <f t="shared" si="23"/>
        <v>0</v>
      </c>
      <c r="AL33" s="10">
        <f t="shared" si="23"/>
        <v>0</v>
      </c>
      <c r="AM33" s="10">
        <f t="shared" si="23"/>
        <v>0</v>
      </c>
      <c r="AN33" s="10">
        <f t="shared" si="23"/>
        <v>0</v>
      </c>
      <c r="AO33" s="10">
        <f t="shared" si="23"/>
        <v>0</v>
      </c>
      <c r="AP33" s="10">
        <f t="shared" si="23"/>
        <v>0</v>
      </c>
      <c r="AQ33" s="10">
        <f t="shared" si="23"/>
        <v>0</v>
      </c>
      <c r="AR33" s="10">
        <f t="shared" si="23"/>
        <v>0</v>
      </c>
      <c r="AS33" s="10">
        <f t="shared" si="23"/>
        <v>0</v>
      </c>
      <c r="AT33" s="10">
        <f t="shared" si="23"/>
        <v>0</v>
      </c>
      <c r="AU33" s="10">
        <f t="shared" si="23"/>
        <v>0</v>
      </c>
      <c r="AV33" s="10">
        <f t="shared" si="23"/>
        <v>0</v>
      </c>
      <c r="AW33" s="10">
        <f t="shared" si="23"/>
        <v>0</v>
      </c>
      <c r="AX33" s="10">
        <f t="shared" si="23"/>
        <v>0</v>
      </c>
      <c r="AY33" s="10">
        <f t="shared" si="23"/>
        <v>0</v>
      </c>
      <c r="AZ33" s="10">
        <f t="shared" si="23"/>
        <v>0</v>
      </c>
      <c r="BA33" s="283">
        <f t="shared" si="23"/>
        <v>0</v>
      </c>
    </row>
    <row r="34" spans="2:53" ht="15.75" thickBot="1">
      <c r="B34" s="492" t="s">
        <v>266</v>
      </c>
      <c r="C34" s="493"/>
      <c r="D34" s="367">
        <f>D33/12</f>
        <v>55.55555555555555</v>
      </c>
      <c r="E34" s="367">
        <f t="shared" ref="E34:BA34" si="24">E33/12</f>
        <v>55.55555555555555</v>
      </c>
      <c r="F34" s="367">
        <f t="shared" si="24"/>
        <v>55.55555555555555</v>
      </c>
      <c r="G34" s="367">
        <f t="shared" si="24"/>
        <v>55.55555555555555</v>
      </c>
      <c r="H34" s="367">
        <f t="shared" si="24"/>
        <v>55.55555555555555</v>
      </c>
      <c r="I34" s="367">
        <f t="shared" si="24"/>
        <v>55.55555555555555</v>
      </c>
      <c r="J34" s="367">
        <f t="shared" si="24"/>
        <v>55.55555555555555</v>
      </c>
      <c r="K34" s="367">
        <f t="shared" si="24"/>
        <v>55.55555555555555</v>
      </c>
      <c r="L34" s="367">
        <f t="shared" si="24"/>
        <v>55.55555555555555</v>
      </c>
      <c r="M34" s="367">
        <f t="shared" si="24"/>
        <v>55.55555555555555</v>
      </c>
      <c r="N34" s="367">
        <f t="shared" si="24"/>
        <v>55.55555555555555</v>
      </c>
      <c r="O34" s="367">
        <f t="shared" si="24"/>
        <v>55.55555555555555</v>
      </c>
      <c r="P34" s="367">
        <f t="shared" si="24"/>
        <v>55.55555555555555</v>
      </c>
      <c r="Q34" s="367">
        <f t="shared" si="24"/>
        <v>55.55555555555555</v>
      </c>
      <c r="R34" s="367">
        <f t="shared" si="24"/>
        <v>55.55555555555555</v>
      </c>
      <c r="S34" s="367">
        <f t="shared" si="24"/>
        <v>0</v>
      </c>
      <c r="T34" s="367">
        <f t="shared" si="24"/>
        <v>0</v>
      </c>
      <c r="U34" s="367">
        <f t="shared" si="24"/>
        <v>0</v>
      </c>
      <c r="V34" s="367">
        <f t="shared" si="24"/>
        <v>0</v>
      </c>
      <c r="W34" s="367">
        <f t="shared" si="24"/>
        <v>0</v>
      </c>
      <c r="X34" s="367">
        <f t="shared" si="24"/>
        <v>0</v>
      </c>
      <c r="Y34" s="367">
        <f t="shared" si="24"/>
        <v>0</v>
      </c>
      <c r="Z34" s="367">
        <f t="shared" si="24"/>
        <v>0</v>
      </c>
      <c r="AA34" s="367">
        <f t="shared" si="24"/>
        <v>0</v>
      </c>
      <c r="AB34" s="367">
        <f t="shared" si="24"/>
        <v>0</v>
      </c>
      <c r="AC34" s="367">
        <f t="shared" si="24"/>
        <v>0</v>
      </c>
      <c r="AD34" s="367">
        <f t="shared" si="24"/>
        <v>0</v>
      </c>
      <c r="AE34" s="367">
        <f t="shared" si="24"/>
        <v>0</v>
      </c>
      <c r="AF34" s="367">
        <f t="shared" si="24"/>
        <v>0</v>
      </c>
      <c r="AG34" s="367">
        <f t="shared" si="24"/>
        <v>0</v>
      </c>
      <c r="AH34" s="367">
        <f t="shared" si="24"/>
        <v>0</v>
      </c>
      <c r="AI34" s="367">
        <f t="shared" si="24"/>
        <v>0</v>
      </c>
      <c r="AJ34" s="367">
        <f t="shared" si="24"/>
        <v>0</v>
      </c>
      <c r="AK34" s="367">
        <f t="shared" si="24"/>
        <v>0</v>
      </c>
      <c r="AL34" s="367">
        <f t="shared" si="24"/>
        <v>0</v>
      </c>
      <c r="AM34" s="367">
        <f t="shared" si="24"/>
        <v>0</v>
      </c>
      <c r="AN34" s="367">
        <f t="shared" si="24"/>
        <v>0</v>
      </c>
      <c r="AO34" s="367">
        <f t="shared" si="24"/>
        <v>0</v>
      </c>
      <c r="AP34" s="367">
        <f t="shared" si="24"/>
        <v>0</v>
      </c>
      <c r="AQ34" s="367">
        <f t="shared" si="24"/>
        <v>0</v>
      </c>
      <c r="AR34" s="367">
        <f t="shared" si="24"/>
        <v>0</v>
      </c>
      <c r="AS34" s="367">
        <f t="shared" si="24"/>
        <v>0</v>
      </c>
      <c r="AT34" s="367">
        <f t="shared" si="24"/>
        <v>0</v>
      </c>
      <c r="AU34" s="367">
        <f t="shared" si="24"/>
        <v>0</v>
      </c>
      <c r="AV34" s="367">
        <f t="shared" si="24"/>
        <v>0</v>
      </c>
      <c r="AW34" s="367">
        <f t="shared" si="24"/>
        <v>0</v>
      </c>
      <c r="AX34" s="367">
        <f t="shared" si="24"/>
        <v>0</v>
      </c>
      <c r="AY34" s="367">
        <f t="shared" si="24"/>
        <v>0</v>
      </c>
      <c r="AZ34" s="367">
        <f t="shared" si="24"/>
        <v>0</v>
      </c>
      <c r="BA34" s="368">
        <f t="shared" si="24"/>
        <v>0</v>
      </c>
    </row>
    <row r="35" spans="2:53" ht="42.75" customHeight="1" thickBot="1">
      <c r="I35" s="6"/>
      <c r="J35" s="6"/>
      <c r="K35" s="6"/>
      <c r="L35" s="6"/>
      <c r="M35" s="5"/>
      <c r="N35" s="5"/>
      <c r="O35" s="5"/>
      <c r="P35" s="5"/>
    </row>
    <row r="36" spans="2:53" ht="18" thickBot="1">
      <c r="B36" s="273" t="s">
        <v>20</v>
      </c>
      <c r="C36" s="33"/>
      <c r="I36" s="6"/>
      <c r="J36" s="6"/>
      <c r="K36" s="6"/>
      <c r="L36" s="6"/>
    </row>
    <row r="37" spans="2:53" ht="15.75" thickBot="1">
      <c r="B37" s="276" t="s">
        <v>46</v>
      </c>
      <c r="C37" s="277"/>
      <c r="D37" s="278">
        <f>D$7</f>
        <v>2024</v>
      </c>
      <c r="E37" s="279">
        <f t="shared" ref="E37:BA37" si="25">E$7</f>
        <v>2025</v>
      </c>
      <c r="F37" s="279">
        <f t="shared" si="25"/>
        <v>2026</v>
      </c>
      <c r="G37" s="279">
        <f t="shared" si="25"/>
        <v>2027</v>
      </c>
      <c r="H37" s="279">
        <f t="shared" si="25"/>
        <v>2028</v>
      </c>
      <c r="I37" s="279">
        <f t="shared" si="25"/>
        <v>2029</v>
      </c>
      <c r="J37" s="279">
        <f t="shared" si="25"/>
        <v>2030</v>
      </c>
      <c r="K37" s="279">
        <f t="shared" si="25"/>
        <v>2031</v>
      </c>
      <c r="L37" s="279">
        <f t="shared" si="25"/>
        <v>2032</v>
      </c>
      <c r="M37" s="279">
        <f t="shared" si="25"/>
        <v>2033</v>
      </c>
      <c r="N37" s="279">
        <f t="shared" si="25"/>
        <v>2034</v>
      </c>
      <c r="O37" s="279">
        <f t="shared" si="25"/>
        <v>2035</v>
      </c>
      <c r="P37" s="279">
        <f t="shared" si="25"/>
        <v>2036</v>
      </c>
      <c r="Q37" s="279">
        <f t="shared" si="25"/>
        <v>2037</v>
      </c>
      <c r="R37" s="279">
        <f t="shared" si="25"/>
        <v>2038</v>
      </c>
      <c r="S37" s="279">
        <f t="shared" si="25"/>
        <v>2039</v>
      </c>
      <c r="T37" s="279">
        <f t="shared" si="25"/>
        <v>2040</v>
      </c>
      <c r="U37" s="279">
        <f t="shared" si="25"/>
        <v>2041</v>
      </c>
      <c r="V37" s="279">
        <f t="shared" si="25"/>
        <v>2042</v>
      </c>
      <c r="W37" s="279">
        <f t="shared" si="25"/>
        <v>2043</v>
      </c>
      <c r="X37" s="279">
        <f t="shared" si="25"/>
        <v>2044</v>
      </c>
      <c r="Y37" s="279">
        <f t="shared" si="25"/>
        <v>2045</v>
      </c>
      <c r="Z37" s="279">
        <f t="shared" si="25"/>
        <v>2046</v>
      </c>
      <c r="AA37" s="279">
        <f t="shared" si="25"/>
        <v>2047</v>
      </c>
      <c r="AB37" s="279">
        <f t="shared" si="25"/>
        <v>2048</v>
      </c>
      <c r="AC37" s="279">
        <f t="shared" si="25"/>
        <v>2049</v>
      </c>
      <c r="AD37" s="279">
        <f t="shared" si="25"/>
        <v>2050</v>
      </c>
      <c r="AE37" s="279">
        <f t="shared" si="25"/>
        <v>2051</v>
      </c>
      <c r="AF37" s="279">
        <f t="shared" si="25"/>
        <v>2052</v>
      </c>
      <c r="AG37" s="279">
        <f t="shared" si="25"/>
        <v>2053</v>
      </c>
      <c r="AH37" s="279">
        <f t="shared" si="25"/>
        <v>2054</v>
      </c>
      <c r="AI37" s="279">
        <f t="shared" si="25"/>
        <v>2055</v>
      </c>
      <c r="AJ37" s="279">
        <f t="shared" si="25"/>
        <v>2056</v>
      </c>
      <c r="AK37" s="279">
        <f t="shared" si="25"/>
        <v>2057</v>
      </c>
      <c r="AL37" s="279">
        <f t="shared" si="25"/>
        <v>2058</v>
      </c>
      <c r="AM37" s="279">
        <f t="shared" si="25"/>
        <v>2059</v>
      </c>
      <c r="AN37" s="279">
        <f t="shared" si="25"/>
        <v>2060</v>
      </c>
      <c r="AO37" s="279">
        <f t="shared" si="25"/>
        <v>2061</v>
      </c>
      <c r="AP37" s="279">
        <f t="shared" si="25"/>
        <v>2062</v>
      </c>
      <c r="AQ37" s="279">
        <f t="shared" si="25"/>
        <v>2063</v>
      </c>
      <c r="AR37" s="279">
        <f t="shared" si="25"/>
        <v>2064</v>
      </c>
      <c r="AS37" s="279">
        <f t="shared" si="25"/>
        <v>2065</v>
      </c>
      <c r="AT37" s="279">
        <f t="shared" si="25"/>
        <v>2066</v>
      </c>
      <c r="AU37" s="279">
        <f t="shared" si="25"/>
        <v>2067</v>
      </c>
      <c r="AV37" s="279">
        <f t="shared" si="25"/>
        <v>2068</v>
      </c>
      <c r="AW37" s="279">
        <f t="shared" si="25"/>
        <v>2069</v>
      </c>
      <c r="AX37" s="279">
        <f t="shared" si="25"/>
        <v>2070</v>
      </c>
      <c r="AY37" s="279">
        <f t="shared" si="25"/>
        <v>2071</v>
      </c>
      <c r="AZ37" s="279">
        <f t="shared" si="25"/>
        <v>2072</v>
      </c>
      <c r="BA37" s="280">
        <f t="shared" si="25"/>
        <v>2073</v>
      </c>
    </row>
    <row r="38" spans="2:53">
      <c r="B38" s="485" t="s">
        <v>48</v>
      </c>
      <c r="C38" s="486"/>
      <c r="D38" s="300"/>
      <c r="E38" s="308"/>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10"/>
    </row>
    <row r="39" spans="2:53">
      <c r="B39" s="457" t="s">
        <v>49</v>
      </c>
      <c r="C39" s="458"/>
      <c r="D39" s="39">
        <f>Cockpit!N18</f>
        <v>3.5000000000000003E-2</v>
      </c>
      <c r="E39" s="39">
        <f t="shared" ref="E39:AJ39" si="26">IF(E38&lt;&gt;"",E38,D39)</f>
        <v>3.5000000000000003E-2</v>
      </c>
      <c r="F39" s="39">
        <f t="shared" si="26"/>
        <v>3.5000000000000003E-2</v>
      </c>
      <c r="G39" s="39">
        <f t="shared" si="26"/>
        <v>3.5000000000000003E-2</v>
      </c>
      <c r="H39" s="39">
        <f t="shared" si="26"/>
        <v>3.5000000000000003E-2</v>
      </c>
      <c r="I39" s="39">
        <f t="shared" si="26"/>
        <v>3.5000000000000003E-2</v>
      </c>
      <c r="J39" s="39">
        <f t="shared" si="26"/>
        <v>3.5000000000000003E-2</v>
      </c>
      <c r="K39" s="39">
        <f t="shared" si="26"/>
        <v>3.5000000000000003E-2</v>
      </c>
      <c r="L39" s="39">
        <f t="shared" si="26"/>
        <v>3.5000000000000003E-2</v>
      </c>
      <c r="M39" s="39">
        <f t="shared" si="26"/>
        <v>3.5000000000000003E-2</v>
      </c>
      <c r="N39" s="39">
        <f t="shared" si="26"/>
        <v>3.5000000000000003E-2</v>
      </c>
      <c r="O39" s="39">
        <f t="shared" si="26"/>
        <v>3.5000000000000003E-2</v>
      </c>
      <c r="P39" s="39">
        <f t="shared" si="26"/>
        <v>3.5000000000000003E-2</v>
      </c>
      <c r="Q39" s="39">
        <f t="shared" si="26"/>
        <v>3.5000000000000003E-2</v>
      </c>
      <c r="R39" s="39">
        <f t="shared" si="26"/>
        <v>3.5000000000000003E-2</v>
      </c>
      <c r="S39" s="39">
        <f t="shared" si="26"/>
        <v>3.5000000000000003E-2</v>
      </c>
      <c r="T39" s="39">
        <f t="shared" si="26"/>
        <v>3.5000000000000003E-2</v>
      </c>
      <c r="U39" s="39">
        <f t="shared" si="26"/>
        <v>3.5000000000000003E-2</v>
      </c>
      <c r="V39" s="39">
        <f t="shared" si="26"/>
        <v>3.5000000000000003E-2</v>
      </c>
      <c r="W39" s="39">
        <f t="shared" si="26"/>
        <v>3.5000000000000003E-2</v>
      </c>
      <c r="X39" s="39">
        <f t="shared" si="26"/>
        <v>3.5000000000000003E-2</v>
      </c>
      <c r="Y39" s="39">
        <f t="shared" si="26"/>
        <v>3.5000000000000003E-2</v>
      </c>
      <c r="Z39" s="39">
        <f t="shared" si="26"/>
        <v>3.5000000000000003E-2</v>
      </c>
      <c r="AA39" s="39">
        <f t="shared" si="26"/>
        <v>3.5000000000000003E-2</v>
      </c>
      <c r="AB39" s="39">
        <f t="shared" si="26"/>
        <v>3.5000000000000003E-2</v>
      </c>
      <c r="AC39" s="39">
        <f t="shared" si="26"/>
        <v>3.5000000000000003E-2</v>
      </c>
      <c r="AD39" s="39">
        <f t="shared" si="26"/>
        <v>3.5000000000000003E-2</v>
      </c>
      <c r="AE39" s="39">
        <f t="shared" si="26"/>
        <v>3.5000000000000003E-2</v>
      </c>
      <c r="AF39" s="39">
        <f t="shared" si="26"/>
        <v>3.5000000000000003E-2</v>
      </c>
      <c r="AG39" s="39">
        <f t="shared" si="26"/>
        <v>3.5000000000000003E-2</v>
      </c>
      <c r="AH39" s="39">
        <f t="shared" si="26"/>
        <v>3.5000000000000003E-2</v>
      </c>
      <c r="AI39" s="39">
        <f t="shared" si="26"/>
        <v>3.5000000000000003E-2</v>
      </c>
      <c r="AJ39" s="39">
        <f t="shared" si="26"/>
        <v>3.5000000000000003E-2</v>
      </c>
      <c r="AK39" s="39">
        <f t="shared" ref="AK39:BA39" si="27">IF(AK38&lt;&gt;"",AK38,AJ39)</f>
        <v>3.5000000000000003E-2</v>
      </c>
      <c r="AL39" s="39">
        <f t="shared" si="27"/>
        <v>3.5000000000000003E-2</v>
      </c>
      <c r="AM39" s="39">
        <f t="shared" si="27"/>
        <v>3.5000000000000003E-2</v>
      </c>
      <c r="AN39" s="39">
        <f t="shared" si="27"/>
        <v>3.5000000000000003E-2</v>
      </c>
      <c r="AO39" s="39">
        <f t="shared" si="27"/>
        <v>3.5000000000000003E-2</v>
      </c>
      <c r="AP39" s="39">
        <f t="shared" si="27"/>
        <v>3.5000000000000003E-2</v>
      </c>
      <c r="AQ39" s="39">
        <f t="shared" si="27"/>
        <v>3.5000000000000003E-2</v>
      </c>
      <c r="AR39" s="39">
        <f t="shared" si="27"/>
        <v>3.5000000000000003E-2</v>
      </c>
      <c r="AS39" s="39">
        <f t="shared" si="27"/>
        <v>3.5000000000000003E-2</v>
      </c>
      <c r="AT39" s="39">
        <f t="shared" si="27"/>
        <v>3.5000000000000003E-2</v>
      </c>
      <c r="AU39" s="39">
        <f t="shared" si="27"/>
        <v>3.5000000000000003E-2</v>
      </c>
      <c r="AV39" s="39">
        <f t="shared" si="27"/>
        <v>3.5000000000000003E-2</v>
      </c>
      <c r="AW39" s="39">
        <f t="shared" si="27"/>
        <v>3.5000000000000003E-2</v>
      </c>
      <c r="AX39" s="39">
        <f t="shared" si="27"/>
        <v>3.5000000000000003E-2</v>
      </c>
      <c r="AY39" s="39">
        <f t="shared" si="27"/>
        <v>3.5000000000000003E-2</v>
      </c>
      <c r="AZ39" s="39">
        <f t="shared" si="27"/>
        <v>3.5000000000000003E-2</v>
      </c>
      <c r="BA39" s="297">
        <f t="shared" si="27"/>
        <v>3.5000000000000003E-2</v>
      </c>
    </row>
    <row r="40" spans="2:53" ht="8.25" customHeight="1">
      <c r="B40" s="502"/>
      <c r="C40" s="503"/>
      <c r="I40" s="6"/>
      <c r="J40" s="6"/>
      <c r="K40" s="6"/>
      <c r="L40" s="6"/>
      <c r="BA40" s="302"/>
    </row>
    <row r="41" spans="2:53">
      <c r="B41" s="457" t="s">
        <v>42</v>
      </c>
      <c r="C41" s="458"/>
      <c r="D41" s="4">
        <f>Cockpit!N17</f>
        <v>104000</v>
      </c>
      <c r="E41" s="4">
        <f>D50</f>
        <v>100880</v>
      </c>
      <c r="F41" s="4">
        <f t="shared" ref="F41:M41" si="28">E50</f>
        <v>97650.8</v>
      </c>
      <c r="G41" s="4">
        <f t="shared" si="28"/>
        <v>94308.578000000009</v>
      </c>
      <c r="H41" s="4">
        <f t="shared" si="28"/>
        <v>90849.378230000002</v>
      </c>
      <c r="I41" s="4">
        <f t="shared" si="28"/>
        <v>87269.106468049999</v>
      </c>
      <c r="J41" s="4">
        <f t="shared" si="28"/>
        <v>83563.525194431742</v>
      </c>
      <c r="K41" s="4">
        <f t="shared" si="28"/>
        <v>79728.24857623686</v>
      </c>
      <c r="L41" s="4">
        <f t="shared" si="28"/>
        <v>75758.737276405154</v>
      </c>
      <c r="M41" s="4">
        <f t="shared" si="28"/>
        <v>71650.293081079333</v>
      </c>
      <c r="N41" s="4">
        <f t="shared" ref="N41:BA41" si="29">M50</f>
        <v>67398.053338917118</v>
      </c>
      <c r="O41" s="4">
        <f t="shared" si="29"/>
        <v>62996.985205779216</v>
      </c>
      <c r="P41" s="4">
        <f t="shared" si="29"/>
        <v>58441.879687981491</v>
      </c>
      <c r="Q41" s="4">
        <f t="shared" si="29"/>
        <v>53727.345477060844</v>
      </c>
      <c r="R41" s="4">
        <f t="shared" si="29"/>
        <v>48847.802568757972</v>
      </c>
      <c r="S41" s="4">
        <f t="shared" si="29"/>
        <v>43797.475658664502</v>
      </c>
      <c r="T41" s="4">
        <f t="shared" si="29"/>
        <v>38570.387306717763</v>
      </c>
      <c r="U41" s="4">
        <f t="shared" si="29"/>
        <v>33160.350862452884</v>
      </c>
      <c r="V41" s="4">
        <f t="shared" si="29"/>
        <v>27560.963142638735</v>
      </c>
      <c r="W41" s="4">
        <f t="shared" si="29"/>
        <v>21765.59685263109</v>
      </c>
      <c r="X41" s="4">
        <f t="shared" si="29"/>
        <v>15767.392742473177</v>
      </c>
      <c r="Y41" s="4">
        <f t="shared" si="29"/>
        <v>9559.2514884597385</v>
      </c>
      <c r="Z41" s="4">
        <f t="shared" si="29"/>
        <v>3133.8252905558293</v>
      </c>
      <c r="AA41" s="4">
        <f t="shared" si="29"/>
        <v>0</v>
      </c>
      <c r="AB41" s="4">
        <f t="shared" si="29"/>
        <v>0</v>
      </c>
      <c r="AC41" s="4">
        <f t="shared" si="29"/>
        <v>0</v>
      </c>
      <c r="AD41" s="4">
        <f t="shared" si="29"/>
        <v>0</v>
      </c>
      <c r="AE41" s="4">
        <f t="shared" si="29"/>
        <v>0</v>
      </c>
      <c r="AF41" s="4">
        <f t="shared" si="29"/>
        <v>0</v>
      </c>
      <c r="AG41" s="4">
        <f t="shared" si="29"/>
        <v>0</v>
      </c>
      <c r="AH41" s="4">
        <f t="shared" si="29"/>
        <v>0</v>
      </c>
      <c r="AI41" s="4">
        <f t="shared" si="29"/>
        <v>0</v>
      </c>
      <c r="AJ41" s="4">
        <f t="shared" si="29"/>
        <v>0</v>
      </c>
      <c r="AK41" s="4">
        <f t="shared" si="29"/>
        <v>0</v>
      </c>
      <c r="AL41" s="4">
        <f t="shared" si="29"/>
        <v>0</v>
      </c>
      <c r="AM41" s="4">
        <f t="shared" si="29"/>
        <v>0</v>
      </c>
      <c r="AN41" s="4">
        <f t="shared" si="29"/>
        <v>0</v>
      </c>
      <c r="AO41" s="4">
        <f t="shared" si="29"/>
        <v>0</v>
      </c>
      <c r="AP41" s="4">
        <f t="shared" si="29"/>
        <v>0</v>
      </c>
      <c r="AQ41" s="4">
        <f t="shared" si="29"/>
        <v>0</v>
      </c>
      <c r="AR41" s="4">
        <f t="shared" si="29"/>
        <v>0</v>
      </c>
      <c r="AS41" s="4">
        <f t="shared" si="29"/>
        <v>0</v>
      </c>
      <c r="AT41" s="4">
        <f t="shared" si="29"/>
        <v>0</v>
      </c>
      <c r="AU41" s="4">
        <f t="shared" si="29"/>
        <v>0</v>
      </c>
      <c r="AV41" s="4">
        <f t="shared" si="29"/>
        <v>0</v>
      </c>
      <c r="AW41" s="4">
        <f t="shared" si="29"/>
        <v>0</v>
      </c>
      <c r="AX41" s="4">
        <f t="shared" si="29"/>
        <v>0</v>
      </c>
      <c r="AY41" s="4">
        <f t="shared" si="29"/>
        <v>0</v>
      </c>
      <c r="AZ41" s="4">
        <f t="shared" si="29"/>
        <v>0</v>
      </c>
      <c r="BA41" s="295">
        <f t="shared" si="29"/>
        <v>0</v>
      </c>
    </row>
    <row r="42" spans="2:53">
      <c r="B42" s="457" t="s">
        <v>43</v>
      </c>
      <c r="C42" s="458"/>
      <c r="D42" s="4">
        <f t="shared" ref="D42:AI42" si="30">D39*D41</f>
        <v>3640.0000000000005</v>
      </c>
      <c r="E42" s="4">
        <f t="shared" si="30"/>
        <v>3530.8</v>
      </c>
      <c r="F42" s="4">
        <f t="shared" si="30"/>
        <v>3417.7780000000002</v>
      </c>
      <c r="G42" s="4">
        <f t="shared" si="30"/>
        <v>3300.8002300000007</v>
      </c>
      <c r="H42" s="4">
        <f t="shared" si="30"/>
        <v>3179.7282380500005</v>
      </c>
      <c r="I42" s="4">
        <f t="shared" si="30"/>
        <v>3054.4187263817503</v>
      </c>
      <c r="J42" s="4">
        <f t="shared" si="30"/>
        <v>2924.7233818051113</v>
      </c>
      <c r="K42" s="4">
        <f t="shared" si="30"/>
        <v>2790.4887001682905</v>
      </c>
      <c r="L42" s="4">
        <f t="shared" si="30"/>
        <v>2651.5558046741808</v>
      </c>
      <c r="M42" s="4">
        <f t="shared" si="30"/>
        <v>2507.7602578377769</v>
      </c>
      <c r="N42" s="4">
        <f t="shared" si="30"/>
        <v>2358.9318668620995</v>
      </c>
      <c r="O42" s="4">
        <f t="shared" si="30"/>
        <v>2204.8944822022727</v>
      </c>
      <c r="P42" s="4">
        <f t="shared" si="30"/>
        <v>2045.4657890793524</v>
      </c>
      <c r="Q42" s="4">
        <f t="shared" si="30"/>
        <v>1880.4570916971297</v>
      </c>
      <c r="R42" s="4">
        <f t="shared" si="30"/>
        <v>1709.6730899065292</v>
      </c>
      <c r="S42" s="4">
        <f t="shared" si="30"/>
        <v>1532.9116480532577</v>
      </c>
      <c r="T42" s="4">
        <f t="shared" si="30"/>
        <v>1349.9635557351219</v>
      </c>
      <c r="U42" s="4">
        <f t="shared" si="30"/>
        <v>1160.612280185851</v>
      </c>
      <c r="V42" s="4">
        <f t="shared" si="30"/>
        <v>964.63370999235576</v>
      </c>
      <c r="W42" s="4">
        <f t="shared" si="30"/>
        <v>761.79588984208817</v>
      </c>
      <c r="X42" s="4">
        <f t="shared" si="30"/>
        <v>551.8587459865613</v>
      </c>
      <c r="Y42" s="4">
        <f t="shared" si="30"/>
        <v>334.5738020960909</v>
      </c>
      <c r="Z42" s="4">
        <f t="shared" si="30"/>
        <v>109.68388516945403</v>
      </c>
      <c r="AA42" s="4">
        <f t="shared" si="30"/>
        <v>0</v>
      </c>
      <c r="AB42" s="4">
        <f t="shared" si="30"/>
        <v>0</v>
      </c>
      <c r="AC42" s="4">
        <f t="shared" si="30"/>
        <v>0</v>
      </c>
      <c r="AD42" s="4">
        <f t="shared" si="30"/>
        <v>0</v>
      </c>
      <c r="AE42" s="4">
        <f t="shared" si="30"/>
        <v>0</v>
      </c>
      <c r="AF42" s="4">
        <f t="shared" si="30"/>
        <v>0</v>
      </c>
      <c r="AG42" s="4">
        <f t="shared" si="30"/>
        <v>0</v>
      </c>
      <c r="AH42" s="4">
        <f t="shared" si="30"/>
        <v>0</v>
      </c>
      <c r="AI42" s="4">
        <f t="shared" si="30"/>
        <v>0</v>
      </c>
      <c r="AJ42" s="4">
        <f t="shared" ref="AJ42:BA42" si="31">AJ39*AJ41</f>
        <v>0</v>
      </c>
      <c r="AK42" s="4">
        <f t="shared" si="31"/>
        <v>0</v>
      </c>
      <c r="AL42" s="4">
        <f t="shared" si="31"/>
        <v>0</v>
      </c>
      <c r="AM42" s="4">
        <f t="shared" si="31"/>
        <v>0</v>
      </c>
      <c r="AN42" s="4">
        <f t="shared" si="31"/>
        <v>0</v>
      </c>
      <c r="AO42" s="4">
        <f t="shared" si="31"/>
        <v>0</v>
      </c>
      <c r="AP42" s="4">
        <f t="shared" si="31"/>
        <v>0</v>
      </c>
      <c r="AQ42" s="4">
        <f t="shared" si="31"/>
        <v>0</v>
      </c>
      <c r="AR42" s="4">
        <f t="shared" si="31"/>
        <v>0</v>
      </c>
      <c r="AS42" s="4">
        <f t="shared" si="31"/>
        <v>0</v>
      </c>
      <c r="AT42" s="4">
        <f t="shared" si="31"/>
        <v>0</v>
      </c>
      <c r="AU42" s="4">
        <f t="shared" si="31"/>
        <v>0</v>
      </c>
      <c r="AV42" s="4">
        <f t="shared" si="31"/>
        <v>0</v>
      </c>
      <c r="AW42" s="4">
        <f t="shared" si="31"/>
        <v>0</v>
      </c>
      <c r="AX42" s="4">
        <f t="shared" si="31"/>
        <v>0</v>
      </c>
      <c r="AY42" s="4">
        <f t="shared" si="31"/>
        <v>0</v>
      </c>
      <c r="AZ42" s="4">
        <f t="shared" si="31"/>
        <v>0</v>
      </c>
      <c r="BA42" s="295">
        <f t="shared" si="31"/>
        <v>0</v>
      </c>
    </row>
    <row r="43" spans="2:53" ht="9.75" customHeight="1">
      <c r="B43" s="502"/>
      <c r="C43" s="503"/>
      <c r="I43" s="6"/>
      <c r="J43" s="6"/>
      <c r="K43" s="6"/>
      <c r="L43" s="6"/>
      <c r="BA43" s="302"/>
    </row>
    <row r="44" spans="2:53">
      <c r="B44" s="457" t="s">
        <v>54</v>
      </c>
      <c r="C44" s="458"/>
      <c r="D44" s="4"/>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2"/>
    </row>
    <row r="45" spans="2:53">
      <c r="B45" s="457" t="s">
        <v>55</v>
      </c>
      <c r="C45" s="458"/>
      <c r="D45" s="4">
        <f>Cockpit!$N$19*D41</f>
        <v>3120</v>
      </c>
      <c r="E45" s="4">
        <f t="shared" ref="E45:L45" si="32">MIN(D50,IF(E44&lt;&gt;"",E44,MAX(D48-E42,0)))</f>
        <v>3229.2</v>
      </c>
      <c r="F45" s="4">
        <f t="shared" si="32"/>
        <v>3342.2219999999998</v>
      </c>
      <c r="G45" s="4">
        <f t="shared" si="32"/>
        <v>3459.1997699999993</v>
      </c>
      <c r="H45" s="4">
        <f t="shared" si="32"/>
        <v>3580.2717619499995</v>
      </c>
      <c r="I45" s="4">
        <f t="shared" si="32"/>
        <v>3705.5812736182497</v>
      </c>
      <c r="J45" s="4">
        <f t="shared" si="32"/>
        <v>3835.2766181948887</v>
      </c>
      <c r="K45" s="4">
        <f t="shared" si="32"/>
        <v>3969.5112998317095</v>
      </c>
      <c r="L45" s="4">
        <f t="shared" si="32"/>
        <v>4108.4441953258192</v>
      </c>
      <c r="M45" s="4">
        <f>MIN(L50,IF(M44&lt;&gt;"",M44,MAX(L48-M42,0)))</f>
        <v>4252.2397421622227</v>
      </c>
      <c r="N45" s="4">
        <f t="shared" ref="N45:AZ45" si="33">MIN(M50,IF(N44&lt;&gt;"",N44,MAX(M48-N42,0)))</f>
        <v>4401.0681331379001</v>
      </c>
      <c r="O45" s="4">
        <f t="shared" si="33"/>
        <v>4555.1055177977269</v>
      </c>
      <c r="P45" s="4">
        <f t="shared" si="33"/>
        <v>4714.5342109206476</v>
      </c>
      <c r="Q45" s="4">
        <f t="shared" si="33"/>
        <v>4879.5429083028703</v>
      </c>
      <c r="R45" s="4">
        <f t="shared" si="33"/>
        <v>5050.3269100934704</v>
      </c>
      <c r="S45" s="4">
        <f t="shared" si="33"/>
        <v>5227.0883519467425</v>
      </c>
      <c r="T45" s="4">
        <f t="shared" si="33"/>
        <v>5410.0364442648779</v>
      </c>
      <c r="U45" s="4">
        <f t="shared" si="33"/>
        <v>5599.387719814149</v>
      </c>
      <c r="V45" s="4">
        <f t="shared" si="33"/>
        <v>5795.3662900076442</v>
      </c>
      <c r="W45" s="4">
        <f t="shared" si="33"/>
        <v>5998.2041101579116</v>
      </c>
      <c r="X45" s="4">
        <f t="shared" si="33"/>
        <v>6208.1412540134388</v>
      </c>
      <c r="Y45" s="4">
        <f t="shared" si="33"/>
        <v>6425.4261979039093</v>
      </c>
      <c r="Z45" s="4">
        <f t="shared" si="33"/>
        <v>3133.8252905558293</v>
      </c>
      <c r="AA45" s="4">
        <f t="shared" si="33"/>
        <v>0</v>
      </c>
      <c r="AB45" s="4">
        <f t="shared" si="33"/>
        <v>0</v>
      </c>
      <c r="AC45" s="4">
        <f t="shared" si="33"/>
        <v>0</v>
      </c>
      <c r="AD45" s="4">
        <f t="shared" si="33"/>
        <v>0</v>
      </c>
      <c r="AE45" s="4">
        <f t="shared" si="33"/>
        <v>0</v>
      </c>
      <c r="AF45" s="4">
        <f t="shared" si="33"/>
        <v>0</v>
      </c>
      <c r="AG45" s="4">
        <f t="shared" si="33"/>
        <v>0</v>
      </c>
      <c r="AH45" s="4">
        <f t="shared" si="33"/>
        <v>0</v>
      </c>
      <c r="AI45" s="4">
        <f t="shared" si="33"/>
        <v>0</v>
      </c>
      <c r="AJ45" s="4">
        <f t="shared" si="33"/>
        <v>0</v>
      </c>
      <c r="AK45" s="4">
        <f t="shared" si="33"/>
        <v>0</v>
      </c>
      <c r="AL45" s="4">
        <f t="shared" si="33"/>
        <v>0</v>
      </c>
      <c r="AM45" s="4">
        <f t="shared" si="33"/>
        <v>0</v>
      </c>
      <c r="AN45" s="4">
        <f t="shared" si="33"/>
        <v>0</v>
      </c>
      <c r="AO45" s="4">
        <f t="shared" si="33"/>
        <v>0</v>
      </c>
      <c r="AP45" s="4">
        <f t="shared" si="33"/>
        <v>0</v>
      </c>
      <c r="AQ45" s="4">
        <f t="shared" si="33"/>
        <v>0</v>
      </c>
      <c r="AR45" s="4">
        <f t="shared" si="33"/>
        <v>0</v>
      </c>
      <c r="AS45" s="4">
        <f t="shared" si="33"/>
        <v>0</v>
      </c>
      <c r="AT45" s="4">
        <f t="shared" si="33"/>
        <v>0</v>
      </c>
      <c r="AU45" s="4">
        <f t="shared" si="33"/>
        <v>0</v>
      </c>
      <c r="AV45" s="4">
        <f t="shared" si="33"/>
        <v>0</v>
      </c>
      <c r="AW45" s="4">
        <f t="shared" si="33"/>
        <v>0</v>
      </c>
      <c r="AX45" s="4">
        <f t="shared" si="33"/>
        <v>0</v>
      </c>
      <c r="AY45" s="4">
        <f t="shared" si="33"/>
        <v>0</v>
      </c>
      <c r="AZ45" s="4">
        <f t="shared" si="33"/>
        <v>0</v>
      </c>
      <c r="BA45" s="295">
        <f>MIN(AZ50,IF(BA44&lt;&gt;"",BA44,MAX(AZ48-BA42,0)))</f>
        <v>0</v>
      </c>
    </row>
    <row r="46" spans="2:53">
      <c r="B46" s="500" t="s">
        <v>56</v>
      </c>
      <c r="C46" s="501"/>
      <c r="D46" s="39">
        <f>IF(D41&gt;0,D45/D41,)</f>
        <v>0.03</v>
      </c>
      <c r="E46" s="39">
        <f t="shared" ref="E46:BA46" si="34">IF(E41&gt;0,E45/E41,)</f>
        <v>3.2010309278350517E-2</v>
      </c>
      <c r="F46" s="39">
        <f t="shared" si="34"/>
        <v>3.4226263379306669E-2</v>
      </c>
      <c r="G46" s="39">
        <f t="shared" si="34"/>
        <v>3.6679587831342328E-2</v>
      </c>
      <c r="H46" s="39">
        <f t="shared" si="34"/>
        <v>3.9408874685811918E-2</v>
      </c>
      <c r="I46" s="39">
        <f t="shared" si="34"/>
        <v>4.246154708797089E-2</v>
      </c>
      <c r="J46" s="39">
        <f t="shared" si="34"/>
        <v>4.5896539300743291E-2</v>
      </c>
      <c r="K46" s="39">
        <f t="shared" si="34"/>
        <v>4.9788015800146766E-2</v>
      </c>
      <c r="L46" s="39">
        <f t="shared" si="34"/>
        <v>5.4230631911619552E-2</v>
      </c>
      <c r="M46" s="39">
        <f t="shared" si="34"/>
        <v>5.9347136757003857E-2</v>
      </c>
      <c r="N46" s="39">
        <f t="shared" si="34"/>
        <v>6.5299632780293174E-2</v>
      </c>
      <c r="O46" s="39">
        <f t="shared" si="34"/>
        <v>7.2306722344228164E-2</v>
      </c>
      <c r="P46" s="39">
        <f t="shared" si="34"/>
        <v>8.067047528401429E-2</v>
      </c>
      <c r="Q46" s="39">
        <f t="shared" si="34"/>
        <v>9.0820472609915465E-2</v>
      </c>
      <c r="R46" s="39">
        <f t="shared" si="34"/>
        <v>0.10338902969042774</v>
      </c>
      <c r="S46" s="39">
        <f t="shared" si="34"/>
        <v>0.11934679506837427</v>
      </c>
      <c r="T46" s="39">
        <f t="shared" si="34"/>
        <v>0.14026399064244341</v>
      </c>
      <c r="U46" s="39">
        <f t="shared" si="34"/>
        <v>0.16885791537731518</v>
      </c>
      <c r="V46" s="39">
        <f t="shared" si="34"/>
        <v>0.2102744472322815</v>
      </c>
      <c r="W46" s="39">
        <f t="shared" si="34"/>
        <v>0.27558188046806681</v>
      </c>
      <c r="X46" s="39">
        <f t="shared" si="34"/>
        <v>0.39373289899035441</v>
      </c>
      <c r="Y46" s="39">
        <f t="shared" si="34"/>
        <v>0.6721683392952793</v>
      </c>
      <c r="Z46" s="39">
        <f t="shared" si="34"/>
        <v>1</v>
      </c>
      <c r="AA46" s="39">
        <f t="shared" si="34"/>
        <v>0</v>
      </c>
      <c r="AB46" s="39">
        <f t="shared" si="34"/>
        <v>0</v>
      </c>
      <c r="AC46" s="39">
        <f t="shared" si="34"/>
        <v>0</v>
      </c>
      <c r="AD46" s="39">
        <f t="shared" si="34"/>
        <v>0</v>
      </c>
      <c r="AE46" s="39">
        <f t="shared" si="34"/>
        <v>0</v>
      </c>
      <c r="AF46" s="39">
        <f t="shared" si="34"/>
        <v>0</v>
      </c>
      <c r="AG46" s="39">
        <f t="shared" si="34"/>
        <v>0</v>
      </c>
      <c r="AH46" s="39">
        <f t="shared" si="34"/>
        <v>0</v>
      </c>
      <c r="AI46" s="39">
        <f t="shared" si="34"/>
        <v>0</v>
      </c>
      <c r="AJ46" s="39">
        <f t="shared" si="34"/>
        <v>0</v>
      </c>
      <c r="AK46" s="39">
        <f t="shared" si="34"/>
        <v>0</v>
      </c>
      <c r="AL46" s="39">
        <f t="shared" si="34"/>
        <v>0</v>
      </c>
      <c r="AM46" s="39">
        <f t="shared" si="34"/>
        <v>0</v>
      </c>
      <c r="AN46" s="39">
        <f t="shared" si="34"/>
        <v>0</v>
      </c>
      <c r="AO46" s="39">
        <f t="shared" si="34"/>
        <v>0</v>
      </c>
      <c r="AP46" s="39">
        <f t="shared" si="34"/>
        <v>0</v>
      </c>
      <c r="AQ46" s="39">
        <f t="shared" si="34"/>
        <v>0</v>
      </c>
      <c r="AR46" s="39">
        <f t="shared" si="34"/>
        <v>0</v>
      </c>
      <c r="AS46" s="39">
        <f t="shared" si="34"/>
        <v>0</v>
      </c>
      <c r="AT46" s="39">
        <f t="shared" si="34"/>
        <v>0</v>
      </c>
      <c r="AU46" s="39">
        <f t="shared" si="34"/>
        <v>0</v>
      </c>
      <c r="AV46" s="39">
        <f t="shared" si="34"/>
        <v>0</v>
      </c>
      <c r="AW46" s="39">
        <f t="shared" si="34"/>
        <v>0</v>
      </c>
      <c r="AX46" s="39">
        <f t="shared" si="34"/>
        <v>0</v>
      </c>
      <c r="AY46" s="39">
        <f t="shared" si="34"/>
        <v>0</v>
      </c>
      <c r="AZ46" s="39">
        <f t="shared" si="34"/>
        <v>0</v>
      </c>
      <c r="BA46" s="297">
        <f t="shared" si="34"/>
        <v>0</v>
      </c>
    </row>
    <row r="47" spans="2:53" ht="9.75" customHeight="1">
      <c r="B47" s="502"/>
      <c r="C47" s="503"/>
      <c r="I47" s="6"/>
      <c r="J47" s="6"/>
      <c r="K47" s="6"/>
      <c r="L47" s="6"/>
      <c r="BA47" s="302"/>
    </row>
    <row r="48" spans="2:53">
      <c r="B48" s="457" t="s">
        <v>45</v>
      </c>
      <c r="C48" s="458"/>
      <c r="D48" s="4">
        <f t="shared" ref="D48:AI48" si="35">D42+D45</f>
        <v>6760</v>
      </c>
      <c r="E48" s="4">
        <f t="shared" si="35"/>
        <v>6760</v>
      </c>
      <c r="F48" s="4">
        <f t="shared" si="35"/>
        <v>6760</v>
      </c>
      <c r="G48" s="4">
        <f t="shared" si="35"/>
        <v>6760</v>
      </c>
      <c r="H48" s="4">
        <f t="shared" si="35"/>
        <v>6760</v>
      </c>
      <c r="I48" s="4">
        <f t="shared" si="35"/>
        <v>6760</v>
      </c>
      <c r="J48" s="4">
        <f t="shared" si="35"/>
        <v>6760</v>
      </c>
      <c r="K48" s="4">
        <f t="shared" si="35"/>
        <v>6760</v>
      </c>
      <c r="L48" s="4">
        <f t="shared" si="35"/>
        <v>6760</v>
      </c>
      <c r="M48" s="4">
        <f t="shared" si="35"/>
        <v>6760</v>
      </c>
      <c r="N48" s="4">
        <f t="shared" si="35"/>
        <v>6760</v>
      </c>
      <c r="O48" s="4">
        <f t="shared" si="35"/>
        <v>6760</v>
      </c>
      <c r="P48" s="4">
        <f t="shared" si="35"/>
        <v>6760</v>
      </c>
      <c r="Q48" s="4">
        <f t="shared" si="35"/>
        <v>6760</v>
      </c>
      <c r="R48" s="4">
        <f t="shared" si="35"/>
        <v>6760</v>
      </c>
      <c r="S48" s="4">
        <f t="shared" si="35"/>
        <v>6760</v>
      </c>
      <c r="T48" s="4">
        <f t="shared" si="35"/>
        <v>6760</v>
      </c>
      <c r="U48" s="4">
        <f t="shared" si="35"/>
        <v>6760</v>
      </c>
      <c r="V48" s="4">
        <f t="shared" si="35"/>
        <v>6760</v>
      </c>
      <c r="W48" s="4">
        <f t="shared" si="35"/>
        <v>6760</v>
      </c>
      <c r="X48" s="4">
        <f t="shared" si="35"/>
        <v>6760</v>
      </c>
      <c r="Y48" s="4">
        <f t="shared" si="35"/>
        <v>6760</v>
      </c>
      <c r="Z48" s="4">
        <f t="shared" si="35"/>
        <v>3243.5091757252835</v>
      </c>
      <c r="AA48" s="4">
        <f t="shared" si="35"/>
        <v>0</v>
      </c>
      <c r="AB48" s="4">
        <f t="shared" si="35"/>
        <v>0</v>
      </c>
      <c r="AC48" s="4">
        <f t="shared" si="35"/>
        <v>0</v>
      </c>
      <c r="AD48" s="4">
        <f t="shared" si="35"/>
        <v>0</v>
      </c>
      <c r="AE48" s="4">
        <f t="shared" si="35"/>
        <v>0</v>
      </c>
      <c r="AF48" s="4">
        <f t="shared" si="35"/>
        <v>0</v>
      </c>
      <c r="AG48" s="4">
        <f t="shared" si="35"/>
        <v>0</v>
      </c>
      <c r="AH48" s="4">
        <f t="shared" si="35"/>
        <v>0</v>
      </c>
      <c r="AI48" s="4">
        <f t="shared" si="35"/>
        <v>0</v>
      </c>
      <c r="AJ48" s="4">
        <f t="shared" ref="AJ48:BA48" si="36">AJ42+AJ45</f>
        <v>0</v>
      </c>
      <c r="AK48" s="4">
        <f t="shared" si="36"/>
        <v>0</v>
      </c>
      <c r="AL48" s="4">
        <f t="shared" si="36"/>
        <v>0</v>
      </c>
      <c r="AM48" s="4">
        <f t="shared" si="36"/>
        <v>0</v>
      </c>
      <c r="AN48" s="4">
        <f t="shared" si="36"/>
        <v>0</v>
      </c>
      <c r="AO48" s="4">
        <f t="shared" si="36"/>
        <v>0</v>
      </c>
      <c r="AP48" s="4">
        <f t="shared" si="36"/>
        <v>0</v>
      </c>
      <c r="AQ48" s="4">
        <f t="shared" si="36"/>
        <v>0</v>
      </c>
      <c r="AR48" s="4">
        <f t="shared" si="36"/>
        <v>0</v>
      </c>
      <c r="AS48" s="4">
        <f t="shared" si="36"/>
        <v>0</v>
      </c>
      <c r="AT48" s="4">
        <f t="shared" si="36"/>
        <v>0</v>
      </c>
      <c r="AU48" s="4">
        <f t="shared" si="36"/>
        <v>0</v>
      </c>
      <c r="AV48" s="4">
        <f t="shared" si="36"/>
        <v>0</v>
      </c>
      <c r="AW48" s="4">
        <f t="shared" si="36"/>
        <v>0</v>
      </c>
      <c r="AX48" s="4">
        <f t="shared" si="36"/>
        <v>0</v>
      </c>
      <c r="AY48" s="4">
        <f t="shared" si="36"/>
        <v>0</v>
      </c>
      <c r="AZ48" s="4">
        <f t="shared" si="36"/>
        <v>0</v>
      </c>
      <c r="BA48" s="295">
        <f t="shared" si="36"/>
        <v>0</v>
      </c>
    </row>
    <row r="49" spans="2:53">
      <c r="B49" s="457" t="s">
        <v>64</v>
      </c>
      <c r="C49" s="458"/>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1"/>
      <c r="AV49" s="311"/>
      <c r="AW49" s="311"/>
      <c r="AX49" s="311"/>
      <c r="AY49" s="311"/>
      <c r="AZ49" s="311"/>
      <c r="BA49" s="312"/>
    </row>
    <row r="50" spans="2:53">
      <c r="B50" s="457" t="s">
        <v>47</v>
      </c>
      <c r="C50" s="458"/>
      <c r="D50" s="4">
        <f t="shared" ref="D50:F50" si="37">MAX(D41-D45-D49,0)</f>
        <v>100880</v>
      </c>
      <c r="E50" s="4">
        <f t="shared" si="37"/>
        <v>97650.8</v>
      </c>
      <c r="F50" s="4">
        <f t="shared" si="37"/>
        <v>94308.578000000009</v>
      </c>
      <c r="G50" s="4">
        <f t="shared" ref="G50" si="38">MAX(G41-G45-G49,0)</f>
        <v>90849.378230000002</v>
      </c>
      <c r="H50" s="4">
        <f t="shared" ref="H50" si="39">MAX(H41-H45-H49,0)</f>
        <v>87269.106468049999</v>
      </c>
      <c r="I50" s="4">
        <f t="shared" ref="I50" si="40">MAX(I41-I45-I49,0)</f>
        <v>83563.525194431742</v>
      </c>
      <c r="J50" s="4">
        <f t="shared" ref="J50" si="41">MAX(J41-J45-J49,0)</f>
        <v>79728.24857623686</v>
      </c>
      <c r="K50" s="4">
        <f t="shared" ref="K50" si="42">MAX(K41-K45-K49,0)</f>
        <v>75758.737276405154</v>
      </c>
      <c r="L50" s="4">
        <f t="shared" ref="L50" si="43">MAX(L41-L45-L49,0)</f>
        <v>71650.293081079333</v>
      </c>
      <c r="M50" s="4">
        <f t="shared" ref="M50" si="44">MAX(M41-M45-M49,0)</f>
        <v>67398.053338917118</v>
      </c>
      <c r="N50" s="4">
        <f t="shared" ref="N50" si="45">MAX(N41-N45-N49,0)</f>
        <v>62996.985205779216</v>
      </c>
      <c r="O50" s="4">
        <f t="shared" ref="O50" si="46">MAX(O41-O45-O49,0)</f>
        <v>58441.879687981491</v>
      </c>
      <c r="P50" s="4">
        <f t="shared" ref="P50" si="47">MAX(P41-P45-P49,0)</f>
        <v>53727.345477060844</v>
      </c>
      <c r="Q50" s="4">
        <f t="shared" ref="Q50" si="48">MAX(Q41-Q45-Q49,0)</f>
        <v>48847.802568757972</v>
      </c>
      <c r="R50" s="4">
        <f t="shared" ref="R50" si="49">MAX(R41-R45-R49,0)</f>
        <v>43797.475658664502</v>
      </c>
      <c r="S50" s="4">
        <f t="shared" ref="S50" si="50">MAX(S41-S45-S49,0)</f>
        <v>38570.387306717763</v>
      </c>
      <c r="T50" s="4">
        <f t="shared" ref="T50" si="51">MAX(T41-T45-T49,0)</f>
        <v>33160.350862452884</v>
      </c>
      <c r="U50" s="4">
        <f t="shared" ref="U50" si="52">MAX(U41-U45-U49,0)</f>
        <v>27560.963142638735</v>
      </c>
      <c r="V50" s="4">
        <f t="shared" ref="V50" si="53">MAX(V41-V45-V49,0)</f>
        <v>21765.59685263109</v>
      </c>
      <c r="W50" s="4">
        <f t="shared" ref="W50" si="54">MAX(W41-W45-W49,0)</f>
        <v>15767.392742473177</v>
      </c>
      <c r="X50" s="4">
        <f t="shared" ref="X50" si="55">MAX(X41-X45-X49,0)</f>
        <v>9559.2514884597385</v>
      </c>
      <c r="Y50" s="4">
        <f t="shared" ref="Y50" si="56">MAX(Y41-Y45-Y49,0)</f>
        <v>3133.8252905558293</v>
      </c>
      <c r="Z50" s="4">
        <f t="shared" ref="Z50" si="57">MAX(Z41-Z45-Z49,0)</f>
        <v>0</v>
      </c>
      <c r="AA50" s="4">
        <f t="shared" ref="AA50" si="58">MAX(AA41-AA45-AA49,0)</f>
        <v>0</v>
      </c>
      <c r="AB50" s="4">
        <f t="shared" ref="AB50" si="59">MAX(AB41-AB45-AB49,0)</f>
        <v>0</v>
      </c>
      <c r="AC50" s="4">
        <f t="shared" ref="AC50" si="60">MAX(AC41-AC45-AC49,0)</f>
        <v>0</v>
      </c>
      <c r="AD50" s="4">
        <f t="shared" ref="AD50" si="61">MAX(AD41-AD45-AD49,0)</f>
        <v>0</v>
      </c>
      <c r="AE50" s="4">
        <f t="shared" ref="AE50" si="62">MAX(AE41-AE45-AE49,0)</f>
        <v>0</v>
      </c>
      <c r="AF50" s="4">
        <f t="shared" ref="AF50" si="63">MAX(AF41-AF45-AF49,0)</f>
        <v>0</v>
      </c>
      <c r="AG50" s="4">
        <f t="shared" ref="AG50" si="64">MAX(AG41-AG45-AG49,0)</f>
        <v>0</v>
      </c>
      <c r="AH50" s="4">
        <f t="shared" ref="AH50" si="65">MAX(AH41-AH45-AH49,0)</f>
        <v>0</v>
      </c>
      <c r="AI50" s="4">
        <f t="shared" ref="AI50" si="66">MAX(AI41-AI45-AI49,0)</f>
        <v>0</v>
      </c>
      <c r="AJ50" s="4">
        <f t="shared" ref="AJ50" si="67">MAX(AJ41-AJ45-AJ49,0)</f>
        <v>0</v>
      </c>
      <c r="AK50" s="4">
        <f t="shared" ref="AK50" si="68">MAX(AK41-AK45-AK49,0)</f>
        <v>0</v>
      </c>
      <c r="AL50" s="4">
        <f t="shared" ref="AL50" si="69">MAX(AL41-AL45-AL49,0)</f>
        <v>0</v>
      </c>
      <c r="AM50" s="4">
        <f t="shared" ref="AM50" si="70">MAX(AM41-AM45-AM49,0)</f>
        <v>0</v>
      </c>
      <c r="AN50" s="4">
        <f t="shared" ref="AN50" si="71">MAX(AN41-AN45-AN49,0)</f>
        <v>0</v>
      </c>
      <c r="AO50" s="4">
        <f t="shared" ref="AO50" si="72">MAX(AO41-AO45-AO49,0)</f>
        <v>0</v>
      </c>
      <c r="AP50" s="4">
        <f t="shared" ref="AP50" si="73">MAX(AP41-AP45-AP49,0)</f>
        <v>0</v>
      </c>
      <c r="AQ50" s="4">
        <f t="shared" ref="AQ50" si="74">MAX(AQ41-AQ45-AQ49,0)</f>
        <v>0</v>
      </c>
      <c r="AR50" s="4">
        <f t="shared" ref="AR50" si="75">MAX(AR41-AR45-AR49,0)</f>
        <v>0</v>
      </c>
      <c r="AS50" s="4">
        <f t="shared" ref="AS50" si="76">MAX(AS41-AS45-AS49,0)</f>
        <v>0</v>
      </c>
      <c r="AT50" s="4">
        <f t="shared" ref="AT50" si="77">MAX(AT41-AT45-AT49,0)</f>
        <v>0</v>
      </c>
      <c r="AU50" s="4">
        <f t="shared" ref="AU50" si="78">MAX(AU41-AU45-AU49,0)</f>
        <v>0</v>
      </c>
      <c r="AV50" s="4">
        <f t="shared" ref="AV50" si="79">MAX(AV41-AV45-AV49,0)</f>
        <v>0</v>
      </c>
      <c r="AW50" s="4">
        <f t="shared" ref="AW50" si="80">MAX(AW41-AW45-AW49,0)</f>
        <v>0</v>
      </c>
      <c r="AX50" s="4">
        <f t="shared" ref="AX50" si="81">MAX(AX41-AX45-AX49,0)</f>
        <v>0</v>
      </c>
      <c r="AY50" s="4">
        <f t="shared" ref="AY50" si="82">MAX(AY41-AY45-AY49,0)</f>
        <v>0</v>
      </c>
      <c r="AZ50" s="4">
        <f t="shared" ref="AZ50" si="83">MAX(AZ41-AZ45-AZ49,0)</f>
        <v>0</v>
      </c>
      <c r="BA50" s="295">
        <f t="shared" ref="BA50" si="84">MAX(BA41-BA45-BA49,0)</f>
        <v>0</v>
      </c>
    </row>
    <row r="51" spans="2:53" ht="15.75" thickBot="1">
      <c r="B51" s="448" t="s">
        <v>24</v>
      </c>
      <c r="C51" s="449"/>
      <c r="D51" s="298">
        <f>D48/12</f>
        <v>563.33333333333337</v>
      </c>
      <c r="E51" s="298">
        <f t="shared" ref="E51:BA51" si="85">E48/12</f>
        <v>563.33333333333337</v>
      </c>
      <c r="F51" s="298">
        <f t="shared" si="85"/>
        <v>563.33333333333337</v>
      </c>
      <c r="G51" s="298">
        <f t="shared" si="85"/>
        <v>563.33333333333337</v>
      </c>
      <c r="H51" s="298">
        <f t="shared" si="85"/>
        <v>563.33333333333337</v>
      </c>
      <c r="I51" s="298">
        <f t="shared" si="85"/>
        <v>563.33333333333337</v>
      </c>
      <c r="J51" s="298">
        <f t="shared" si="85"/>
        <v>563.33333333333337</v>
      </c>
      <c r="K51" s="298">
        <f t="shared" si="85"/>
        <v>563.33333333333337</v>
      </c>
      <c r="L51" s="298">
        <f t="shared" si="85"/>
        <v>563.33333333333337</v>
      </c>
      <c r="M51" s="298">
        <f t="shared" si="85"/>
        <v>563.33333333333337</v>
      </c>
      <c r="N51" s="298">
        <f t="shared" si="85"/>
        <v>563.33333333333337</v>
      </c>
      <c r="O51" s="298">
        <f t="shared" si="85"/>
        <v>563.33333333333337</v>
      </c>
      <c r="P51" s="298">
        <f t="shared" si="85"/>
        <v>563.33333333333337</v>
      </c>
      <c r="Q51" s="298">
        <f t="shared" si="85"/>
        <v>563.33333333333337</v>
      </c>
      <c r="R51" s="298">
        <f t="shared" si="85"/>
        <v>563.33333333333337</v>
      </c>
      <c r="S51" s="298">
        <f t="shared" si="85"/>
        <v>563.33333333333337</v>
      </c>
      <c r="T51" s="298">
        <f t="shared" si="85"/>
        <v>563.33333333333337</v>
      </c>
      <c r="U51" s="298">
        <f t="shared" si="85"/>
        <v>563.33333333333337</v>
      </c>
      <c r="V51" s="298">
        <f t="shared" si="85"/>
        <v>563.33333333333337</v>
      </c>
      <c r="W51" s="298">
        <f t="shared" si="85"/>
        <v>563.33333333333337</v>
      </c>
      <c r="X51" s="298">
        <f t="shared" si="85"/>
        <v>563.33333333333337</v>
      </c>
      <c r="Y51" s="298">
        <f t="shared" si="85"/>
        <v>563.33333333333337</v>
      </c>
      <c r="Z51" s="298">
        <f t="shared" si="85"/>
        <v>270.29243131044029</v>
      </c>
      <c r="AA51" s="298">
        <f t="shared" si="85"/>
        <v>0</v>
      </c>
      <c r="AB51" s="298">
        <f t="shared" si="85"/>
        <v>0</v>
      </c>
      <c r="AC51" s="298">
        <f t="shared" si="85"/>
        <v>0</v>
      </c>
      <c r="AD51" s="298">
        <f t="shared" si="85"/>
        <v>0</v>
      </c>
      <c r="AE51" s="298">
        <f t="shared" si="85"/>
        <v>0</v>
      </c>
      <c r="AF51" s="298">
        <f t="shared" si="85"/>
        <v>0</v>
      </c>
      <c r="AG51" s="298">
        <f t="shared" si="85"/>
        <v>0</v>
      </c>
      <c r="AH51" s="298">
        <f t="shared" si="85"/>
        <v>0</v>
      </c>
      <c r="AI51" s="298">
        <f t="shared" si="85"/>
        <v>0</v>
      </c>
      <c r="AJ51" s="298">
        <f t="shared" si="85"/>
        <v>0</v>
      </c>
      <c r="AK51" s="298">
        <f t="shared" si="85"/>
        <v>0</v>
      </c>
      <c r="AL51" s="298">
        <f t="shared" si="85"/>
        <v>0</v>
      </c>
      <c r="AM51" s="298">
        <f t="shared" si="85"/>
        <v>0</v>
      </c>
      <c r="AN51" s="298">
        <f t="shared" si="85"/>
        <v>0</v>
      </c>
      <c r="AO51" s="298">
        <f t="shared" si="85"/>
        <v>0</v>
      </c>
      <c r="AP51" s="298">
        <f t="shared" si="85"/>
        <v>0</v>
      </c>
      <c r="AQ51" s="298">
        <f t="shared" si="85"/>
        <v>0</v>
      </c>
      <c r="AR51" s="298">
        <f t="shared" si="85"/>
        <v>0</v>
      </c>
      <c r="AS51" s="298">
        <f t="shared" si="85"/>
        <v>0</v>
      </c>
      <c r="AT51" s="298">
        <f t="shared" si="85"/>
        <v>0</v>
      </c>
      <c r="AU51" s="298">
        <f t="shared" si="85"/>
        <v>0</v>
      </c>
      <c r="AV51" s="298">
        <f t="shared" si="85"/>
        <v>0</v>
      </c>
      <c r="AW51" s="298">
        <f t="shared" si="85"/>
        <v>0</v>
      </c>
      <c r="AX51" s="298">
        <f t="shared" si="85"/>
        <v>0</v>
      </c>
      <c r="AY51" s="298">
        <f t="shared" si="85"/>
        <v>0</v>
      </c>
      <c r="AZ51" s="298">
        <f t="shared" si="85"/>
        <v>0</v>
      </c>
      <c r="BA51" s="299">
        <f t="shared" si="85"/>
        <v>0</v>
      </c>
    </row>
    <row r="52" spans="2:53" ht="15.75" thickBot="1">
      <c r="I52" s="6"/>
      <c r="J52" s="6"/>
      <c r="K52" s="6"/>
      <c r="L52" s="6"/>
    </row>
    <row r="53" spans="2:53" ht="18" thickBot="1">
      <c r="B53" s="273" t="s">
        <v>25</v>
      </c>
      <c r="C53" s="40"/>
      <c r="I53" s="6"/>
      <c r="J53" s="6"/>
      <c r="K53" s="6"/>
      <c r="L53" s="6"/>
    </row>
    <row r="54" spans="2:53" ht="15.75" thickBot="1">
      <c r="B54" s="276" t="s">
        <v>46</v>
      </c>
      <c r="C54" s="277"/>
      <c r="D54" s="278">
        <f>D$7</f>
        <v>2024</v>
      </c>
      <c r="E54" s="279">
        <f t="shared" ref="E54:BA54" si="86">E$7</f>
        <v>2025</v>
      </c>
      <c r="F54" s="279">
        <f t="shared" si="86"/>
        <v>2026</v>
      </c>
      <c r="G54" s="279">
        <f t="shared" si="86"/>
        <v>2027</v>
      </c>
      <c r="H54" s="279">
        <f t="shared" si="86"/>
        <v>2028</v>
      </c>
      <c r="I54" s="279">
        <f t="shared" si="86"/>
        <v>2029</v>
      </c>
      <c r="J54" s="279">
        <f t="shared" si="86"/>
        <v>2030</v>
      </c>
      <c r="K54" s="279">
        <f t="shared" si="86"/>
        <v>2031</v>
      </c>
      <c r="L54" s="279">
        <f t="shared" si="86"/>
        <v>2032</v>
      </c>
      <c r="M54" s="279">
        <f t="shared" si="86"/>
        <v>2033</v>
      </c>
      <c r="N54" s="279">
        <f t="shared" si="86"/>
        <v>2034</v>
      </c>
      <c r="O54" s="279">
        <f t="shared" si="86"/>
        <v>2035</v>
      </c>
      <c r="P54" s="279">
        <f t="shared" si="86"/>
        <v>2036</v>
      </c>
      <c r="Q54" s="279">
        <f t="shared" si="86"/>
        <v>2037</v>
      </c>
      <c r="R54" s="279">
        <f t="shared" si="86"/>
        <v>2038</v>
      </c>
      <c r="S54" s="279">
        <f t="shared" si="86"/>
        <v>2039</v>
      </c>
      <c r="T54" s="279">
        <f t="shared" si="86"/>
        <v>2040</v>
      </c>
      <c r="U54" s="279">
        <f t="shared" si="86"/>
        <v>2041</v>
      </c>
      <c r="V54" s="279">
        <f t="shared" si="86"/>
        <v>2042</v>
      </c>
      <c r="W54" s="279">
        <f t="shared" si="86"/>
        <v>2043</v>
      </c>
      <c r="X54" s="279">
        <f t="shared" si="86"/>
        <v>2044</v>
      </c>
      <c r="Y54" s="279">
        <f t="shared" si="86"/>
        <v>2045</v>
      </c>
      <c r="Z54" s="279">
        <f t="shared" si="86"/>
        <v>2046</v>
      </c>
      <c r="AA54" s="279">
        <f t="shared" si="86"/>
        <v>2047</v>
      </c>
      <c r="AB54" s="279">
        <f t="shared" si="86"/>
        <v>2048</v>
      </c>
      <c r="AC54" s="279">
        <f t="shared" si="86"/>
        <v>2049</v>
      </c>
      <c r="AD54" s="279">
        <f t="shared" si="86"/>
        <v>2050</v>
      </c>
      <c r="AE54" s="279">
        <f t="shared" si="86"/>
        <v>2051</v>
      </c>
      <c r="AF54" s="279">
        <f t="shared" si="86"/>
        <v>2052</v>
      </c>
      <c r="AG54" s="279">
        <f t="shared" si="86"/>
        <v>2053</v>
      </c>
      <c r="AH54" s="279">
        <f t="shared" si="86"/>
        <v>2054</v>
      </c>
      <c r="AI54" s="279">
        <f t="shared" si="86"/>
        <v>2055</v>
      </c>
      <c r="AJ54" s="279">
        <f t="shared" si="86"/>
        <v>2056</v>
      </c>
      <c r="AK54" s="279">
        <f t="shared" si="86"/>
        <v>2057</v>
      </c>
      <c r="AL54" s="279">
        <f t="shared" si="86"/>
        <v>2058</v>
      </c>
      <c r="AM54" s="279">
        <f t="shared" si="86"/>
        <v>2059</v>
      </c>
      <c r="AN54" s="279">
        <f t="shared" si="86"/>
        <v>2060</v>
      </c>
      <c r="AO54" s="279">
        <f t="shared" si="86"/>
        <v>2061</v>
      </c>
      <c r="AP54" s="279">
        <f t="shared" si="86"/>
        <v>2062</v>
      </c>
      <c r="AQ54" s="279">
        <f t="shared" si="86"/>
        <v>2063</v>
      </c>
      <c r="AR54" s="279">
        <f t="shared" si="86"/>
        <v>2064</v>
      </c>
      <c r="AS54" s="279">
        <f t="shared" si="86"/>
        <v>2065</v>
      </c>
      <c r="AT54" s="279">
        <f t="shared" si="86"/>
        <v>2066</v>
      </c>
      <c r="AU54" s="279">
        <f t="shared" si="86"/>
        <v>2067</v>
      </c>
      <c r="AV54" s="279">
        <f t="shared" si="86"/>
        <v>2068</v>
      </c>
      <c r="AW54" s="279">
        <f t="shared" si="86"/>
        <v>2069</v>
      </c>
      <c r="AX54" s="279">
        <f t="shared" si="86"/>
        <v>2070</v>
      </c>
      <c r="AY54" s="279">
        <f t="shared" si="86"/>
        <v>2071</v>
      </c>
      <c r="AZ54" s="279">
        <f t="shared" si="86"/>
        <v>2072</v>
      </c>
      <c r="BA54" s="280">
        <f t="shared" si="86"/>
        <v>2073</v>
      </c>
    </row>
    <row r="55" spans="2:53">
      <c r="B55" s="485" t="s">
        <v>48</v>
      </c>
      <c r="C55" s="486"/>
      <c r="D55" s="300"/>
      <c r="E55" s="308"/>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10"/>
    </row>
    <row r="56" spans="2:53">
      <c r="B56" s="457" t="s">
        <v>49</v>
      </c>
      <c r="C56" s="458"/>
      <c r="D56" s="39">
        <f>Cockpit!N26</f>
        <v>0.02</v>
      </c>
      <c r="E56" s="39">
        <f t="shared" ref="E56" si="87">IF(E55&lt;&gt;"",E55,D56)</f>
        <v>0.02</v>
      </c>
      <c r="F56" s="39">
        <f t="shared" ref="F56" si="88">IF(F55&lt;&gt;"",F55,E56)</f>
        <v>0.02</v>
      </c>
      <c r="G56" s="39">
        <f t="shared" ref="G56" si="89">IF(G55&lt;&gt;"",G55,F56)</f>
        <v>0.02</v>
      </c>
      <c r="H56" s="39">
        <f t="shared" ref="H56" si="90">IF(H55&lt;&gt;"",H55,G56)</f>
        <v>0.02</v>
      </c>
      <c r="I56" s="39">
        <f t="shared" ref="I56" si="91">IF(I55&lt;&gt;"",I55,H56)</f>
        <v>0.02</v>
      </c>
      <c r="J56" s="39">
        <f t="shared" ref="J56" si="92">IF(J55&lt;&gt;"",J55,I56)</f>
        <v>0.02</v>
      </c>
      <c r="K56" s="39">
        <f t="shared" ref="K56" si="93">IF(K55&lt;&gt;"",K55,J56)</f>
        <v>0.02</v>
      </c>
      <c r="L56" s="39">
        <f t="shared" ref="L56" si="94">IF(L55&lt;&gt;"",L55,K56)</f>
        <v>0.02</v>
      </c>
      <c r="M56" s="39">
        <f t="shared" ref="M56" si="95">IF(M55&lt;&gt;"",M55,L56)</f>
        <v>0.02</v>
      </c>
      <c r="N56" s="39">
        <f t="shared" ref="N56" si="96">IF(N55&lt;&gt;"",N55,M56)</f>
        <v>0.02</v>
      </c>
      <c r="O56" s="39">
        <f t="shared" ref="O56" si="97">IF(O55&lt;&gt;"",O55,N56)</f>
        <v>0.02</v>
      </c>
      <c r="P56" s="39">
        <f t="shared" ref="P56" si="98">IF(P55&lt;&gt;"",P55,O56)</f>
        <v>0.02</v>
      </c>
      <c r="Q56" s="39">
        <f t="shared" ref="Q56" si="99">IF(Q55&lt;&gt;"",Q55,P56)</f>
        <v>0.02</v>
      </c>
      <c r="R56" s="39">
        <f t="shared" ref="R56" si="100">IF(R55&lt;&gt;"",R55,Q56)</f>
        <v>0.02</v>
      </c>
      <c r="S56" s="39">
        <f t="shared" ref="S56" si="101">IF(S55&lt;&gt;"",S55,R56)</f>
        <v>0.02</v>
      </c>
      <c r="T56" s="39">
        <f t="shared" ref="T56" si="102">IF(T55&lt;&gt;"",T55,S56)</f>
        <v>0.02</v>
      </c>
      <c r="U56" s="39">
        <f t="shared" ref="U56" si="103">IF(U55&lt;&gt;"",U55,T56)</f>
        <v>0.02</v>
      </c>
      <c r="V56" s="39">
        <f t="shared" ref="V56" si="104">IF(V55&lt;&gt;"",V55,U56)</f>
        <v>0.02</v>
      </c>
      <c r="W56" s="39">
        <f t="shared" ref="W56" si="105">IF(W55&lt;&gt;"",W55,V56)</f>
        <v>0.02</v>
      </c>
      <c r="X56" s="39">
        <f t="shared" ref="X56" si="106">IF(X55&lt;&gt;"",X55,W56)</f>
        <v>0.02</v>
      </c>
      <c r="Y56" s="39">
        <f t="shared" ref="Y56" si="107">IF(Y55&lt;&gt;"",Y55,X56)</f>
        <v>0.02</v>
      </c>
      <c r="Z56" s="39">
        <f t="shared" ref="Z56" si="108">IF(Z55&lt;&gt;"",Z55,Y56)</f>
        <v>0.02</v>
      </c>
      <c r="AA56" s="39">
        <f t="shared" ref="AA56" si="109">IF(AA55&lt;&gt;"",AA55,Z56)</f>
        <v>0.02</v>
      </c>
      <c r="AB56" s="39">
        <f t="shared" ref="AB56" si="110">IF(AB55&lt;&gt;"",AB55,AA56)</f>
        <v>0.02</v>
      </c>
      <c r="AC56" s="39">
        <f t="shared" ref="AC56" si="111">IF(AC55&lt;&gt;"",AC55,AB56)</f>
        <v>0.02</v>
      </c>
      <c r="AD56" s="39">
        <f t="shared" ref="AD56" si="112">IF(AD55&lt;&gt;"",AD55,AC56)</f>
        <v>0.02</v>
      </c>
      <c r="AE56" s="39">
        <f t="shared" ref="AE56" si="113">IF(AE55&lt;&gt;"",AE55,AD56)</f>
        <v>0.02</v>
      </c>
      <c r="AF56" s="39">
        <f t="shared" ref="AF56" si="114">IF(AF55&lt;&gt;"",AF55,AE56)</f>
        <v>0.02</v>
      </c>
      <c r="AG56" s="39">
        <f t="shared" ref="AG56" si="115">IF(AG55&lt;&gt;"",AG55,AF56)</f>
        <v>0.02</v>
      </c>
      <c r="AH56" s="39">
        <f t="shared" ref="AH56" si="116">IF(AH55&lt;&gt;"",AH55,AG56)</f>
        <v>0.02</v>
      </c>
      <c r="AI56" s="39">
        <f t="shared" ref="AI56" si="117">IF(AI55&lt;&gt;"",AI55,AH56)</f>
        <v>0.02</v>
      </c>
      <c r="AJ56" s="39">
        <f t="shared" ref="AJ56" si="118">IF(AJ55&lt;&gt;"",AJ55,AI56)</f>
        <v>0.02</v>
      </c>
      <c r="AK56" s="39">
        <f t="shared" ref="AK56" si="119">IF(AK55&lt;&gt;"",AK55,AJ56)</f>
        <v>0.02</v>
      </c>
      <c r="AL56" s="39">
        <f t="shared" ref="AL56" si="120">IF(AL55&lt;&gt;"",AL55,AK56)</f>
        <v>0.02</v>
      </c>
      <c r="AM56" s="39">
        <f t="shared" ref="AM56" si="121">IF(AM55&lt;&gt;"",AM55,AL56)</f>
        <v>0.02</v>
      </c>
      <c r="AN56" s="39">
        <f t="shared" ref="AN56" si="122">IF(AN55&lt;&gt;"",AN55,AM56)</f>
        <v>0.02</v>
      </c>
      <c r="AO56" s="39">
        <f t="shared" ref="AO56" si="123">IF(AO55&lt;&gt;"",AO55,AN56)</f>
        <v>0.02</v>
      </c>
      <c r="AP56" s="39">
        <f t="shared" ref="AP56" si="124">IF(AP55&lt;&gt;"",AP55,AO56)</f>
        <v>0.02</v>
      </c>
      <c r="AQ56" s="39">
        <f t="shared" ref="AQ56" si="125">IF(AQ55&lt;&gt;"",AQ55,AP56)</f>
        <v>0.02</v>
      </c>
      <c r="AR56" s="39">
        <f t="shared" ref="AR56" si="126">IF(AR55&lt;&gt;"",AR55,AQ56)</f>
        <v>0.02</v>
      </c>
      <c r="AS56" s="39">
        <f t="shared" ref="AS56" si="127">IF(AS55&lt;&gt;"",AS55,AR56)</f>
        <v>0.02</v>
      </c>
      <c r="AT56" s="39">
        <f t="shared" ref="AT56" si="128">IF(AT55&lt;&gt;"",AT55,AS56)</f>
        <v>0.02</v>
      </c>
      <c r="AU56" s="39">
        <f t="shared" ref="AU56" si="129">IF(AU55&lt;&gt;"",AU55,AT56)</f>
        <v>0.02</v>
      </c>
      <c r="AV56" s="39">
        <f t="shared" ref="AV56" si="130">IF(AV55&lt;&gt;"",AV55,AU56)</f>
        <v>0.02</v>
      </c>
      <c r="AW56" s="39">
        <f t="shared" ref="AW56" si="131">IF(AW55&lt;&gt;"",AW55,AV56)</f>
        <v>0.02</v>
      </c>
      <c r="AX56" s="39">
        <f t="shared" ref="AX56" si="132">IF(AX55&lt;&gt;"",AX55,AW56)</f>
        <v>0.02</v>
      </c>
      <c r="AY56" s="39">
        <f t="shared" ref="AY56" si="133">IF(AY55&lt;&gt;"",AY55,AX56)</f>
        <v>0.02</v>
      </c>
      <c r="AZ56" s="39">
        <f t="shared" ref="AZ56" si="134">IF(AZ55&lt;&gt;"",AZ55,AY56)</f>
        <v>0.02</v>
      </c>
      <c r="BA56" s="297">
        <f t="shared" ref="BA56" si="135">IF(BA55&lt;&gt;"",BA55,AZ56)</f>
        <v>0.02</v>
      </c>
    </row>
    <row r="57" spans="2:53" ht="8.25" customHeight="1">
      <c r="B57" s="301"/>
      <c r="I57" s="6"/>
      <c r="J57" s="6"/>
      <c r="K57" s="6"/>
      <c r="L57" s="6"/>
      <c r="BA57" s="302"/>
    </row>
    <row r="58" spans="2:53">
      <c r="B58" s="457" t="s">
        <v>42</v>
      </c>
      <c r="C58" s="458"/>
      <c r="D58" s="4">
        <f>Cockpit!N25</f>
        <v>0</v>
      </c>
      <c r="E58" s="4">
        <f>D67</f>
        <v>0</v>
      </c>
      <c r="F58" s="4">
        <f t="shared" ref="F58" si="136">E67</f>
        <v>0</v>
      </c>
      <c r="G58" s="4">
        <f t="shared" ref="G58" si="137">F67</f>
        <v>0</v>
      </c>
      <c r="H58" s="4">
        <f t="shared" ref="H58" si="138">G67</f>
        <v>0</v>
      </c>
      <c r="I58" s="4">
        <f t="shared" ref="I58" si="139">H67</f>
        <v>0</v>
      </c>
      <c r="J58" s="4">
        <f t="shared" ref="J58" si="140">I67</f>
        <v>0</v>
      </c>
      <c r="K58" s="4">
        <f t="shared" ref="K58" si="141">J67</f>
        <v>0</v>
      </c>
      <c r="L58" s="4">
        <f t="shared" ref="L58" si="142">K67</f>
        <v>0</v>
      </c>
      <c r="M58" s="4">
        <f t="shared" ref="M58" si="143">L67</f>
        <v>0</v>
      </c>
      <c r="N58" s="4">
        <f t="shared" ref="N58" si="144">M67</f>
        <v>0</v>
      </c>
      <c r="O58" s="4">
        <f t="shared" ref="O58" si="145">N67</f>
        <v>0</v>
      </c>
      <c r="P58" s="4">
        <f t="shared" ref="P58" si="146">O67</f>
        <v>0</v>
      </c>
      <c r="Q58" s="4">
        <f t="shared" ref="Q58" si="147">P67</f>
        <v>0</v>
      </c>
      <c r="R58" s="4">
        <f t="shared" ref="R58" si="148">Q67</f>
        <v>0</v>
      </c>
      <c r="S58" s="4">
        <f t="shared" ref="S58" si="149">R67</f>
        <v>0</v>
      </c>
      <c r="T58" s="4">
        <f t="shared" ref="T58" si="150">S67</f>
        <v>0</v>
      </c>
      <c r="U58" s="4">
        <f t="shared" ref="U58" si="151">T67</f>
        <v>0</v>
      </c>
      <c r="V58" s="4">
        <f t="shared" ref="V58" si="152">U67</f>
        <v>0</v>
      </c>
      <c r="W58" s="4">
        <f t="shared" ref="W58" si="153">V67</f>
        <v>0</v>
      </c>
      <c r="X58" s="4">
        <f t="shared" ref="X58" si="154">W67</f>
        <v>0</v>
      </c>
      <c r="Y58" s="4">
        <f t="shared" ref="Y58" si="155">X67</f>
        <v>0</v>
      </c>
      <c r="Z58" s="4">
        <f t="shared" ref="Z58" si="156">Y67</f>
        <v>0</v>
      </c>
      <c r="AA58" s="4">
        <f t="shared" ref="AA58" si="157">Z67</f>
        <v>0</v>
      </c>
      <c r="AB58" s="4">
        <f t="shared" ref="AB58" si="158">AA67</f>
        <v>0</v>
      </c>
      <c r="AC58" s="4">
        <f t="shared" ref="AC58" si="159">AB67</f>
        <v>0</v>
      </c>
      <c r="AD58" s="4">
        <f t="shared" ref="AD58" si="160">AC67</f>
        <v>0</v>
      </c>
      <c r="AE58" s="4">
        <f t="shared" ref="AE58" si="161">AD67</f>
        <v>0</v>
      </c>
      <c r="AF58" s="4">
        <f t="shared" ref="AF58" si="162">AE67</f>
        <v>0</v>
      </c>
      <c r="AG58" s="4">
        <f t="shared" ref="AG58" si="163">AF67</f>
        <v>0</v>
      </c>
      <c r="AH58" s="4">
        <f t="shared" ref="AH58" si="164">AG67</f>
        <v>0</v>
      </c>
      <c r="AI58" s="4">
        <f t="shared" ref="AI58" si="165">AH67</f>
        <v>0</v>
      </c>
      <c r="AJ58" s="4">
        <f t="shared" ref="AJ58" si="166">AI67</f>
        <v>0</v>
      </c>
      <c r="AK58" s="4">
        <f t="shared" ref="AK58" si="167">AJ67</f>
        <v>0</v>
      </c>
      <c r="AL58" s="4">
        <f t="shared" ref="AL58" si="168">AK67</f>
        <v>0</v>
      </c>
      <c r="AM58" s="4">
        <f t="shared" ref="AM58" si="169">AL67</f>
        <v>0</v>
      </c>
      <c r="AN58" s="4">
        <f t="shared" ref="AN58" si="170">AM67</f>
        <v>0</v>
      </c>
      <c r="AO58" s="4">
        <f t="shared" ref="AO58" si="171">AN67</f>
        <v>0</v>
      </c>
      <c r="AP58" s="4">
        <f t="shared" ref="AP58" si="172">AO67</f>
        <v>0</v>
      </c>
      <c r="AQ58" s="4">
        <f t="shared" ref="AQ58" si="173">AP67</f>
        <v>0</v>
      </c>
      <c r="AR58" s="4">
        <f t="shared" ref="AR58" si="174">AQ67</f>
        <v>0</v>
      </c>
      <c r="AS58" s="4">
        <f t="shared" ref="AS58" si="175">AR67</f>
        <v>0</v>
      </c>
      <c r="AT58" s="4">
        <f t="shared" ref="AT58" si="176">AS67</f>
        <v>0</v>
      </c>
      <c r="AU58" s="4">
        <f t="shared" ref="AU58" si="177">AT67</f>
        <v>0</v>
      </c>
      <c r="AV58" s="4">
        <f t="shared" ref="AV58" si="178">AU67</f>
        <v>0</v>
      </c>
      <c r="AW58" s="4">
        <f t="shared" ref="AW58" si="179">AV67</f>
        <v>0</v>
      </c>
      <c r="AX58" s="4">
        <f t="shared" ref="AX58" si="180">AW67</f>
        <v>0</v>
      </c>
      <c r="AY58" s="4">
        <f t="shared" ref="AY58" si="181">AX67</f>
        <v>0</v>
      </c>
      <c r="AZ58" s="4">
        <f t="shared" ref="AZ58" si="182">AY67</f>
        <v>0</v>
      </c>
      <c r="BA58" s="295">
        <f t="shared" ref="BA58" si="183">AZ67</f>
        <v>0</v>
      </c>
    </row>
    <row r="59" spans="2:53">
      <c r="B59" s="457" t="s">
        <v>43</v>
      </c>
      <c r="C59" s="458"/>
      <c r="D59" s="4">
        <f t="shared" ref="D59:BA59" si="184">D56*D58</f>
        <v>0</v>
      </c>
      <c r="E59" s="4">
        <f t="shared" si="184"/>
        <v>0</v>
      </c>
      <c r="F59" s="4">
        <f t="shared" si="184"/>
        <v>0</v>
      </c>
      <c r="G59" s="4">
        <f t="shared" si="184"/>
        <v>0</v>
      </c>
      <c r="H59" s="4">
        <f t="shared" si="184"/>
        <v>0</v>
      </c>
      <c r="I59" s="4">
        <f t="shared" si="184"/>
        <v>0</v>
      </c>
      <c r="J59" s="4">
        <f t="shared" si="184"/>
        <v>0</v>
      </c>
      <c r="K59" s="4">
        <f t="shared" si="184"/>
        <v>0</v>
      </c>
      <c r="L59" s="4">
        <f t="shared" si="184"/>
        <v>0</v>
      </c>
      <c r="M59" s="4">
        <f t="shared" si="184"/>
        <v>0</v>
      </c>
      <c r="N59" s="4">
        <f t="shared" si="184"/>
        <v>0</v>
      </c>
      <c r="O59" s="4">
        <f t="shared" si="184"/>
        <v>0</v>
      </c>
      <c r="P59" s="4">
        <f t="shared" si="184"/>
        <v>0</v>
      </c>
      <c r="Q59" s="4">
        <f t="shared" si="184"/>
        <v>0</v>
      </c>
      <c r="R59" s="4">
        <f t="shared" si="184"/>
        <v>0</v>
      </c>
      <c r="S59" s="4">
        <f t="shared" si="184"/>
        <v>0</v>
      </c>
      <c r="T59" s="4">
        <f t="shared" si="184"/>
        <v>0</v>
      </c>
      <c r="U59" s="4">
        <f t="shared" si="184"/>
        <v>0</v>
      </c>
      <c r="V59" s="4">
        <f t="shared" si="184"/>
        <v>0</v>
      </c>
      <c r="W59" s="4">
        <f t="shared" si="184"/>
        <v>0</v>
      </c>
      <c r="X59" s="4">
        <f t="shared" si="184"/>
        <v>0</v>
      </c>
      <c r="Y59" s="4">
        <f t="shared" si="184"/>
        <v>0</v>
      </c>
      <c r="Z59" s="4">
        <f t="shared" si="184"/>
        <v>0</v>
      </c>
      <c r="AA59" s="4">
        <f t="shared" si="184"/>
        <v>0</v>
      </c>
      <c r="AB59" s="4">
        <f t="shared" si="184"/>
        <v>0</v>
      </c>
      <c r="AC59" s="4">
        <f t="shared" si="184"/>
        <v>0</v>
      </c>
      <c r="AD59" s="4">
        <f t="shared" si="184"/>
        <v>0</v>
      </c>
      <c r="AE59" s="4">
        <f t="shared" si="184"/>
        <v>0</v>
      </c>
      <c r="AF59" s="4">
        <f t="shared" si="184"/>
        <v>0</v>
      </c>
      <c r="AG59" s="4">
        <f t="shared" si="184"/>
        <v>0</v>
      </c>
      <c r="AH59" s="4">
        <f t="shared" si="184"/>
        <v>0</v>
      </c>
      <c r="AI59" s="4">
        <f t="shared" si="184"/>
        <v>0</v>
      </c>
      <c r="AJ59" s="4">
        <f t="shared" si="184"/>
        <v>0</v>
      </c>
      <c r="AK59" s="4">
        <f t="shared" si="184"/>
        <v>0</v>
      </c>
      <c r="AL59" s="4">
        <f t="shared" si="184"/>
        <v>0</v>
      </c>
      <c r="AM59" s="4">
        <f t="shared" si="184"/>
        <v>0</v>
      </c>
      <c r="AN59" s="4">
        <f t="shared" si="184"/>
        <v>0</v>
      </c>
      <c r="AO59" s="4">
        <f t="shared" si="184"/>
        <v>0</v>
      </c>
      <c r="AP59" s="4">
        <f t="shared" si="184"/>
        <v>0</v>
      </c>
      <c r="AQ59" s="4">
        <f t="shared" si="184"/>
        <v>0</v>
      </c>
      <c r="AR59" s="4">
        <f t="shared" si="184"/>
        <v>0</v>
      </c>
      <c r="AS59" s="4">
        <f t="shared" si="184"/>
        <v>0</v>
      </c>
      <c r="AT59" s="4">
        <f t="shared" si="184"/>
        <v>0</v>
      </c>
      <c r="AU59" s="4">
        <f t="shared" si="184"/>
        <v>0</v>
      </c>
      <c r="AV59" s="4">
        <f t="shared" si="184"/>
        <v>0</v>
      </c>
      <c r="AW59" s="4">
        <f t="shared" si="184"/>
        <v>0</v>
      </c>
      <c r="AX59" s="4">
        <f t="shared" si="184"/>
        <v>0</v>
      </c>
      <c r="AY59" s="4">
        <f t="shared" si="184"/>
        <v>0</v>
      </c>
      <c r="AZ59" s="4">
        <f t="shared" si="184"/>
        <v>0</v>
      </c>
      <c r="BA59" s="295">
        <f t="shared" si="184"/>
        <v>0</v>
      </c>
    </row>
    <row r="60" spans="2:53" ht="9.75" customHeight="1">
      <c r="B60" s="301"/>
      <c r="I60" s="6"/>
      <c r="J60" s="6"/>
      <c r="K60" s="6"/>
      <c r="L60" s="6"/>
      <c r="BA60" s="302"/>
    </row>
    <row r="61" spans="2:53">
      <c r="B61" s="457" t="s">
        <v>54</v>
      </c>
      <c r="C61" s="458"/>
      <c r="D61" s="4"/>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2"/>
    </row>
    <row r="62" spans="2:53">
      <c r="B62" s="457" t="s">
        <v>55</v>
      </c>
      <c r="C62" s="458"/>
      <c r="D62" s="4">
        <f>Cockpit!$N$27*D58</f>
        <v>0</v>
      </c>
      <c r="E62" s="4">
        <f t="shared" ref="E62" si="185">MIN(D67,IF(E61&lt;&gt;"",E61,MAX(D65-E59,0)))</f>
        <v>0</v>
      </c>
      <c r="F62" s="4">
        <f t="shared" ref="F62" si="186">MIN(E67,IF(F61&lt;&gt;"",F61,MAX(E65-F59,0)))</f>
        <v>0</v>
      </c>
      <c r="G62" s="4">
        <f t="shared" ref="G62" si="187">MIN(F67,IF(G61&lt;&gt;"",G61,MAX(F65-G59,0)))</f>
        <v>0</v>
      </c>
      <c r="H62" s="4">
        <f t="shared" ref="H62" si="188">MIN(G67,IF(H61&lt;&gt;"",H61,MAX(G65-H59,0)))</f>
        <v>0</v>
      </c>
      <c r="I62" s="4">
        <f t="shared" ref="I62" si="189">MIN(H67,IF(I61&lt;&gt;"",I61,MAX(H65-I59,0)))</f>
        <v>0</v>
      </c>
      <c r="J62" s="4">
        <f t="shared" ref="J62" si="190">MIN(I67,IF(J61&lt;&gt;"",J61,MAX(I65-J59,0)))</f>
        <v>0</v>
      </c>
      <c r="K62" s="4">
        <f t="shared" ref="K62" si="191">MIN(J67,IF(K61&lt;&gt;"",K61,MAX(J65-K59,0)))</f>
        <v>0</v>
      </c>
      <c r="L62" s="4">
        <f t="shared" ref="L62" si="192">MIN(K67,IF(L61&lt;&gt;"",L61,MAX(K65-L59,0)))</f>
        <v>0</v>
      </c>
      <c r="M62" s="4">
        <f>MIN(L67,IF(M61&lt;&gt;"",M61,MAX(L65-M59,0)))</f>
        <v>0</v>
      </c>
      <c r="N62" s="4">
        <f t="shared" ref="N62" si="193">MIN(M67,IF(N61&lt;&gt;"",N61,MAX(M65-N59,0)))</f>
        <v>0</v>
      </c>
      <c r="O62" s="4">
        <f t="shared" ref="O62" si="194">MIN(N67,IF(O61&lt;&gt;"",O61,MAX(N65-O59,0)))</f>
        <v>0</v>
      </c>
      <c r="P62" s="4">
        <f t="shared" ref="P62" si="195">MIN(O67,IF(P61&lt;&gt;"",P61,MAX(O65-P59,0)))</f>
        <v>0</v>
      </c>
      <c r="Q62" s="4">
        <f t="shared" ref="Q62" si="196">MIN(P67,IF(Q61&lt;&gt;"",Q61,MAX(P65-Q59,0)))</f>
        <v>0</v>
      </c>
      <c r="R62" s="4">
        <f t="shared" ref="R62" si="197">MIN(Q67,IF(R61&lt;&gt;"",R61,MAX(Q65-R59,0)))</f>
        <v>0</v>
      </c>
      <c r="S62" s="4">
        <f t="shared" ref="S62" si="198">MIN(R67,IF(S61&lt;&gt;"",S61,MAX(R65-S59,0)))</f>
        <v>0</v>
      </c>
      <c r="T62" s="4">
        <f t="shared" ref="T62" si="199">MIN(S67,IF(T61&lt;&gt;"",T61,MAX(S65-T59,0)))</f>
        <v>0</v>
      </c>
      <c r="U62" s="4">
        <f t="shared" ref="U62" si="200">MIN(T67,IF(U61&lt;&gt;"",U61,MAX(T65-U59,0)))</f>
        <v>0</v>
      </c>
      <c r="V62" s="4">
        <f t="shared" ref="V62" si="201">MIN(U67,IF(V61&lt;&gt;"",V61,MAX(U65-V59,0)))</f>
        <v>0</v>
      </c>
      <c r="W62" s="4">
        <f t="shared" ref="W62" si="202">MIN(V67,IF(W61&lt;&gt;"",W61,MAX(V65-W59,0)))</f>
        <v>0</v>
      </c>
      <c r="X62" s="4">
        <f t="shared" ref="X62" si="203">MIN(W67,IF(X61&lt;&gt;"",X61,MAX(W65-X59,0)))</f>
        <v>0</v>
      </c>
      <c r="Y62" s="4">
        <f t="shared" ref="Y62" si="204">MIN(X67,IF(Y61&lt;&gt;"",Y61,MAX(X65-Y59,0)))</f>
        <v>0</v>
      </c>
      <c r="Z62" s="4">
        <f t="shared" ref="Z62" si="205">MIN(Y67,IF(Z61&lt;&gt;"",Z61,MAX(Y65-Z59,0)))</f>
        <v>0</v>
      </c>
      <c r="AA62" s="4">
        <f t="shared" ref="AA62" si="206">MIN(Z67,IF(AA61&lt;&gt;"",AA61,MAX(Z65-AA59,0)))</f>
        <v>0</v>
      </c>
      <c r="AB62" s="4">
        <f t="shared" ref="AB62" si="207">MIN(AA67,IF(AB61&lt;&gt;"",AB61,MAX(AA65-AB59,0)))</f>
        <v>0</v>
      </c>
      <c r="AC62" s="4">
        <f t="shared" ref="AC62" si="208">MIN(AB67,IF(AC61&lt;&gt;"",AC61,MAX(AB65-AC59,0)))</f>
        <v>0</v>
      </c>
      <c r="AD62" s="4">
        <f t="shared" ref="AD62" si="209">MIN(AC67,IF(AD61&lt;&gt;"",AD61,MAX(AC65-AD59,0)))</f>
        <v>0</v>
      </c>
      <c r="AE62" s="4">
        <f t="shared" ref="AE62" si="210">MIN(AD67,IF(AE61&lt;&gt;"",AE61,MAX(AD65-AE59,0)))</f>
        <v>0</v>
      </c>
      <c r="AF62" s="4">
        <f t="shared" ref="AF62" si="211">MIN(AE67,IF(AF61&lt;&gt;"",AF61,MAX(AE65-AF59,0)))</f>
        <v>0</v>
      </c>
      <c r="AG62" s="4">
        <f t="shared" ref="AG62" si="212">MIN(AF67,IF(AG61&lt;&gt;"",AG61,MAX(AF65-AG59,0)))</f>
        <v>0</v>
      </c>
      <c r="AH62" s="4">
        <f t="shared" ref="AH62" si="213">MIN(AG67,IF(AH61&lt;&gt;"",AH61,MAX(AG65-AH59,0)))</f>
        <v>0</v>
      </c>
      <c r="AI62" s="4">
        <f t="shared" ref="AI62" si="214">MIN(AH67,IF(AI61&lt;&gt;"",AI61,MAX(AH65-AI59,0)))</f>
        <v>0</v>
      </c>
      <c r="AJ62" s="4">
        <f t="shared" ref="AJ62" si="215">MIN(AI67,IF(AJ61&lt;&gt;"",AJ61,MAX(AI65-AJ59,0)))</f>
        <v>0</v>
      </c>
      <c r="AK62" s="4">
        <f t="shared" ref="AK62" si="216">MIN(AJ67,IF(AK61&lt;&gt;"",AK61,MAX(AJ65-AK59,0)))</f>
        <v>0</v>
      </c>
      <c r="AL62" s="4">
        <f t="shared" ref="AL62" si="217">MIN(AK67,IF(AL61&lt;&gt;"",AL61,MAX(AK65-AL59,0)))</f>
        <v>0</v>
      </c>
      <c r="AM62" s="4">
        <f t="shared" ref="AM62" si="218">MIN(AL67,IF(AM61&lt;&gt;"",AM61,MAX(AL65-AM59,0)))</f>
        <v>0</v>
      </c>
      <c r="AN62" s="4">
        <f t="shared" ref="AN62" si="219">MIN(AM67,IF(AN61&lt;&gt;"",AN61,MAX(AM65-AN59,0)))</f>
        <v>0</v>
      </c>
      <c r="AO62" s="4">
        <f t="shared" ref="AO62" si="220">MIN(AN67,IF(AO61&lt;&gt;"",AO61,MAX(AN65-AO59,0)))</f>
        <v>0</v>
      </c>
      <c r="AP62" s="4">
        <f t="shared" ref="AP62" si="221">MIN(AO67,IF(AP61&lt;&gt;"",AP61,MAX(AO65-AP59,0)))</f>
        <v>0</v>
      </c>
      <c r="AQ62" s="4">
        <f t="shared" ref="AQ62" si="222">MIN(AP67,IF(AQ61&lt;&gt;"",AQ61,MAX(AP65-AQ59,0)))</f>
        <v>0</v>
      </c>
      <c r="AR62" s="4">
        <f t="shared" ref="AR62" si="223">MIN(AQ67,IF(AR61&lt;&gt;"",AR61,MAX(AQ65-AR59,0)))</f>
        <v>0</v>
      </c>
      <c r="AS62" s="4">
        <f t="shared" ref="AS62" si="224">MIN(AR67,IF(AS61&lt;&gt;"",AS61,MAX(AR65-AS59,0)))</f>
        <v>0</v>
      </c>
      <c r="AT62" s="4">
        <f t="shared" ref="AT62" si="225">MIN(AS67,IF(AT61&lt;&gt;"",AT61,MAX(AS65-AT59,0)))</f>
        <v>0</v>
      </c>
      <c r="AU62" s="4">
        <f t="shared" ref="AU62" si="226">MIN(AT67,IF(AU61&lt;&gt;"",AU61,MAX(AT65-AU59,0)))</f>
        <v>0</v>
      </c>
      <c r="AV62" s="4">
        <f t="shared" ref="AV62" si="227">MIN(AU67,IF(AV61&lt;&gt;"",AV61,MAX(AU65-AV59,0)))</f>
        <v>0</v>
      </c>
      <c r="AW62" s="4">
        <f t="shared" ref="AW62" si="228">MIN(AV67,IF(AW61&lt;&gt;"",AW61,MAX(AV65-AW59,0)))</f>
        <v>0</v>
      </c>
      <c r="AX62" s="4">
        <f t="shared" ref="AX62" si="229">MIN(AW67,IF(AX61&lt;&gt;"",AX61,MAX(AW65-AX59,0)))</f>
        <v>0</v>
      </c>
      <c r="AY62" s="4">
        <f t="shared" ref="AY62" si="230">MIN(AX67,IF(AY61&lt;&gt;"",AY61,MAX(AX65-AY59,0)))</f>
        <v>0</v>
      </c>
      <c r="AZ62" s="4">
        <f t="shared" ref="AZ62" si="231">MIN(AY67,IF(AZ61&lt;&gt;"",AZ61,MAX(AY65-AZ59,0)))</f>
        <v>0</v>
      </c>
      <c r="BA62" s="295">
        <f>MIN(AZ67,IF(BA61&lt;&gt;"",BA61,MAX(AZ65-BA59,0)))</f>
        <v>0</v>
      </c>
    </row>
    <row r="63" spans="2:53">
      <c r="B63" s="500" t="s">
        <v>56</v>
      </c>
      <c r="C63" s="501"/>
      <c r="D63" s="39">
        <f>IF(D58&gt;0,D62/D58,)</f>
        <v>0</v>
      </c>
      <c r="E63" s="39">
        <f t="shared" ref="E63:BA63" si="232">IF(E58&gt;0,E62/E58,)</f>
        <v>0</v>
      </c>
      <c r="F63" s="39">
        <f t="shared" si="232"/>
        <v>0</v>
      </c>
      <c r="G63" s="39">
        <f t="shared" si="232"/>
        <v>0</v>
      </c>
      <c r="H63" s="39">
        <f t="shared" si="232"/>
        <v>0</v>
      </c>
      <c r="I63" s="39">
        <f t="shared" si="232"/>
        <v>0</v>
      </c>
      <c r="J63" s="39">
        <f t="shared" si="232"/>
        <v>0</v>
      </c>
      <c r="K63" s="39">
        <f t="shared" si="232"/>
        <v>0</v>
      </c>
      <c r="L63" s="39">
        <f t="shared" si="232"/>
        <v>0</v>
      </c>
      <c r="M63" s="39">
        <f t="shared" si="232"/>
        <v>0</v>
      </c>
      <c r="N63" s="39">
        <f t="shared" si="232"/>
        <v>0</v>
      </c>
      <c r="O63" s="39">
        <f t="shared" si="232"/>
        <v>0</v>
      </c>
      <c r="P63" s="39">
        <f t="shared" si="232"/>
        <v>0</v>
      </c>
      <c r="Q63" s="39">
        <f t="shared" si="232"/>
        <v>0</v>
      </c>
      <c r="R63" s="39">
        <f t="shared" si="232"/>
        <v>0</v>
      </c>
      <c r="S63" s="39">
        <f t="shared" si="232"/>
        <v>0</v>
      </c>
      <c r="T63" s="39">
        <f t="shared" si="232"/>
        <v>0</v>
      </c>
      <c r="U63" s="39">
        <f t="shared" si="232"/>
        <v>0</v>
      </c>
      <c r="V63" s="39">
        <f t="shared" si="232"/>
        <v>0</v>
      </c>
      <c r="W63" s="39">
        <f t="shared" si="232"/>
        <v>0</v>
      </c>
      <c r="X63" s="39">
        <f t="shared" si="232"/>
        <v>0</v>
      </c>
      <c r="Y63" s="39">
        <f t="shared" si="232"/>
        <v>0</v>
      </c>
      <c r="Z63" s="39">
        <f t="shared" si="232"/>
        <v>0</v>
      </c>
      <c r="AA63" s="39">
        <f t="shared" si="232"/>
        <v>0</v>
      </c>
      <c r="AB63" s="39">
        <f t="shared" si="232"/>
        <v>0</v>
      </c>
      <c r="AC63" s="39">
        <f t="shared" si="232"/>
        <v>0</v>
      </c>
      <c r="AD63" s="39">
        <f t="shared" si="232"/>
        <v>0</v>
      </c>
      <c r="AE63" s="39">
        <f t="shared" si="232"/>
        <v>0</v>
      </c>
      <c r="AF63" s="39">
        <f t="shared" si="232"/>
        <v>0</v>
      </c>
      <c r="AG63" s="39">
        <f t="shared" si="232"/>
        <v>0</v>
      </c>
      <c r="AH63" s="39">
        <f t="shared" si="232"/>
        <v>0</v>
      </c>
      <c r="AI63" s="39">
        <f t="shared" si="232"/>
        <v>0</v>
      </c>
      <c r="AJ63" s="39">
        <f t="shared" si="232"/>
        <v>0</v>
      </c>
      <c r="AK63" s="39">
        <f t="shared" si="232"/>
        <v>0</v>
      </c>
      <c r="AL63" s="39">
        <f t="shared" si="232"/>
        <v>0</v>
      </c>
      <c r="AM63" s="39">
        <f t="shared" si="232"/>
        <v>0</v>
      </c>
      <c r="AN63" s="39">
        <f t="shared" si="232"/>
        <v>0</v>
      </c>
      <c r="AO63" s="39">
        <f t="shared" si="232"/>
        <v>0</v>
      </c>
      <c r="AP63" s="39">
        <f t="shared" si="232"/>
        <v>0</v>
      </c>
      <c r="AQ63" s="39">
        <f t="shared" si="232"/>
        <v>0</v>
      </c>
      <c r="AR63" s="39">
        <f t="shared" si="232"/>
        <v>0</v>
      </c>
      <c r="AS63" s="39">
        <f t="shared" si="232"/>
        <v>0</v>
      </c>
      <c r="AT63" s="39">
        <f t="shared" si="232"/>
        <v>0</v>
      </c>
      <c r="AU63" s="39">
        <f t="shared" si="232"/>
        <v>0</v>
      </c>
      <c r="AV63" s="39">
        <f t="shared" si="232"/>
        <v>0</v>
      </c>
      <c r="AW63" s="39">
        <f t="shared" si="232"/>
        <v>0</v>
      </c>
      <c r="AX63" s="39">
        <f t="shared" si="232"/>
        <v>0</v>
      </c>
      <c r="AY63" s="39">
        <f t="shared" si="232"/>
        <v>0</v>
      </c>
      <c r="AZ63" s="39">
        <f t="shared" si="232"/>
        <v>0</v>
      </c>
      <c r="BA63" s="297">
        <f t="shared" si="232"/>
        <v>0</v>
      </c>
    </row>
    <row r="64" spans="2:53" ht="9.75" customHeight="1">
      <c r="B64" s="301"/>
      <c r="I64" s="6"/>
      <c r="J64" s="6"/>
      <c r="K64" s="6"/>
      <c r="L64" s="6"/>
      <c r="BA64" s="302"/>
    </row>
    <row r="65" spans="1:53">
      <c r="B65" s="457" t="s">
        <v>45</v>
      </c>
      <c r="C65" s="458"/>
      <c r="D65" s="4">
        <f t="shared" ref="D65:BA65" si="233">D59+D62</f>
        <v>0</v>
      </c>
      <c r="E65" s="4">
        <f t="shared" si="233"/>
        <v>0</v>
      </c>
      <c r="F65" s="4">
        <f t="shared" si="233"/>
        <v>0</v>
      </c>
      <c r="G65" s="4">
        <f t="shared" si="233"/>
        <v>0</v>
      </c>
      <c r="H65" s="4">
        <f t="shared" si="233"/>
        <v>0</v>
      </c>
      <c r="I65" s="4">
        <f t="shared" si="233"/>
        <v>0</v>
      </c>
      <c r="J65" s="4">
        <f t="shared" si="233"/>
        <v>0</v>
      </c>
      <c r="K65" s="4">
        <f t="shared" si="233"/>
        <v>0</v>
      </c>
      <c r="L65" s="4">
        <f t="shared" si="233"/>
        <v>0</v>
      </c>
      <c r="M65" s="4">
        <f t="shared" si="233"/>
        <v>0</v>
      </c>
      <c r="N65" s="4">
        <f t="shared" si="233"/>
        <v>0</v>
      </c>
      <c r="O65" s="4">
        <f t="shared" si="233"/>
        <v>0</v>
      </c>
      <c r="P65" s="4">
        <f t="shared" si="233"/>
        <v>0</v>
      </c>
      <c r="Q65" s="4">
        <f t="shared" si="233"/>
        <v>0</v>
      </c>
      <c r="R65" s="4">
        <f t="shared" si="233"/>
        <v>0</v>
      </c>
      <c r="S65" s="4">
        <f t="shared" si="233"/>
        <v>0</v>
      </c>
      <c r="T65" s="4">
        <f t="shared" si="233"/>
        <v>0</v>
      </c>
      <c r="U65" s="4">
        <f t="shared" si="233"/>
        <v>0</v>
      </c>
      <c r="V65" s="4">
        <f t="shared" si="233"/>
        <v>0</v>
      </c>
      <c r="W65" s="4">
        <f t="shared" si="233"/>
        <v>0</v>
      </c>
      <c r="X65" s="4">
        <f t="shared" si="233"/>
        <v>0</v>
      </c>
      <c r="Y65" s="4">
        <f t="shared" si="233"/>
        <v>0</v>
      </c>
      <c r="Z65" s="4">
        <f t="shared" si="233"/>
        <v>0</v>
      </c>
      <c r="AA65" s="4">
        <f t="shared" si="233"/>
        <v>0</v>
      </c>
      <c r="AB65" s="4">
        <f t="shared" si="233"/>
        <v>0</v>
      </c>
      <c r="AC65" s="4">
        <f t="shared" si="233"/>
        <v>0</v>
      </c>
      <c r="AD65" s="4">
        <f t="shared" si="233"/>
        <v>0</v>
      </c>
      <c r="AE65" s="4">
        <f t="shared" si="233"/>
        <v>0</v>
      </c>
      <c r="AF65" s="4">
        <f t="shared" si="233"/>
        <v>0</v>
      </c>
      <c r="AG65" s="4">
        <f t="shared" si="233"/>
        <v>0</v>
      </c>
      <c r="AH65" s="4">
        <f t="shared" si="233"/>
        <v>0</v>
      </c>
      <c r="AI65" s="4">
        <f t="shared" si="233"/>
        <v>0</v>
      </c>
      <c r="AJ65" s="4">
        <f t="shared" si="233"/>
        <v>0</v>
      </c>
      <c r="AK65" s="4">
        <f t="shared" si="233"/>
        <v>0</v>
      </c>
      <c r="AL65" s="4">
        <f t="shared" si="233"/>
        <v>0</v>
      </c>
      <c r="AM65" s="4">
        <f t="shared" si="233"/>
        <v>0</v>
      </c>
      <c r="AN65" s="4">
        <f t="shared" si="233"/>
        <v>0</v>
      </c>
      <c r="AO65" s="4">
        <f t="shared" si="233"/>
        <v>0</v>
      </c>
      <c r="AP65" s="4">
        <f t="shared" si="233"/>
        <v>0</v>
      </c>
      <c r="AQ65" s="4">
        <f t="shared" si="233"/>
        <v>0</v>
      </c>
      <c r="AR65" s="4">
        <f t="shared" si="233"/>
        <v>0</v>
      </c>
      <c r="AS65" s="4">
        <f t="shared" si="233"/>
        <v>0</v>
      </c>
      <c r="AT65" s="4">
        <f t="shared" si="233"/>
        <v>0</v>
      </c>
      <c r="AU65" s="4">
        <f t="shared" si="233"/>
        <v>0</v>
      </c>
      <c r="AV65" s="4">
        <f t="shared" si="233"/>
        <v>0</v>
      </c>
      <c r="AW65" s="4">
        <f t="shared" si="233"/>
        <v>0</v>
      </c>
      <c r="AX65" s="4">
        <f t="shared" si="233"/>
        <v>0</v>
      </c>
      <c r="AY65" s="4">
        <f t="shared" si="233"/>
        <v>0</v>
      </c>
      <c r="AZ65" s="4">
        <f t="shared" si="233"/>
        <v>0</v>
      </c>
      <c r="BA65" s="295">
        <f t="shared" si="233"/>
        <v>0</v>
      </c>
    </row>
    <row r="66" spans="1:53">
      <c r="B66" s="457" t="s">
        <v>64</v>
      </c>
      <c r="C66" s="458"/>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2"/>
    </row>
    <row r="67" spans="1:53">
      <c r="B67" s="457" t="s">
        <v>47</v>
      </c>
      <c r="C67" s="458"/>
      <c r="D67" s="4">
        <f t="shared" ref="D67:BA67" si="234">MAX(D58-D62-D66,0)</f>
        <v>0</v>
      </c>
      <c r="E67" s="4">
        <f t="shared" si="234"/>
        <v>0</v>
      </c>
      <c r="F67" s="4">
        <f t="shared" si="234"/>
        <v>0</v>
      </c>
      <c r="G67" s="4">
        <f t="shared" si="234"/>
        <v>0</v>
      </c>
      <c r="H67" s="4">
        <f t="shared" si="234"/>
        <v>0</v>
      </c>
      <c r="I67" s="4">
        <f t="shared" si="234"/>
        <v>0</v>
      </c>
      <c r="J67" s="4">
        <f t="shared" si="234"/>
        <v>0</v>
      </c>
      <c r="K67" s="4">
        <f t="shared" si="234"/>
        <v>0</v>
      </c>
      <c r="L67" s="4">
        <f t="shared" si="234"/>
        <v>0</v>
      </c>
      <c r="M67" s="4">
        <f t="shared" si="234"/>
        <v>0</v>
      </c>
      <c r="N67" s="4">
        <f t="shared" si="234"/>
        <v>0</v>
      </c>
      <c r="O67" s="4">
        <f t="shared" si="234"/>
        <v>0</v>
      </c>
      <c r="P67" s="4">
        <f t="shared" si="234"/>
        <v>0</v>
      </c>
      <c r="Q67" s="4">
        <f t="shared" si="234"/>
        <v>0</v>
      </c>
      <c r="R67" s="4">
        <f t="shared" si="234"/>
        <v>0</v>
      </c>
      <c r="S67" s="4">
        <f t="shared" si="234"/>
        <v>0</v>
      </c>
      <c r="T67" s="4">
        <f t="shared" si="234"/>
        <v>0</v>
      </c>
      <c r="U67" s="4">
        <f t="shared" si="234"/>
        <v>0</v>
      </c>
      <c r="V67" s="4">
        <f t="shared" si="234"/>
        <v>0</v>
      </c>
      <c r="W67" s="4">
        <f t="shared" si="234"/>
        <v>0</v>
      </c>
      <c r="X67" s="4">
        <f t="shared" si="234"/>
        <v>0</v>
      </c>
      <c r="Y67" s="4">
        <f t="shared" si="234"/>
        <v>0</v>
      </c>
      <c r="Z67" s="4">
        <f t="shared" si="234"/>
        <v>0</v>
      </c>
      <c r="AA67" s="4">
        <f t="shared" si="234"/>
        <v>0</v>
      </c>
      <c r="AB67" s="4">
        <f t="shared" si="234"/>
        <v>0</v>
      </c>
      <c r="AC67" s="4">
        <f t="shared" si="234"/>
        <v>0</v>
      </c>
      <c r="AD67" s="4">
        <f t="shared" si="234"/>
        <v>0</v>
      </c>
      <c r="AE67" s="4">
        <f t="shared" si="234"/>
        <v>0</v>
      </c>
      <c r="AF67" s="4">
        <f t="shared" si="234"/>
        <v>0</v>
      </c>
      <c r="AG67" s="4">
        <f t="shared" si="234"/>
        <v>0</v>
      </c>
      <c r="AH67" s="4">
        <f t="shared" si="234"/>
        <v>0</v>
      </c>
      <c r="AI67" s="4">
        <f t="shared" si="234"/>
        <v>0</v>
      </c>
      <c r="AJ67" s="4">
        <f t="shared" si="234"/>
        <v>0</v>
      </c>
      <c r="AK67" s="4">
        <f t="shared" si="234"/>
        <v>0</v>
      </c>
      <c r="AL67" s="4">
        <f t="shared" si="234"/>
        <v>0</v>
      </c>
      <c r="AM67" s="4">
        <f t="shared" si="234"/>
        <v>0</v>
      </c>
      <c r="AN67" s="4">
        <f t="shared" si="234"/>
        <v>0</v>
      </c>
      <c r="AO67" s="4">
        <f t="shared" si="234"/>
        <v>0</v>
      </c>
      <c r="AP67" s="4">
        <f t="shared" si="234"/>
        <v>0</v>
      </c>
      <c r="AQ67" s="4">
        <f t="shared" si="234"/>
        <v>0</v>
      </c>
      <c r="AR67" s="4">
        <f t="shared" si="234"/>
        <v>0</v>
      </c>
      <c r="AS67" s="4">
        <f t="shared" si="234"/>
        <v>0</v>
      </c>
      <c r="AT67" s="4">
        <f t="shared" si="234"/>
        <v>0</v>
      </c>
      <c r="AU67" s="4">
        <f t="shared" si="234"/>
        <v>0</v>
      </c>
      <c r="AV67" s="4">
        <f t="shared" si="234"/>
        <v>0</v>
      </c>
      <c r="AW67" s="4">
        <f t="shared" si="234"/>
        <v>0</v>
      </c>
      <c r="AX67" s="4">
        <f t="shared" si="234"/>
        <v>0</v>
      </c>
      <c r="AY67" s="4">
        <f t="shared" si="234"/>
        <v>0</v>
      </c>
      <c r="AZ67" s="4">
        <f t="shared" si="234"/>
        <v>0</v>
      </c>
      <c r="BA67" s="295">
        <f t="shared" si="234"/>
        <v>0</v>
      </c>
    </row>
    <row r="68" spans="1:53" ht="15.75" thickBot="1">
      <c r="B68" s="448" t="s">
        <v>24</v>
      </c>
      <c r="C68" s="449"/>
      <c r="D68" s="298">
        <f>D65/12</f>
        <v>0</v>
      </c>
      <c r="E68" s="298">
        <f t="shared" ref="E68:BA68" si="235">E65/12</f>
        <v>0</v>
      </c>
      <c r="F68" s="298">
        <f t="shared" si="235"/>
        <v>0</v>
      </c>
      <c r="G68" s="298">
        <f t="shared" si="235"/>
        <v>0</v>
      </c>
      <c r="H68" s="298">
        <f t="shared" si="235"/>
        <v>0</v>
      </c>
      <c r="I68" s="298">
        <f t="shared" si="235"/>
        <v>0</v>
      </c>
      <c r="J68" s="298">
        <f t="shared" si="235"/>
        <v>0</v>
      </c>
      <c r="K68" s="298">
        <f t="shared" si="235"/>
        <v>0</v>
      </c>
      <c r="L68" s="298">
        <f t="shared" si="235"/>
        <v>0</v>
      </c>
      <c r="M68" s="298">
        <f t="shared" si="235"/>
        <v>0</v>
      </c>
      <c r="N68" s="298">
        <f t="shared" si="235"/>
        <v>0</v>
      </c>
      <c r="O68" s="298">
        <f t="shared" si="235"/>
        <v>0</v>
      </c>
      <c r="P68" s="298">
        <f t="shared" si="235"/>
        <v>0</v>
      </c>
      <c r="Q68" s="298">
        <f t="shared" si="235"/>
        <v>0</v>
      </c>
      <c r="R68" s="298">
        <f t="shared" si="235"/>
        <v>0</v>
      </c>
      <c r="S68" s="298">
        <f t="shared" si="235"/>
        <v>0</v>
      </c>
      <c r="T68" s="298">
        <f t="shared" si="235"/>
        <v>0</v>
      </c>
      <c r="U68" s="298">
        <f t="shared" si="235"/>
        <v>0</v>
      </c>
      <c r="V68" s="298">
        <f t="shared" si="235"/>
        <v>0</v>
      </c>
      <c r="W68" s="298">
        <f t="shared" si="235"/>
        <v>0</v>
      </c>
      <c r="X68" s="298">
        <f t="shared" si="235"/>
        <v>0</v>
      </c>
      <c r="Y68" s="298">
        <f t="shared" si="235"/>
        <v>0</v>
      </c>
      <c r="Z68" s="298">
        <f t="shared" si="235"/>
        <v>0</v>
      </c>
      <c r="AA68" s="298">
        <f t="shared" si="235"/>
        <v>0</v>
      </c>
      <c r="AB68" s="298">
        <f t="shared" si="235"/>
        <v>0</v>
      </c>
      <c r="AC68" s="298">
        <f t="shared" si="235"/>
        <v>0</v>
      </c>
      <c r="AD68" s="298">
        <f t="shared" si="235"/>
        <v>0</v>
      </c>
      <c r="AE68" s="298">
        <f t="shared" si="235"/>
        <v>0</v>
      </c>
      <c r="AF68" s="298">
        <f t="shared" si="235"/>
        <v>0</v>
      </c>
      <c r="AG68" s="298">
        <f t="shared" si="235"/>
        <v>0</v>
      </c>
      <c r="AH68" s="298">
        <f t="shared" si="235"/>
        <v>0</v>
      </c>
      <c r="AI68" s="298">
        <f t="shared" si="235"/>
        <v>0</v>
      </c>
      <c r="AJ68" s="298">
        <f t="shared" si="235"/>
        <v>0</v>
      </c>
      <c r="AK68" s="298">
        <f t="shared" si="235"/>
        <v>0</v>
      </c>
      <c r="AL68" s="298">
        <f t="shared" si="235"/>
        <v>0</v>
      </c>
      <c r="AM68" s="298">
        <f t="shared" si="235"/>
        <v>0</v>
      </c>
      <c r="AN68" s="298">
        <f t="shared" si="235"/>
        <v>0</v>
      </c>
      <c r="AO68" s="298">
        <f t="shared" si="235"/>
        <v>0</v>
      </c>
      <c r="AP68" s="298">
        <f t="shared" si="235"/>
        <v>0</v>
      </c>
      <c r="AQ68" s="298">
        <f t="shared" si="235"/>
        <v>0</v>
      </c>
      <c r="AR68" s="298">
        <f t="shared" si="235"/>
        <v>0</v>
      </c>
      <c r="AS68" s="298">
        <f t="shared" si="235"/>
        <v>0</v>
      </c>
      <c r="AT68" s="298">
        <f t="shared" si="235"/>
        <v>0</v>
      </c>
      <c r="AU68" s="298">
        <f t="shared" si="235"/>
        <v>0</v>
      </c>
      <c r="AV68" s="298">
        <f t="shared" si="235"/>
        <v>0</v>
      </c>
      <c r="AW68" s="298">
        <f t="shared" si="235"/>
        <v>0</v>
      </c>
      <c r="AX68" s="298">
        <f t="shared" si="235"/>
        <v>0</v>
      </c>
      <c r="AY68" s="298">
        <f t="shared" si="235"/>
        <v>0</v>
      </c>
      <c r="AZ68" s="298">
        <f t="shared" si="235"/>
        <v>0</v>
      </c>
      <c r="BA68" s="299">
        <f t="shared" si="235"/>
        <v>0</v>
      </c>
    </row>
    <row r="69" spans="1:53" ht="15.75" thickBot="1">
      <c r="I69" s="6"/>
      <c r="J69" s="6"/>
      <c r="K69" s="6"/>
      <c r="L69" s="6"/>
    </row>
    <row r="70" spans="1:53" ht="18" thickBot="1">
      <c r="A70"/>
      <c r="B70" s="273" t="s">
        <v>245</v>
      </c>
      <c r="C70" s="40"/>
      <c r="I70" s="6"/>
      <c r="J70" s="6"/>
      <c r="K70" s="6"/>
      <c r="L70" s="6"/>
    </row>
    <row r="71" spans="1:53" ht="15.75" thickBot="1">
      <c r="B71" s="276" t="s">
        <v>46</v>
      </c>
      <c r="C71" s="277"/>
      <c r="D71" s="278">
        <f>D$7</f>
        <v>2024</v>
      </c>
      <c r="E71" s="279">
        <f t="shared" ref="E71:BA71" si="236">E$7</f>
        <v>2025</v>
      </c>
      <c r="F71" s="279">
        <f t="shared" si="236"/>
        <v>2026</v>
      </c>
      <c r="G71" s="279">
        <f t="shared" si="236"/>
        <v>2027</v>
      </c>
      <c r="H71" s="279">
        <f t="shared" si="236"/>
        <v>2028</v>
      </c>
      <c r="I71" s="279">
        <f t="shared" si="236"/>
        <v>2029</v>
      </c>
      <c r="J71" s="279">
        <f t="shared" si="236"/>
        <v>2030</v>
      </c>
      <c r="K71" s="279">
        <f t="shared" si="236"/>
        <v>2031</v>
      </c>
      <c r="L71" s="279">
        <f t="shared" si="236"/>
        <v>2032</v>
      </c>
      <c r="M71" s="279">
        <f t="shared" si="236"/>
        <v>2033</v>
      </c>
      <c r="N71" s="279">
        <f t="shared" si="236"/>
        <v>2034</v>
      </c>
      <c r="O71" s="279">
        <f t="shared" si="236"/>
        <v>2035</v>
      </c>
      <c r="P71" s="279">
        <f t="shared" si="236"/>
        <v>2036</v>
      </c>
      <c r="Q71" s="279">
        <f t="shared" si="236"/>
        <v>2037</v>
      </c>
      <c r="R71" s="279">
        <f t="shared" si="236"/>
        <v>2038</v>
      </c>
      <c r="S71" s="279">
        <f t="shared" si="236"/>
        <v>2039</v>
      </c>
      <c r="T71" s="279">
        <f t="shared" si="236"/>
        <v>2040</v>
      </c>
      <c r="U71" s="279">
        <f t="shared" si="236"/>
        <v>2041</v>
      </c>
      <c r="V71" s="279">
        <f t="shared" si="236"/>
        <v>2042</v>
      </c>
      <c r="W71" s="279">
        <f t="shared" si="236"/>
        <v>2043</v>
      </c>
      <c r="X71" s="279">
        <f t="shared" si="236"/>
        <v>2044</v>
      </c>
      <c r="Y71" s="279">
        <f t="shared" si="236"/>
        <v>2045</v>
      </c>
      <c r="Z71" s="279">
        <f t="shared" si="236"/>
        <v>2046</v>
      </c>
      <c r="AA71" s="279">
        <f t="shared" si="236"/>
        <v>2047</v>
      </c>
      <c r="AB71" s="279">
        <f t="shared" si="236"/>
        <v>2048</v>
      </c>
      <c r="AC71" s="279">
        <f t="shared" si="236"/>
        <v>2049</v>
      </c>
      <c r="AD71" s="279">
        <f t="shared" si="236"/>
        <v>2050</v>
      </c>
      <c r="AE71" s="279">
        <f t="shared" si="236"/>
        <v>2051</v>
      </c>
      <c r="AF71" s="279">
        <f t="shared" si="236"/>
        <v>2052</v>
      </c>
      <c r="AG71" s="279">
        <f t="shared" si="236"/>
        <v>2053</v>
      </c>
      <c r="AH71" s="279">
        <f t="shared" si="236"/>
        <v>2054</v>
      </c>
      <c r="AI71" s="279">
        <f t="shared" si="236"/>
        <v>2055</v>
      </c>
      <c r="AJ71" s="279">
        <f t="shared" si="236"/>
        <v>2056</v>
      </c>
      <c r="AK71" s="279">
        <f t="shared" si="236"/>
        <v>2057</v>
      </c>
      <c r="AL71" s="279">
        <f t="shared" si="236"/>
        <v>2058</v>
      </c>
      <c r="AM71" s="279">
        <f t="shared" si="236"/>
        <v>2059</v>
      </c>
      <c r="AN71" s="279">
        <f t="shared" si="236"/>
        <v>2060</v>
      </c>
      <c r="AO71" s="279">
        <f t="shared" si="236"/>
        <v>2061</v>
      </c>
      <c r="AP71" s="279">
        <f t="shared" si="236"/>
        <v>2062</v>
      </c>
      <c r="AQ71" s="279">
        <f t="shared" si="236"/>
        <v>2063</v>
      </c>
      <c r="AR71" s="279">
        <f t="shared" si="236"/>
        <v>2064</v>
      </c>
      <c r="AS71" s="279">
        <f t="shared" si="236"/>
        <v>2065</v>
      </c>
      <c r="AT71" s="279">
        <f t="shared" si="236"/>
        <v>2066</v>
      </c>
      <c r="AU71" s="279">
        <f t="shared" si="236"/>
        <v>2067</v>
      </c>
      <c r="AV71" s="279">
        <f t="shared" si="236"/>
        <v>2068</v>
      </c>
      <c r="AW71" s="279">
        <f t="shared" si="236"/>
        <v>2069</v>
      </c>
      <c r="AX71" s="279">
        <f t="shared" si="236"/>
        <v>2070</v>
      </c>
      <c r="AY71" s="279">
        <f t="shared" si="236"/>
        <v>2071</v>
      </c>
      <c r="AZ71" s="279">
        <f t="shared" si="236"/>
        <v>2072</v>
      </c>
      <c r="BA71" s="280">
        <f t="shared" si="236"/>
        <v>2073</v>
      </c>
    </row>
    <row r="72" spans="1:53">
      <c r="B72" s="485" t="s">
        <v>48</v>
      </c>
      <c r="C72" s="486"/>
      <c r="D72" s="300"/>
      <c r="E72" s="308"/>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c r="AJ72" s="309"/>
      <c r="AK72" s="309"/>
      <c r="AL72" s="309"/>
      <c r="AM72" s="309"/>
      <c r="AN72" s="309"/>
      <c r="AO72" s="309"/>
      <c r="AP72" s="309"/>
      <c r="AQ72" s="309"/>
      <c r="AR72" s="309"/>
      <c r="AS72" s="309"/>
      <c r="AT72" s="309"/>
      <c r="AU72" s="309"/>
      <c r="AV72" s="309"/>
      <c r="AW72" s="309"/>
      <c r="AX72" s="309"/>
      <c r="AY72" s="309"/>
      <c r="AZ72" s="309"/>
      <c r="BA72" s="310"/>
    </row>
    <row r="73" spans="1:53">
      <c r="B73" s="457" t="s">
        <v>49</v>
      </c>
      <c r="C73" s="458"/>
      <c r="D73" s="39">
        <f>Cockpit!N33</f>
        <v>0.03</v>
      </c>
      <c r="E73" s="39">
        <f t="shared" ref="E73" si="237">IF(E72&lt;&gt;"",E72,D73)</f>
        <v>0.03</v>
      </c>
      <c r="F73" s="39">
        <f t="shared" ref="F73" si="238">IF(F72&lt;&gt;"",F72,E73)</f>
        <v>0.03</v>
      </c>
      <c r="G73" s="39">
        <f t="shared" ref="G73" si="239">IF(G72&lt;&gt;"",G72,F73)</f>
        <v>0.03</v>
      </c>
      <c r="H73" s="39">
        <f t="shared" ref="H73" si="240">IF(H72&lt;&gt;"",H72,G73)</f>
        <v>0.03</v>
      </c>
      <c r="I73" s="39">
        <f t="shared" ref="I73" si="241">IF(I72&lt;&gt;"",I72,H73)</f>
        <v>0.03</v>
      </c>
      <c r="J73" s="39">
        <f t="shared" ref="J73" si="242">IF(J72&lt;&gt;"",J72,I73)</f>
        <v>0.03</v>
      </c>
      <c r="K73" s="39">
        <f t="shared" ref="K73" si="243">IF(K72&lt;&gt;"",K72,J73)</f>
        <v>0.03</v>
      </c>
      <c r="L73" s="39">
        <f t="shared" ref="L73" si="244">IF(L72&lt;&gt;"",L72,K73)</f>
        <v>0.03</v>
      </c>
      <c r="M73" s="39">
        <f t="shared" ref="M73" si="245">IF(M72&lt;&gt;"",M72,L73)</f>
        <v>0.03</v>
      </c>
      <c r="N73" s="39">
        <f t="shared" ref="N73" si="246">IF(N72&lt;&gt;"",N72,M73)</f>
        <v>0.03</v>
      </c>
      <c r="O73" s="39">
        <f t="shared" ref="O73" si="247">IF(O72&lt;&gt;"",O72,N73)</f>
        <v>0.03</v>
      </c>
      <c r="P73" s="39">
        <f t="shared" ref="P73" si="248">IF(P72&lt;&gt;"",P72,O73)</f>
        <v>0.03</v>
      </c>
      <c r="Q73" s="39">
        <f t="shared" ref="Q73" si="249">IF(Q72&lt;&gt;"",Q72,P73)</f>
        <v>0.03</v>
      </c>
      <c r="R73" s="39">
        <f t="shared" ref="R73" si="250">IF(R72&lt;&gt;"",R72,Q73)</f>
        <v>0.03</v>
      </c>
      <c r="S73" s="39">
        <f t="shared" ref="S73" si="251">IF(S72&lt;&gt;"",S72,R73)</f>
        <v>0.03</v>
      </c>
      <c r="T73" s="39">
        <f t="shared" ref="T73" si="252">IF(T72&lt;&gt;"",T72,S73)</f>
        <v>0.03</v>
      </c>
      <c r="U73" s="39">
        <f t="shared" ref="U73" si="253">IF(U72&lt;&gt;"",U72,T73)</f>
        <v>0.03</v>
      </c>
      <c r="V73" s="39">
        <f t="shared" ref="V73" si="254">IF(V72&lt;&gt;"",V72,U73)</f>
        <v>0.03</v>
      </c>
      <c r="W73" s="39">
        <f t="shared" ref="W73" si="255">IF(W72&lt;&gt;"",W72,V73)</f>
        <v>0.03</v>
      </c>
      <c r="X73" s="39">
        <f t="shared" ref="X73" si="256">IF(X72&lt;&gt;"",X72,W73)</f>
        <v>0.03</v>
      </c>
      <c r="Y73" s="39">
        <f t="shared" ref="Y73" si="257">IF(Y72&lt;&gt;"",Y72,X73)</f>
        <v>0.03</v>
      </c>
      <c r="Z73" s="39">
        <f t="shared" ref="Z73" si="258">IF(Z72&lt;&gt;"",Z72,Y73)</f>
        <v>0.03</v>
      </c>
      <c r="AA73" s="39">
        <f t="shared" ref="AA73" si="259">IF(AA72&lt;&gt;"",AA72,Z73)</f>
        <v>0.03</v>
      </c>
      <c r="AB73" s="39">
        <f t="shared" ref="AB73" si="260">IF(AB72&lt;&gt;"",AB72,AA73)</f>
        <v>0.03</v>
      </c>
      <c r="AC73" s="39">
        <f t="shared" ref="AC73" si="261">IF(AC72&lt;&gt;"",AC72,AB73)</f>
        <v>0.03</v>
      </c>
      <c r="AD73" s="39">
        <f t="shared" ref="AD73" si="262">IF(AD72&lt;&gt;"",AD72,AC73)</f>
        <v>0.03</v>
      </c>
      <c r="AE73" s="39">
        <f t="shared" ref="AE73" si="263">IF(AE72&lt;&gt;"",AE72,AD73)</f>
        <v>0.03</v>
      </c>
      <c r="AF73" s="39">
        <f t="shared" ref="AF73" si="264">IF(AF72&lt;&gt;"",AF72,AE73)</f>
        <v>0.03</v>
      </c>
      <c r="AG73" s="39">
        <f t="shared" ref="AG73" si="265">IF(AG72&lt;&gt;"",AG72,AF73)</f>
        <v>0.03</v>
      </c>
      <c r="AH73" s="39">
        <f t="shared" ref="AH73" si="266">IF(AH72&lt;&gt;"",AH72,AG73)</f>
        <v>0.03</v>
      </c>
      <c r="AI73" s="39">
        <f t="shared" ref="AI73" si="267">IF(AI72&lt;&gt;"",AI72,AH73)</f>
        <v>0.03</v>
      </c>
      <c r="AJ73" s="39">
        <f t="shared" ref="AJ73" si="268">IF(AJ72&lt;&gt;"",AJ72,AI73)</f>
        <v>0.03</v>
      </c>
      <c r="AK73" s="39">
        <f t="shared" ref="AK73" si="269">IF(AK72&lt;&gt;"",AK72,AJ73)</f>
        <v>0.03</v>
      </c>
      <c r="AL73" s="39">
        <f t="shared" ref="AL73" si="270">IF(AL72&lt;&gt;"",AL72,AK73)</f>
        <v>0.03</v>
      </c>
      <c r="AM73" s="39">
        <f t="shared" ref="AM73" si="271">IF(AM72&lt;&gt;"",AM72,AL73)</f>
        <v>0.03</v>
      </c>
      <c r="AN73" s="39">
        <f t="shared" ref="AN73" si="272">IF(AN72&lt;&gt;"",AN72,AM73)</f>
        <v>0.03</v>
      </c>
      <c r="AO73" s="39">
        <f t="shared" ref="AO73" si="273">IF(AO72&lt;&gt;"",AO72,AN73)</f>
        <v>0.03</v>
      </c>
      <c r="AP73" s="39">
        <f t="shared" ref="AP73" si="274">IF(AP72&lt;&gt;"",AP72,AO73)</f>
        <v>0.03</v>
      </c>
      <c r="AQ73" s="39">
        <f t="shared" ref="AQ73" si="275">IF(AQ72&lt;&gt;"",AQ72,AP73)</f>
        <v>0.03</v>
      </c>
      <c r="AR73" s="39">
        <f t="shared" ref="AR73" si="276">IF(AR72&lt;&gt;"",AR72,AQ73)</f>
        <v>0.03</v>
      </c>
      <c r="AS73" s="39">
        <f t="shared" ref="AS73" si="277">IF(AS72&lt;&gt;"",AS72,AR73)</f>
        <v>0.03</v>
      </c>
      <c r="AT73" s="39">
        <f t="shared" ref="AT73" si="278">IF(AT72&lt;&gt;"",AT72,AS73)</f>
        <v>0.03</v>
      </c>
      <c r="AU73" s="39">
        <f t="shared" ref="AU73" si="279">IF(AU72&lt;&gt;"",AU72,AT73)</f>
        <v>0.03</v>
      </c>
      <c r="AV73" s="39">
        <f t="shared" ref="AV73" si="280">IF(AV72&lt;&gt;"",AV72,AU73)</f>
        <v>0.03</v>
      </c>
      <c r="AW73" s="39">
        <f t="shared" ref="AW73" si="281">IF(AW72&lt;&gt;"",AW72,AV73)</f>
        <v>0.03</v>
      </c>
      <c r="AX73" s="39">
        <f t="shared" ref="AX73" si="282">IF(AX72&lt;&gt;"",AX72,AW73)</f>
        <v>0.03</v>
      </c>
      <c r="AY73" s="39">
        <f t="shared" ref="AY73" si="283">IF(AY72&lt;&gt;"",AY72,AX73)</f>
        <v>0.03</v>
      </c>
      <c r="AZ73" s="39">
        <f t="shared" ref="AZ73" si="284">IF(AZ72&lt;&gt;"",AZ72,AY73)</f>
        <v>0.03</v>
      </c>
      <c r="BA73" s="297">
        <f t="shared" ref="BA73" si="285">IF(BA72&lt;&gt;"",BA72,AZ73)</f>
        <v>0.03</v>
      </c>
    </row>
    <row r="74" spans="1:53" ht="8.25" customHeight="1">
      <c r="B74" s="301"/>
      <c r="I74" s="6"/>
      <c r="J74" s="6"/>
      <c r="K74" s="6"/>
      <c r="L74" s="6"/>
      <c r="BA74" s="302"/>
    </row>
    <row r="75" spans="1:53">
      <c r="B75" s="457" t="s">
        <v>42</v>
      </c>
      <c r="C75" s="458"/>
      <c r="D75" s="4">
        <f>Cockpit!N32</f>
        <v>0</v>
      </c>
      <c r="E75" s="4">
        <f>D84</f>
        <v>0</v>
      </c>
      <c r="F75" s="4">
        <f t="shared" ref="F75" si="286">E84</f>
        <v>0</v>
      </c>
      <c r="G75" s="4">
        <f t="shared" ref="G75" si="287">F84</f>
        <v>0</v>
      </c>
      <c r="H75" s="4">
        <f t="shared" ref="H75" si="288">G84</f>
        <v>0</v>
      </c>
      <c r="I75" s="4">
        <f t="shared" ref="I75" si="289">H84</f>
        <v>0</v>
      </c>
      <c r="J75" s="4">
        <f t="shared" ref="J75" si="290">I84</f>
        <v>0</v>
      </c>
      <c r="K75" s="4">
        <f t="shared" ref="K75" si="291">J84</f>
        <v>0</v>
      </c>
      <c r="L75" s="4">
        <f t="shared" ref="L75" si="292">K84</f>
        <v>0</v>
      </c>
      <c r="M75" s="4">
        <f t="shared" ref="M75" si="293">L84</f>
        <v>0</v>
      </c>
      <c r="N75" s="4">
        <f t="shared" ref="N75" si="294">M84</f>
        <v>0</v>
      </c>
      <c r="O75" s="4">
        <f t="shared" ref="O75" si="295">N84</f>
        <v>0</v>
      </c>
      <c r="P75" s="4">
        <f t="shared" ref="P75" si="296">O84</f>
        <v>0</v>
      </c>
      <c r="Q75" s="4">
        <f t="shared" ref="Q75" si="297">P84</f>
        <v>0</v>
      </c>
      <c r="R75" s="4">
        <f t="shared" ref="R75" si="298">Q84</f>
        <v>0</v>
      </c>
      <c r="S75" s="4">
        <f t="shared" ref="S75" si="299">R84</f>
        <v>0</v>
      </c>
      <c r="T75" s="4">
        <f t="shared" ref="T75" si="300">S84</f>
        <v>0</v>
      </c>
      <c r="U75" s="4">
        <f t="shared" ref="U75" si="301">T84</f>
        <v>0</v>
      </c>
      <c r="V75" s="4">
        <f t="shared" ref="V75" si="302">U84</f>
        <v>0</v>
      </c>
      <c r="W75" s="4">
        <f t="shared" ref="W75" si="303">V84</f>
        <v>0</v>
      </c>
      <c r="X75" s="4">
        <f t="shared" ref="X75" si="304">W84</f>
        <v>0</v>
      </c>
      <c r="Y75" s="4">
        <f t="shared" ref="Y75" si="305">X84</f>
        <v>0</v>
      </c>
      <c r="Z75" s="4">
        <f t="shared" ref="Z75" si="306">Y84</f>
        <v>0</v>
      </c>
      <c r="AA75" s="4">
        <f t="shared" ref="AA75" si="307">Z84</f>
        <v>0</v>
      </c>
      <c r="AB75" s="4">
        <f t="shared" ref="AB75" si="308">AA84</f>
        <v>0</v>
      </c>
      <c r="AC75" s="4">
        <f t="shared" ref="AC75" si="309">AB84</f>
        <v>0</v>
      </c>
      <c r="AD75" s="4">
        <f t="shared" ref="AD75" si="310">AC84</f>
        <v>0</v>
      </c>
      <c r="AE75" s="4">
        <f t="shared" ref="AE75" si="311">AD84</f>
        <v>0</v>
      </c>
      <c r="AF75" s="4">
        <f t="shared" ref="AF75" si="312">AE84</f>
        <v>0</v>
      </c>
      <c r="AG75" s="4">
        <f t="shared" ref="AG75" si="313">AF84</f>
        <v>0</v>
      </c>
      <c r="AH75" s="4">
        <f t="shared" ref="AH75" si="314">AG84</f>
        <v>0</v>
      </c>
      <c r="AI75" s="4">
        <f t="shared" ref="AI75" si="315">AH84</f>
        <v>0</v>
      </c>
      <c r="AJ75" s="4">
        <f t="shared" ref="AJ75" si="316">AI84</f>
        <v>0</v>
      </c>
      <c r="AK75" s="4">
        <f t="shared" ref="AK75" si="317">AJ84</f>
        <v>0</v>
      </c>
      <c r="AL75" s="4">
        <f t="shared" ref="AL75" si="318">AK84</f>
        <v>0</v>
      </c>
      <c r="AM75" s="4">
        <f t="shared" ref="AM75" si="319">AL84</f>
        <v>0</v>
      </c>
      <c r="AN75" s="4">
        <f t="shared" ref="AN75" si="320">AM84</f>
        <v>0</v>
      </c>
      <c r="AO75" s="4">
        <f t="shared" ref="AO75" si="321">AN84</f>
        <v>0</v>
      </c>
      <c r="AP75" s="4">
        <f t="shared" ref="AP75" si="322">AO84</f>
        <v>0</v>
      </c>
      <c r="AQ75" s="4">
        <f t="shared" ref="AQ75" si="323">AP84</f>
        <v>0</v>
      </c>
      <c r="AR75" s="4">
        <f t="shared" ref="AR75" si="324">AQ84</f>
        <v>0</v>
      </c>
      <c r="AS75" s="4">
        <f t="shared" ref="AS75" si="325">AR84</f>
        <v>0</v>
      </c>
      <c r="AT75" s="4">
        <f t="shared" ref="AT75" si="326">AS84</f>
        <v>0</v>
      </c>
      <c r="AU75" s="4">
        <f t="shared" ref="AU75" si="327">AT84</f>
        <v>0</v>
      </c>
      <c r="AV75" s="4">
        <f t="shared" ref="AV75" si="328">AU84</f>
        <v>0</v>
      </c>
      <c r="AW75" s="4">
        <f t="shared" ref="AW75" si="329">AV84</f>
        <v>0</v>
      </c>
      <c r="AX75" s="4">
        <f t="shared" ref="AX75" si="330">AW84</f>
        <v>0</v>
      </c>
      <c r="AY75" s="4">
        <f t="shared" ref="AY75" si="331">AX84</f>
        <v>0</v>
      </c>
      <c r="AZ75" s="4">
        <f t="shared" ref="AZ75" si="332">AY84</f>
        <v>0</v>
      </c>
      <c r="BA75" s="295">
        <f t="shared" ref="BA75" si="333">AZ84</f>
        <v>0</v>
      </c>
    </row>
    <row r="76" spans="1:53">
      <c r="B76" s="457" t="s">
        <v>43</v>
      </c>
      <c r="C76" s="458"/>
      <c r="D76" s="4">
        <f t="shared" ref="D76:BA76" si="334">D73*D75</f>
        <v>0</v>
      </c>
      <c r="E76" s="4">
        <f t="shared" si="334"/>
        <v>0</v>
      </c>
      <c r="F76" s="4">
        <f t="shared" si="334"/>
        <v>0</v>
      </c>
      <c r="G76" s="4">
        <f t="shared" si="334"/>
        <v>0</v>
      </c>
      <c r="H76" s="4">
        <f t="shared" si="334"/>
        <v>0</v>
      </c>
      <c r="I76" s="4">
        <f t="shared" si="334"/>
        <v>0</v>
      </c>
      <c r="J76" s="4">
        <f t="shared" si="334"/>
        <v>0</v>
      </c>
      <c r="K76" s="4">
        <f t="shared" si="334"/>
        <v>0</v>
      </c>
      <c r="L76" s="4">
        <f t="shared" si="334"/>
        <v>0</v>
      </c>
      <c r="M76" s="4">
        <f t="shared" si="334"/>
        <v>0</v>
      </c>
      <c r="N76" s="4">
        <f t="shared" si="334"/>
        <v>0</v>
      </c>
      <c r="O76" s="4">
        <f t="shared" si="334"/>
        <v>0</v>
      </c>
      <c r="P76" s="4">
        <f t="shared" si="334"/>
        <v>0</v>
      </c>
      <c r="Q76" s="4">
        <f t="shared" si="334"/>
        <v>0</v>
      </c>
      <c r="R76" s="4">
        <f t="shared" si="334"/>
        <v>0</v>
      </c>
      <c r="S76" s="4">
        <f t="shared" si="334"/>
        <v>0</v>
      </c>
      <c r="T76" s="4">
        <f t="shared" si="334"/>
        <v>0</v>
      </c>
      <c r="U76" s="4">
        <f t="shared" si="334"/>
        <v>0</v>
      </c>
      <c r="V76" s="4">
        <f t="shared" si="334"/>
        <v>0</v>
      </c>
      <c r="W76" s="4">
        <f t="shared" si="334"/>
        <v>0</v>
      </c>
      <c r="X76" s="4">
        <f t="shared" si="334"/>
        <v>0</v>
      </c>
      <c r="Y76" s="4">
        <f t="shared" si="334"/>
        <v>0</v>
      </c>
      <c r="Z76" s="4">
        <f t="shared" si="334"/>
        <v>0</v>
      </c>
      <c r="AA76" s="4">
        <f t="shared" si="334"/>
        <v>0</v>
      </c>
      <c r="AB76" s="4">
        <f t="shared" si="334"/>
        <v>0</v>
      </c>
      <c r="AC76" s="4">
        <f t="shared" si="334"/>
        <v>0</v>
      </c>
      <c r="AD76" s="4">
        <f t="shared" si="334"/>
        <v>0</v>
      </c>
      <c r="AE76" s="4">
        <f t="shared" si="334"/>
        <v>0</v>
      </c>
      <c r="AF76" s="4">
        <f t="shared" si="334"/>
        <v>0</v>
      </c>
      <c r="AG76" s="4">
        <f t="shared" si="334"/>
        <v>0</v>
      </c>
      <c r="AH76" s="4">
        <f t="shared" si="334"/>
        <v>0</v>
      </c>
      <c r="AI76" s="4">
        <f t="shared" si="334"/>
        <v>0</v>
      </c>
      <c r="AJ76" s="4">
        <f t="shared" si="334"/>
        <v>0</v>
      </c>
      <c r="AK76" s="4">
        <f t="shared" si="334"/>
        <v>0</v>
      </c>
      <c r="AL76" s="4">
        <f t="shared" si="334"/>
        <v>0</v>
      </c>
      <c r="AM76" s="4">
        <f t="shared" si="334"/>
        <v>0</v>
      </c>
      <c r="AN76" s="4">
        <f t="shared" si="334"/>
        <v>0</v>
      </c>
      <c r="AO76" s="4">
        <f t="shared" si="334"/>
        <v>0</v>
      </c>
      <c r="AP76" s="4">
        <f t="shared" si="334"/>
        <v>0</v>
      </c>
      <c r="AQ76" s="4">
        <f t="shared" si="334"/>
        <v>0</v>
      </c>
      <c r="AR76" s="4">
        <f t="shared" si="334"/>
        <v>0</v>
      </c>
      <c r="AS76" s="4">
        <f t="shared" si="334"/>
        <v>0</v>
      </c>
      <c r="AT76" s="4">
        <f t="shared" si="334"/>
        <v>0</v>
      </c>
      <c r="AU76" s="4">
        <f t="shared" si="334"/>
        <v>0</v>
      </c>
      <c r="AV76" s="4">
        <f t="shared" si="334"/>
        <v>0</v>
      </c>
      <c r="AW76" s="4">
        <f t="shared" si="334"/>
        <v>0</v>
      </c>
      <c r="AX76" s="4">
        <f t="shared" si="334"/>
        <v>0</v>
      </c>
      <c r="AY76" s="4">
        <f t="shared" si="334"/>
        <v>0</v>
      </c>
      <c r="AZ76" s="4">
        <f t="shared" si="334"/>
        <v>0</v>
      </c>
      <c r="BA76" s="295">
        <f t="shared" si="334"/>
        <v>0</v>
      </c>
    </row>
    <row r="77" spans="1:53" ht="9.75" customHeight="1">
      <c r="B77" s="301"/>
      <c r="I77" s="6"/>
      <c r="J77" s="6"/>
      <c r="K77" s="6"/>
      <c r="L77" s="6"/>
      <c r="BA77" s="302"/>
    </row>
    <row r="78" spans="1:53">
      <c r="B78" s="457" t="s">
        <v>54</v>
      </c>
      <c r="C78" s="458"/>
      <c r="D78" s="4"/>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2"/>
    </row>
    <row r="79" spans="1:53">
      <c r="B79" s="457" t="s">
        <v>55</v>
      </c>
      <c r="C79" s="458"/>
      <c r="D79" s="4">
        <f>Cockpit!$N$34*D75</f>
        <v>0</v>
      </c>
      <c r="E79" s="4">
        <f t="shared" ref="E79" si="335">MIN(D84,IF(E78&lt;&gt;"",E78,MAX(D82-E76,0)))</f>
        <v>0</v>
      </c>
      <c r="F79" s="4">
        <f t="shared" ref="F79" si="336">MIN(E84,IF(F78&lt;&gt;"",F78,MAX(E82-F76,0)))</f>
        <v>0</v>
      </c>
      <c r="G79" s="4">
        <f t="shared" ref="G79" si="337">MIN(F84,IF(G78&lt;&gt;"",G78,MAX(F82-G76,0)))</f>
        <v>0</v>
      </c>
      <c r="H79" s="4">
        <f t="shared" ref="H79" si="338">MIN(G84,IF(H78&lt;&gt;"",H78,MAX(G82-H76,0)))</f>
        <v>0</v>
      </c>
      <c r="I79" s="4">
        <f t="shared" ref="I79" si="339">MIN(H84,IF(I78&lt;&gt;"",I78,MAX(H82-I76,0)))</f>
        <v>0</v>
      </c>
      <c r="J79" s="4">
        <f t="shared" ref="J79" si="340">MIN(I84,IF(J78&lt;&gt;"",J78,MAX(I82-J76,0)))</f>
        <v>0</v>
      </c>
      <c r="K79" s="4">
        <f t="shared" ref="K79" si="341">MIN(J84,IF(K78&lt;&gt;"",K78,MAX(J82-K76,0)))</f>
        <v>0</v>
      </c>
      <c r="L79" s="4">
        <f t="shared" ref="L79" si="342">MIN(K84,IF(L78&lt;&gt;"",L78,MAX(K82-L76,0)))</f>
        <v>0</v>
      </c>
      <c r="M79" s="4">
        <f>MIN(L84,IF(M78&lt;&gt;"",M78,MAX(L82-M76,0)))</f>
        <v>0</v>
      </c>
      <c r="N79" s="4">
        <f t="shared" ref="N79" si="343">MIN(M84,IF(N78&lt;&gt;"",N78,MAX(M82-N76,0)))</f>
        <v>0</v>
      </c>
      <c r="O79" s="4">
        <f t="shared" ref="O79" si="344">MIN(N84,IF(O78&lt;&gt;"",O78,MAX(N82-O76,0)))</f>
        <v>0</v>
      </c>
      <c r="P79" s="4">
        <f t="shared" ref="P79" si="345">MIN(O84,IF(P78&lt;&gt;"",P78,MAX(O82-P76,0)))</f>
        <v>0</v>
      </c>
      <c r="Q79" s="4">
        <f t="shared" ref="Q79" si="346">MIN(P84,IF(Q78&lt;&gt;"",Q78,MAX(P82-Q76,0)))</f>
        <v>0</v>
      </c>
      <c r="R79" s="4">
        <f t="shared" ref="R79" si="347">MIN(Q84,IF(R78&lt;&gt;"",R78,MAX(Q82-R76,0)))</f>
        <v>0</v>
      </c>
      <c r="S79" s="4">
        <f t="shared" ref="S79" si="348">MIN(R84,IF(S78&lt;&gt;"",S78,MAX(R82-S76,0)))</f>
        <v>0</v>
      </c>
      <c r="T79" s="4">
        <f t="shared" ref="T79" si="349">MIN(S84,IF(T78&lt;&gt;"",T78,MAX(S82-T76,0)))</f>
        <v>0</v>
      </c>
      <c r="U79" s="4">
        <f t="shared" ref="U79" si="350">MIN(T84,IF(U78&lt;&gt;"",U78,MAX(T82-U76,0)))</f>
        <v>0</v>
      </c>
      <c r="V79" s="4">
        <f t="shared" ref="V79" si="351">MIN(U84,IF(V78&lt;&gt;"",V78,MAX(U82-V76,0)))</f>
        <v>0</v>
      </c>
      <c r="W79" s="4">
        <f t="shared" ref="W79" si="352">MIN(V84,IF(W78&lt;&gt;"",W78,MAX(V82-W76,0)))</f>
        <v>0</v>
      </c>
      <c r="X79" s="4">
        <f t="shared" ref="X79" si="353">MIN(W84,IF(X78&lt;&gt;"",X78,MAX(W82-X76,0)))</f>
        <v>0</v>
      </c>
      <c r="Y79" s="4">
        <f t="shared" ref="Y79" si="354">MIN(X84,IF(Y78&lt;&gt;"",Y78,MAX(X82-Y76,0)))</f>
        <v>0</v>
      </c>
      <c r="Z79" s="4">
        <f t="shared" ref="Z79" si="355">MIN(Y84,IF(Z78&lt;&gt;"",Z78,MAX(Y82-Z76,0)))</f>
        <v>0</v>
      </c>
      <c r="AA79" s="4">
        <f t="shared" ref="AA79" si="356">MIN(Z84,IF(AA78&lt;&gt;"",AA78,MAX(Z82-AA76,0)))</f>
        <v>0</v>
      </c>
      <c r="AB79" s="4">
        <f t="shared" ref="AB79" si="357">MIN(AA84,IF(AB78&lt;&gt;"",AB78,MAX(AA82-AB76,0)))</f>
        <v>0</v>
      </c>
      <c r="AC79" s="4">
        <f t="shared" ref="AC79" si="358">MIN(AB84,IF(AC78&lt;&gt;"",AC78,MAX(AB82-AC76,0)))</f>
        <v>0</v>
      </c>
      <c r="AD79" s="4">
        <f t="shared" ref="AD79" si="359">MIN(AC84,IF(AD78&lt;&gt;"",AD78,MAX(AC82-AD76,0)))</f>
        <v>0</v>
      </c>
      <c r="AE79" s="4">
        <f t="shared" ref="AE79" si="360">MIN(AD84,IF(AE78&lt;&gt;"",AE78,MAX(AD82-AE76,0)))</f>
        <v>0</v>
      </c>
      <c r="AF79" s="4">
        <f t="shared" ref="AF79" si="361">MIN(AE84,IF(AF78&lt;&gt;"",AF78,MAX(AE82-AF76,0)))</f>
        <v>0</v>
      </c>
      <c r="AG79" s="4">
        <f t="shared" ref="AG79" si="362">MIN(AF84,IF(AG78&lt;&gt;"",AG78,MAX(AF82-AG76,0)))</f>
        <v>0</v>
      </c>
      <c r="AH79" s="4">
        <f t="shared" ref="AH79" si="363">MIN(AG84,IF(AH78&lt;&gt;"",AH78,MAX(AG82-AH76,0)))</f>
        <v>0</v>
      </c>
      <c r="AI79" s="4">
        <f t="shared" ref="AI79" si="364">MIN(AH84,IF(AI78&lt;&gt;"",AI78,MAX(AH82-AI76,0)))</f>
        <v>0</v>
      </c>
      <c r="AJ79" s="4">
        <f t="shared" ref="AJ79" si="365">MIN(AI84,IF(AJ78&lt;&gt;"",AJ78,MAX(AI82-AJ76,0)))</f>
        <v>0</v>
      </c>
      <c r="AK79" s="4">
        <f t="shared" ref="AK79" si="366">MIN(AJ84,IF(AK78&lt;&gt;"",AK78,MAX(AJ82-AK76,0)))</f>
        <v>0</v>
      </c>
      <c r="AL79" s="4">
        <f t="shared" ref="AL79" si="367">MIN(AK84,IF(AL78&lt;&gt;"",AL78,MAX(AK82-AL76,0)))</f>
        <v>0</v>
      </c>
      <c r="AM79" s="4">
        <f t="shared" ref="AM79" si="368">MIN(AL84,IF(AM78&lt;&gt;"",AM78,MAX(AL82-AM76,0)))</f>
        <v>0</v>
      </c>
      <c r="AN79" s="4">
        <f t="shared" ref="AN79" si="369">MIN(AM84,IF(AN78&lt;&gt;"",AN78,MAX(AM82-AN76,0)))</f>
        <v>0</v>
      </c>
      <c r="AO79" s="4">
        <f t="shared" ref="AO79" si="370">MIN(AN84,IF(AO78&lt;&gt;"",AO78,MAX(AN82-AO76,0)))</f>
        <v>0</v>
      </c>
      <c r="AP79" s="4">
        <f t="shared" ref="AP79" si="371">MIN(AO84,IF(AP78&lt;&gt;"",AP78,MAX(AO82-AP76,0)))</f>
        <v>0</v>
      </c>
      <c r="AQ79" s="4">
        <f t="shared" ref="AQ79" si="372">MIN(AP84,IF(AQ78&lt;&gt;"",AQ78,MAX(AP82-AQ76,0)))</f>
        <v>0</v>
      </c>
      <c r="AR79" s="4">
        <f t="shared" ref="AR79" si="373">MIN(AQ84,IF(AR78&lt;&gt;"",AR78,MAX(AQ82-AR76,0)))</f>
        <v>0</v>
      </c>
      <c r="AS79" s="4">
        <f t="shared" ref="AS79" si="374">MIN(AR84,IF(AS78&lt;&gt;"",AS78,MAX(AR82-AS76,0)))</f>
        <v>0</v>
      </c>
      <c r="AT79" s="4">
        <f t="shared" ref="AT79" si="375">MIN(AS84,IF(AT78&lt;&gt;"",AT78,MAX(AS82-AT76,0)))</f>
        <v>0</v>
      </c>
      <c r="AU79" s="4">
        <f t="shared" ref="AU79" si="376">MIN(AT84,IF(AU78&lt;&gt;"",AU78,MAX(AT82-AU76,0)))</f>
        <v>0</v>
      </c>
      <c r="AV79" s="4">
        <f t="shared" ref="AV79" si="377">MIN(AU84,IF(AV78&lt;&gt;"",AV78,MAX(AU82-AV76,0)))</f>
        <v>0</v>
      </c>
      <c r="AW79" s="4">
        <f t="shared" ref="AW79" si="378">MIN(AV84,IF(AW78&lt;&gt;"",AW78,MAX(AV82-AW76,0)))</f>
        <v>0</v>
      </c>
      <c r="AX79" s="4">
        <f t="shared" ref="AX79" si="379">MIN(AW84,IF(AX78&lt;&gt;"",AX78,MAX(AW82-AX76,0)))</f>
        <v>0</v>
      </c>
      <c r="AY79" s="4">
        <f t="shared" ref="AY79" si="380">MIN(AX84,IF(AY78&lt;&gt;"",AY78,MAX(AX82-AY76,0)))</f>
        <v>0</v>
      </c>
      <c r="AZ79" s="4">
        <f t="shared" ref="AZ79" si="381">MIN(AY84,IF(AZ78&lt;&gt;"",AZ78,MAX(AY82-AZ76,0)))</f>
        <v>0</v>
      </c>
      <c r="BA79" s="295">
        <f>MIN(AZ84,IF(BA78&lt;&gt;"",BA78,MAX(AZ82-BA76,0)))</f>
        <v>0</v>
      </c>
    </row>
    <row r="80" spans="1:53">
      <c r="B80" s="500" t="s">
        <v>56</v>
      </c>
      <c r="C80" s="501"/>
      <c r="D80" s="39">
        <f>IF(D75&gt;0,D79/D75,)</f>
        <v>0</v>
      </c>
      <c r="E80" s="39">
        <f t="shared" ref="E80:BA80" si="382">IF(E75&gt;0,E79/E75,)</f>
        <v>0</v>
      </c>
      <c r="F80" s="39">
        <f t="shared" si="382"/>
        <v>0</v>
      </c>
      <c r="G80" s="39">
        <f t="shared" si="382"/>
        <v>0</v>
      </c>
      <c r="H80" s="39">
        <f t="shared" si="382"/>
        <v>0</v>
      </c>
      <c r="I80" s="39">
        <f t="shared" si="382"/>
        <v>0</v>
      </c>
      <c r="J80" s="39">
        <f t="shared" si="382"/>
        <v>0</v>
      </c>
      <c r="K80" s="39">
        <f t="shared" si="382"/>
        <v>0</v>
      </c>
      <c r="L80" s="39">
        <f t="shared" si="382"/>
        <v>0</v>
      </c>
      <c r="M80" s="39">
        <f t="shared" si="382"/>
        <v>0</v>
      </c>
      <c r="N80" s="39">
        <f t="shared" si="382"/>
        <v>0</v>
      </c>
      <c r="O80" s="39">
        <f t="shared" si="382"/>
        <v>0</v>
      </c>
      <c r="P80" s="39">
        <f t="shared" si="382"/>
        <v>0</v>
      </c>
      <c r="Q80" s="39">
        <f t="shared" si="382"/>
        <v>0</v>
      </c>
      <c r="R80" s="39">
        <f t="shared" si="382"/>
        <v>0</v>
      </c>
      <c r="S80" s="39">
        <f t="shared" si="382"/>
        <v>0</v>
      </c>
      <c r="T80" s="39">
        <f t="shared" si="382"/>
        <v>0</v>
      </c>
      <c r="U80" s="39">
        <f t="shared" si="382"/>
        <v>0</v>
      </c>
      <c r="V80" s="39">
        <f t="shared" si="382"/>
        <v>0</v>
      </c>
      <c r="W80" s="39">
        <f t="shared" si="382"/>
        <v>0</v>
      </c>
      <c r="X80" s="39">
        <f t="shared" si="382"/>
        <v>0</v>
      </c>
      <c r="Y80" s="39">
        <f t="shared" si="382"/>
        <v>0</v>
      </c>
      <c r="Z80" s="39">
        <f t="shared" si="382"/>
        <v>0</v>
      </c>
      <c r="AA80" s="39">
        <f t="shared" si="382"/>
        <v>0</v>
      </c>
      <c r="AB80" s="39">
        <f t="shared" si="382"/>
        <v>0</v>
      </c>
      <c r="AC80" s="39">
        <f t="shared" si="382"/>
        <v>0</v>
      </c>
      <c r="AD80" s="39">
        <f t="shared" si="382"/>
        <v>0</v>
      </c>
      <c r="AE80" s="39">
        <f t="shared" si="382"/>
        <v>0</v>
      </c>
      <c r="AF80" s="39">
        <f t="shared" si="382"/>
        <v>0</v>
      </c>
      <c r="AG80" s="39">
        <f t="shared" si="382"/>
        <v>0</v>
      </c>
      <c r="AH80" s="39">
        <f t="shared" si="382"/>
        <v>0</v>
      </c>
      <c r="AI80" s="39">
        <f t="shared" si="382"/>
        <v>0</v>
      </c>
      <c r="AJ80" s="39">
        <f t="shared" si="382"/>
        <v>0</v>
      </c>
      <c r="AK80" s="39">
        <f t="shared" si="382"/>
        <v>0</v>
      </c>
      <c r="AL80" s="39">
        <f t="shared" si="382"/>
        <v>0</v>
      </c>
      <c r="AM80" s="39">
        <f t="shared" si="382"/>
        <v>0</v>
      </c>
      <c r="AN80" s="39">
        <f t="shared" si="382"/>
        <v>0</v>
      </c>
      <c r="AO80" s="39">
        <f t="shared" si="382"/>
        <v>0</v>
      </c>
      <c r="AP80" s="39">
        <f t="shared" si="382"/>
        <v>0</v>
      </c>
      <c r="AQ80" s="39">
        <f t="shared" si="382"/>
        <v>0</v>
      </c>
      <c r="AR80" s="39">
        <f t="shared" si="382"/>
        <v>0</v>
      </c>
      <c r="AS80" s="39">
        <f t="shared" si="382"/>
        <v>0</v>
      </c>
      <c r="AT80" s="39">
        <f t="shared" si="382"/>
        <v>0</v>
      </c>
      <c r="AU80" s="39">
        <f t="shared" si="382"/>
        <v>0</v>
      </c>
      <c r="AV80" s="39">
        <f t="shared" si="382"/>
        <v>0</v>
      </c>
      <c r="AW80" s="39">
        <f t="shared" si="382"/>
        <v>0</v>
      </c>
      <c r="AX80" s="39">
        <f t="shared" si="382"/>
        <v>0</v>
      </c>
      <c r="AY80" s="39">
        <f t="shared" si="382"/>
        <v>0</v>
      </c>
      <c r="AZ80" s="39">
        <f t="shared" si="382"/>
        <v>0</v>
      </c>
      <c r="BA80" s="297">
        <f t="shared" si="382"/>
        <v>0</v>
      </c>
    </row>
    <row r="81" spans="1:53" ht="9.75" customHeight="1">
      <c r="B81" s="301"/>
      <c r="I81" s="6"/>
      <c r="J81" s="6"/>
      <c r="K81" s="6"/>
      <c r="L81" s="6"/>
      <c r="BA81" s="302"/>
    </row>
    <row r="82" spans="1:53">
      <c r="B82" s="457" t="s">
        <v>45</v>
      </c>
      <c r="C82" s="458"/>
      <c r="D82" s="4">
        <f t="shared" ref="D82:BA82" si="383">D76+D79</f>
        <v>0</v>
      </c>
      <c r="E82" s="4">
        <f t="shared" si="383"/>
        <v>0</v>
      </c>
      <c r="F82" s="4">
        <f t="shared" si="383"/>
        <v>0</v>
      </c>
      <c r="G82" s="4">
        <f t="shared" si="383"/>
        <v>0</v>
      </c>
      <c r="H82" s="4">
        <f t="shared" si="383"/>
        <v>0</v>
      </c>
      <c r="I82" s="4">
        <f t="shared" si="383"/>
        <v>0</v>
      </c>
      <c r="J82" s="4">
        <f t="shared" si="383"/>
        <v>0</v>
      </c>
      <c r="K82" s="4">
        <f t="shared" si="383"/>
        <v>0</v>
      </c>
      <c r="L82" s="4">
        <f t="shared" si="383"/>
        <v>0</v>
      </c>
      <c r="M82" s="4">
        <f t="shared" si="383"/>
        <v>0</v>
      </c>
      <c r="N82" s="4">
        <f t="shared" si="383"/>
        <v>0</v>
      </c>
      <c r="O82" s="4">
        <f t="shared" si="383"/>
        <v>0</v>
      </c>
      <c r="P82" s="4">
        <f t="shared" si="383"/>
        <v>0</v>
      </c>
      <c r="Q82" s="4">
        <f t="shared" si="383"/>
        <v>0</v>
      </c>
      <c r="R82" s="4">
        <f t="shared" si="383"/>
        <v>0</v>
      </c>
      <c r="S82" s="4">
        <f t="shared" si="383"/>
        <v>0</v>
      </c>
      <c r="T82" s="4">
        <f t="shared" si="383"/>
        <v>0</v>
      </c>
      <c r="U82" s="4">
        <f t="shared" si="383"/>
        <v>0</v>
      </c>
      <c r="V82" s="4">
        <f t="shared" si="383"/>
        <v>0</v>
      </c>
      <c r="W82" s="4">
        <f t="shared" si="383"/>
        <v>0</v>
      </c>
      <c r="X82" s="4">
        <f t="shared" si="383"/>
        <v>0</v>
      </c>
      <c r="Y82" s="4">
        <f t="shared" si="383"/>
        <v>0</v>
      </c>
      <c r="Z82" s="4">
        <f t="shared" si="383"/>
        <v>0</v>
      </c>
      <c r="AA82" s="4">
        <f t="shared" si="383"/>
        <v>0</v>
      </c>
      <c r="AB82" s="4">
        <f t="shared" si="383"/>
        <v>0</v>
      </c>
      <c r="AC82" s="4">
        <f t="shared" si="383"/>
        <v>0</v>
      </c>
      <c r="AD82" s="4">
        <f t="shared" si="383"/>
        <v>0</v>
      </c>
      <c r="AE82" s="4">
        <f t="shared" si="383"/>
        <v>0</v>
      </c>
      <c r="AF82" s="4">
        <f t="shared" si="383"/>
        <v>0</v>
      </c>
      <c r="AG82" s="4">
        <f t="shared" si="383"/>
        <v>0</v>
      </c>
      <c r="AH82" s="4">
        <f t="shared" si="383"/>
        <v>0</v>
      </c>
      <c r="AI82" s="4">
        <f t="shared" si="383"/>
        <v>0</v>
      </c>
      <c r="AJ82" s="4">
        <f t="shared" si="383"/>
        <v>0</v>
      </c>
      <c r="AK82" s="4">
        <f t="shared" si="383"/>
        <v>0</v>
      </c>
      <c r="AL82" s="4">
        <f t="shared" si="383"/>
        <v>0</v>
      </c>
      <c r="AM82" s="4">
        <f t="shared" si="383"/>
        <v>0</v>
      </c>
      <c r="AN82" s="4">
        <f t="shared" si="383"/>
        <v>0</v>
      </c>
      <c r="AO82" s="4">
        <f t="shared" si="383"/>
        <v>0</v>
      </c>
      <c r="AP82" s="4">
        <f t="shared" si="383"/>
        <v>0</v>
      </c>
      <c r="AQ82" s="4">
        <f t="shared" si="383"/>
        <v>0</v>
      </c>
      <c r="AR82" s="4">
        <f t="shared" si="383"/>
        <v>0</v>
      </c>
      <c r="AS82" s="4">
        <f t="shared" si="383"/>
        <v>0</v>
      </c>
      <c r="AT82" s="4">
        <f t="shared" si="383"/>
        <v>0</v>
      </c>
      <c r="AU82" s="4">
        <f t="shared" si="383"/>
        <v>0</v>
      </c>
      <c r="AV82" s="4">
        <f t="shared" si="383"/>
        <v>0</v>
      </c>
      <c r="AW82" s="4">
        <f t="shared" si="383"/>
        <v>0</v>
      </c>
      <c r="AX82" s="4">
        <f t="shared" si="383"/>
        <v>0</v>
      </c>
      <c r="AY82" s="4">
        <f t="shared" si="383"/>
        <v>0</v>
      </c>
      <c r="AZ82" s="4">
        <f t="shared" si="383"/>
        <v>0</v>
      </c>
      <c r="BA82" s="295">
        <f t="shared" si="383"/>
        <v>0</v>
      </c>
    </row>
    <row r="83" spans="1:53">
      <c r="B83" s="457" t="s">
        <v>64</v>
      </c>
      <c r="C83" s="458"/>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2"/>
    </row>
    <row r="84" spans="1:53">
      <c r="B84" s="457" t="s">
        <v>47</v>
      </c>
      <c r="C84" s="458"/>
      <c r="D84" s="4">
        <f t="shared" ref="D84:BA84" si="384">MAX(D75-D79-D83,0)</f>
        <v>0</v>
      </c>
      <c r="E84" s="4">
        <f t="shared" si="384"/>
        <v>0</v>
      </c>
      <c r="F84" s="4">
        <f t="shared" si="384"/>
        <v>0</v>
      </c>
      <c r="G84" s="4">
        <f t="shared" si="384"/>
        <v>0</v>
      </c>
      <c r="H84" s="4">
        <f t="shared" si="384"/>
        <v>0</v>
      </c>
      <c r="I84" s="4">
        <f t="shared" si="384"/>
        <v>0</v>
      </c>
      <c r="J84" s="4">
        <f t="shared" si="384"/>
        <v>0</v>
      </c>
      <c r="K84" s="4">
        <f t="shared" si="384"/>
        <v>0</v>
      </c>
      <c r="L84" s="4">
        <f t="shared" si="384"/>
        <v>0</v>
      </c>
      <c r="M84" s="4">
        <f t="shared" si="384"/>
        <v>0</v>
      </c>
      <c r="N84" s="4">
        <f t="shared" si="384"/>
        <v>0</v>
      </c>
      <c r="O84" s="4">
        <f t="shared" si="384"/>
        <v>0</v>
      </c>
      <c r="P84" s="4">
        <f t="shared" si="384"/>
        <v>0</v>
      </c>
      <c r="Q84" s="4">
        <f t="shared" si="384"/>
        <v>0</v>
      </c>
      <c r="R84" s="4">
        <f t="shared" si="384"/>
        <v>0</v>
      </c>
      <c r="S84" s="4">
        <f t="shared" si="384"/>
        <v>0</v>
      </c>
      <c r="T84" s="4">
        <f t="shared" si="384"/>
        <v>0</v>
      </c>
      <c r="U84" s="4">
        <f t="shared" si="384"/>
        <v>0</v>
      </c>
      <c r="V84" s="4">
        <f t="shared" si="384"/>
        <v>0</v>
      </c>
      <c r="W84" s="4">
        <f t="shared" si="384"/>
        <v>0</v>
      </c>
      <c r="X84" s="4">
        <f t="shared" si="384"/>
        <v>0</v>
      </c>
      <c r="Y84" s="4">
        <f t="shared" si="384"/>
        <v>0</v>
      </c>
      <c r="Z84" s="4">
        <f t="shared" si="384"/>
        <v>0</v>
      </c>
      <c r="AA84" s="4">
        <f t="shared" si="384"/>
        <v>0</v>
      </c>
      <c r="AB84" s="4">
        <f t="shared" si="384"/>
        <v>0</v>
      </c>
      <c r="AC84" s="4">
        <f t="shared" si="384"/>
        <v>0</v>
      </c>
      <c r="AD84" s="4">
        <f t="shared" si="384"/>
        <v>0</v>
      </c>
      <c r="AE84" s="4">
        <f t="shared" si="384"/>
        <v>0</v>
      </c>
      <c r="AF84" s="4">
        <f t="shared" si="384"/>
        <v>0</v>
      </c>
      <c r="AG84" s="4">
        <f t="shared" si="384"/>
        <v>0</v>
      </c>
      <c r="AH84" s="4">
        <f t="shared" si="384"/>
        <v>0</v>
      </c>
      <c r="AI84" s="4">
        <f t="shared" si="384"/>
        <v>0</v>
      </c>
      <c r="AJ84" s="4">
        <f t="shared" si="384"/>
        <v>0</v>
      </c>
      <c r="AK84" s="4">
        <f t="shared" si="384"/>
        <v>0</v>
      </c>
      <c r="AL84" s="4">
        <f t="shared" si="384"/>
        <v>0</v>
      </c>
      <c r="AM84" s="4">
        <f t="shared" si="384"/>
        <v>0</v>
      </c>
      <c r="AN84" s="4">
        <f t="shared" si="384"/>
        <v>0</v>
      </c>
      <c r="AO84" s="4">
        <f t="shared" si="384"/>
        <v>0</v>
      </c>
      <c r="AP84" s="4">
        <f t="shared" si="384"/>
        <v>0</v>
      </c>
      <c r="AQ84" s="4">
        <f t="shared" si="384"/>
        <v>0</v>
      </c>
      <c r="AR84" s="4">
        <f t="shared" si="384"/>
        <v>0</v>
      </c>
      <c r="AS84" s="4">
        <f t="shared" si="384"/>
        <v>0</v>
      </c>
      <c r="AT84" s="4">
        <f t="shared" si="384"/>
        <v>0</v>
      </c>
      <c r="AU84" s="4">
        <f t="shared" si="384"/>
        <v>0</v>
      </c>
      <c r="AV84" s="4">
        <f t="shared" si="384"/>
        <v>0</v>
      </c>
      <c r="AW84" s="4">
        <f t="shared" si="384"/>
        <v>0</v>
      </c>
      <c r="AX84" s="4">
        <f t="shared" si="384"/>
        <v>0</v>
      </c>
      <c r="AY84" s="4">
        <f t="shared" si="384"/>
        <v>0</v>
      </c>
      <c r="AZ84" s="4">
        <f t="shared" si="384"/>
        <v>0</v>
      </c>
      <c r="BA84" s="295">
        <f t="shared" si="384"/>
        <v>0</v>
      </c>
    </row>
    <row r="85" spans="1:53" ht="15.75" thickBot="1">
      <c r="B85" s="448" t="s">
        <v>24</v>
      </c>
      <c r="C85" s="449"/>
      <c r="D85" s="298">
        <f>D82/12</f>
        <v>0</v>
      </c>
      <c r="E85" s="298">
        <f t="shared" ref="E85:BA85" si="385">E82/12</f>
        <v>0</v>
      </c>
      <c r="F85" s="298">
        <f t="shared" si="385"/>
        <v>0</v>
      </c>
      <c r="G85" s="298">
        <f t="shared" si="385"/>
        <v>0</v>
      </c>
      <c r="H85" s="298">
        <f t="shared" si="385"/>
        <v>0</v>
      </c>
      <c r="I85" s="298">
        <f t="shared" si="385"/>
        <v>0</v>
      </c>
      <c r="J85" s="298">
        <f t="shared" si="385"/>
        <v>0</v>
      </c>
      <c r="K85" s="298">
        <f t="shared" si="385"/>
        <v>0</v>
      </c>
      <c r="L85" s="298">
        <f t="shared" si="385"/>
        <v>0</v>
      </c>
      <c r="M85" s="298">
        <f t="shared" si="385"/>
        <v>0</v>
      </c>
      <c r="N85" s="298">
        <f t="shared" si="385"/>
        <v>0</v>
      </c>
      <c r="O85" s="298">
        <f t="shared" si="385"/>
        <v>0</v>
      </c>
      <c r="P85" s="298">
        <f t="shared" si="385"/>
        <v>0</v>
      </c>
      <c r="Q85" s="298">
        <f t="shared" si="385"/>
        <v>0</v>
      </c>
      <c r="R85" s="298">
        <f t="shared" si="385"/>
        <v>0</v>
      </c>
      <c r="S85" s="298">
        <f t="shared" si="385"/>
        <v>0</v>
      </c>
      <c r="T85" s="298">
        <f t="shared" si="385"/>
        <v>0</v>
      </c>
      <c r="U85" s="298">
        <f t="shared" si="385"/>
        <v>0</v>
      </c>
      <c r="V85" s="298">
        <f t="shared" si="385"/>
        <v>0</v>
      </c>
      <c r="W85" s="298">
        <f t="shared" si="385"/>
        <v>0</v>
      </c>
      <c r="X85" s="298">
        <f t="shared" si="385"/>
        <v>0</v>
      </c>
      <c r="Y85" s="298">
        <f t="shared" si="385"/>
        <v>0</v>
      </c>
      <c r="Z85" s="298">
        <f t="shared" si="385"/>
        <v>0</v>
      </c>
      <c r="AA85" s="298">
        <f t="shared" si="385"/>
        <v>0</v>
      </c>
      <c r="AB85" s="298">
        <f t="shared" si="385"/>
        <v>0</v>
      </c>
      <c r="AC85" s="298">
        <f t="shared" si="385"/>
        <v>0</v>
      </c>
      <c r="AD85" s="298">
        <f t="shared" si="385"/>
        <v>0</v>
      </c>
      <c r="AE85" s="298">
        <f t="shared" si="385"/>
        <v>0</v>
      </c>
      <c r="AF85" s="298">
        <f t="shared" si="385"/>
        <v>0</v>
      </c>
      <c r="AG85" s="298">
        <f t="shared" si="385"/>
        <v>0</v>
      </c>
      <c r="AH85" s="298">
        <f t="shared" si="385"/>
        <v>0</v>
      </c>
      <c r="AI85" s="298">
        <f t="shared" si="385"/>
        <v>0</v>
      </c>
      <c r="AJ85" s="298">
        <f t="shared" si="385"/>
        <v>0</v>
      </c>
      <c r="AK85" s="298">
        <f t="shared" si="385"/>
        <v>0</v>
      </c>
      <c r="AL85" s="298">
        <f t="shared" si="385"/>
        <v>0</v>
      </c>
      <c r="AM85" s="298">
        <f t="shared" si="385"/>
        <v>0</v>
      </c>
      <c r="AN85" s="298">
        <f t="shared" si="385"/>
        <v>0</v>
      </c>
      <c r="AO85" s="298">
        <f t="shared" si="385"/>
        <v>0</v>
      </c>
      <c r="AP85" s="298">
        <f t="shared" si="385"/>
        <v>0</v>
      </c>
      <c r="AQ85" s="298">
        <f t="shared" si="385"/>
        <v>0</v>
      </c>
      <c r="AR85" s="298">
        <f t="shared" si="385"/>
        <v>0</v>
      </c>
      <c r="AS85" s="298">
        <f t="shared" si="385"/>
        <v>0</v>
      </c>
      <c r="AT85" s="298">
        <f t="shared" si="385"/>
        <v>0</v>
      </c>
      <c r="AU85" s="298">
        <f t="shared" si="385"/>
        <v>0</v>
      </c>
      <c r="AV85" s="298">
        <f t="shared" si="385"/>
        <v>0</v>
      </c>
      <c r="AW85" s="298">
        <f t="shared" si="385"/>
        <v>0</v>
      </c>
      <c r="AX85" s="298">
        <f t="shared" si="385"/>
        <v>0</v>
      </c>
      <c r="AY85" s="298">
        <f t="shared" si="385"/>
        <v>0</v>
      </c>
      <c r="AZ85" s="298">
        <f t="shared" si="385"/>
        <v>0</v>
      </c>
      <c r="BA85" s="299">
        <f t="shared" si="385"/>
        <v>0</v>
      </c>
    </row>
    <row r="86" spans="1:53" ht="15.75" thickBot="1">
      <c r="I86" s="6"/>
      <c r="J86" s="6"/>
      <c r="K86" s="6"/>
      <c r="L86" s="6"/>
    </row>
    <row r="87" spans="1:53" ht="18" thickBot="1">
      <c r="A87"/>
      <c r="B87" s="273" t="s">
        <v>246</v>
      </c>
      <c r="C87" s="40"/>
      <c r="I87" s="6"/>
      <c r="J87" s="6"/>
      <c r="K87" s="6"/>
      <c r="L87" s="6"/>
    </row>
    <row r="88" spans="1:53" ht="15.75" thickBot="1">
      <c r="B88" s="276" t="s">
        <v>46</v>
      </c>
      <c r="C88" s="277"/>
      <c r="D88" s="278">
        <f>D$7</f>
        <v>2024</v>
      </c>
      <c r="E88" s="279">
        <f t="shared" ref="E88:BA88" si="386">E$7</f>
        <v>2025</v>
      </c>
      <c r="F88" s="279">
        <f t="shared" si="386"/>
        <v>2026</v>
      </c>
      <c r="G88" s="279">
        <f t="shared" si="386"/>
        <v>2027</v>
      </c>
      <c r="H88" s="279">
        <f t="shared" si="386"/>
        <v>2028</v>
      </c>
      <c r="I88" s="279">
        <f t="shared" si="386"/>
        <v>2029</v>
      </c>
      <c r="J88" s="279">
        <f t="shared" si="386"/>
        <v>2030</v>
      </c>
      <c r="K88" s="279">
        <f t="shared" si="386"/>
        <v>2031</v>
      </c>
      <c r="L88" s="279">
        <f t="shared" si="386"/>
        <v>2032</v>
      </c>
      <c r="M88" s="279">
        <f t="shared" si="386"/>
        <v>2033</v>
      </c>
      <c r="N88" s="279">
        <f t="shared" si="386"/>
        <v>2034</v>
      </c>
      <c r="O88" s="279">
        <f t="shared" si="386"/>
        <v>2035</v>
      </c>
      <c r="P88" s="279">
        <f t="shared" si="386"/>
        <v>2036</v>
      </c>
      <c r="Q88" s="279">
        <f t="shared" si="386"/>
        <v>2037</v>
      </c>
      <c r="R88" s="279">
        <f t="shared" si="386"/>
        <v>2038</v>
      </c>
      <c r="S88" s="279">
        <f t="shared" si="386"/>
        <v>2039</v>
      </c>
      <c r="T88" s="279">
        <f t="shared" si="386"/>
        <v>2040</v>
      </c>
      <c r="U88" s="279">
        <f t="shared" si="386"/>
        <v>2041</v>
      </c>
      <c r="V88" s="279">
        <f t="shared" si="386"/>
        <v>2042</v>
      </c>
      <c r="W88" s="279">
        <f t="shared" si="386"/>
        <v>2043</v>
      </c>
      <c r="X88" s="279">
        <f t="shared" si="386"/>
        <v>2044</v>
      </c>
      <c r="Y88" s="279">
        <f t="shared" si="386"/>
        <v>2045</v>
      </c>
      <c r="Z88" s="279">
        <f t="shared" si="386"/>
        <v>2046</v>
      </c>
      <c r="AA88" s="279">
        <f t="shared" si="386"/>
        <v>2047</v>
      </c>
      <c r="AB88" s="279">
        <f t="shared" si="386"/>
        <v>2048</v>
      </c>
      <c r="AC88" s="279">
        <f t="shared" si="386"/>
        <v>2049</v>
      </c>
      <c r="AD88" s="279">
        <f t="shared" si="386"/>
        <v>2050</v>
      </c>
      <c r="AE88" s="279">
        <f t="shared" si="386"/>
        <v>2051</v>
      </c>
      <c r="AF88" s="279">
        <f t="shared" si="386"/>
        <v>2052</v>
      </c>
      <c r="AG88" s="279">
        <f t="shared" si="386"/>
        <v>2053</v>
      </c>
      <c r="AH88" s="279">
        <f t="shared" si="386"/>
        <v>2054</v>
      </c>
      <c r="AI88" s="279">
        <f t="shared" si="386"/>
        <v>2055</v>
      </c>
      <c r="AJ88" s="279">
        <f t="shared" si="386"/>
        <v>2056</v>
      </c>
      <c r="AK88" s="279">
        <f t="shared" si="386"/>
        <v>2057</v>
      </c>
      <c r="AL88" s="279">
        <f t="shared" si="386"/>
        <v>2058</v>
      </c>
      <c r="AM88" s="279">
        <f t="shared" si="386"/>
        <v>2059</v>
      </c>
      <c r="AN88" s="279">
        <f t="shared" si="386"/>
        <v>2060</v>
      </c>
      <c r="AO88" s="279">
        <f t="shared" si="386"/>
        <v>2061</v>
      </c>
      <c r="AP88" s="279">
        <f t="shared" si="386"/>
        <v>2062</v>
      </c>
      <c r="AQ88" s="279">
        <f t="shared" si="386"/>
        <v>2063</v>
      </c>
      <c r="AR88" s="279">
        <f t="shared" si="386"/>
        <v>2064</v>
      </c>
      <c r="AS88" s="279">
        <f t="shared" si="386"/>
        <v>2065</v>
      </c>
      <c r="AT88" s="279">
        <f t="shared" si="386"/>
        <v>2066</v>
      </c>
      <c r="AU88" s="279">
        <f t="shared" si="386"/>
        <v>2067</v>
      </c>
      <c r="AV88" s="279">
        <f t="shared" si="386"/>
        <v>2068</v>
      </c>
      <c r="AW88" s="279">
        <f t="shared" si="386"/>
        <v>2069</v>
      </c>
      <c r="AX88" s="279">
        <f t="shared" si="386"/>
        <v>2070</v>
      </c>
      <c r="AY88" s="279">
        <f t="shared" si="386"/>
        <v>2071</v>
      </c>
      <c r="AZ88" s="279">
        <f t="shared" si="386"/>
        <v>2072</v>
      </c>
      <c r="BA88" s="280">
        <f t="shared" si="386"/>
        <v>2073</v>
      </c>
    </row>
    <row r="89" spans="1:53">
      <c r="B89" s="485" t="s">
        <v>48</v>
      </c>
      <c r="C89" s="486"/>
      <c r="D89" s="300"/>
      <c r="E89" s="308"/>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09"/>
      <c r="AZ89" s="309"/>
      <c r="BA89" s="310"/>
    </row>
    <row r="90" spans="1:53">
      <c r="B90" s="457" t="s">
        <v>49</v>
      </c>
      <c r="C90" s="458"/>
      <c r="D90" s="39">
        <f>Cockpit!N40</f>
        <v>0</v>
      </c>
      <c r="E90" s="39">
        <f t="shared" ref="E90" si="387">IF(E89&lt;&gt;"",E89,D90)</f>
        <v>0</v>
      </c>
      <c r="F90" s="39">
        <f t="shared" ref="F90" si="388">IF(F89&lt;&gt;"",F89,E90)</f>
        <v>0</v>
      </c>
      <c r="G90" s="39">
        <f t="shared" ref="G90" si="389">IF(G89&lt;&gt;"",G89,F90)</f>
        <v>0</v>
      </c>
      <c r="H90" s="39">
        <f t="shared" ref="H90" si="390">IF(H89&lt;&gt;"",H89,G90)</f>
        <v>0</v>
      </c>
      <c r="I90" s="39">
        <f t="shared" ref="I90" si="391">IF(I89&lt;&gt;"",I89,H90)</f>
        <v>0</v>
      </c>
      <c r="J90" s="39">
        <f t="shared" ref="J90" si="392">IF(J89&lt;&gt;"",J89,I90)</f>
        <v>0</v>
      </c>
      <c r="K90" s="39">
        <f t="shared" ref="K90" si="393">IF(K89&lt;&gt;"",K89,J90)</f>
        <v>0</v>
      </c>
      <c r="L90" s="39">
        <f t="shared" ref="L90" si="394">IF(L89&lt;&gt;"",L89,K90)</f>
        <v>0</v>
      </c>
      <c r="M90" s="39">
        <f t="shared" ref="M90" si="395">IF(M89&lt;&gt;"",M89,L90)</f>
        <v>0</v>
      </c>
      <c r="N90" s="39">
        <f t="shared" ref="N90" si="396">IF(N89&lt;&gt;"",N89,M90)</f>
        <v>0</v>
      </c>
      <c r="O90" s="39">
        <f t="shared" ref="O90" si="397">IF(O89&lt;&gt;"",O89,N90)</f>
        <v>0</v>
      </c>
      <c r="P90" s="39">
        <f t="shared" ref="P90" si="398">IF(P89&lt;&gt;"",P89,O90)</f>
        <v>0</v>
      </c>
      <c r="Q90" s="39">
        <f t="shared" ref="Q90" si="399">IF(Q89&lt;&gt;"",Q89,P90)</f>
        <v>0</v>
      </c>
      <c r="R90" s="39">
        <f t="shared" ref="R90" si="400">IF(R89&lt;&gt;"",R89,Q90)</f>
        <v>0</v>
      </c>
      <c r="S90" s="39">
        <f t="shared" ref="S90" si="401">IF(S89&lt;&gt;"",S89,R90)</f>
        <v>0</v>
      </c>
      <c r="T90" s="39">
        <f t="shared" ref="T90" si="402">IF(T89&lt;&gt;"",T89,S90)</f>
        <v>0</v>
      </c>
      <c r="U90" s="39">
        <f t="shared" ref="U90" si="403">IF(U89&lt;&gt;"",U89,T90)</f>
        <v>0</v>
      </c>
      <c r="V90" s="39">
        <f t="shared" ref="V90" si="404">IF(V89&lt;&gt;"",V89,U90)</f>
        <v>0</v>
      </c>
      <c r="W90" s="39">
        <f t="shared" ref="W90" si="405">IF(W89&lt;&gt;"",W89,V90)</f>
        <v>0</v>
      </c>
      <c r="X90" s="39">
        <f t="shared" ref="X90" si="406">IF(X89&lt;&gt;"",X89,W90)</f>
        <v>0</v>
      </c>
      <c r="Y90" s="39">
        <f t="shared" ref="Y90" si="407">IF(Y89&lt;&gt;"",Y89,X90)</f>
        <v>0</v>
      </c>
      <c r="Z90" s="39">
        <f t="shared" ref="Z90" si="408">IF(Z89&lt;&gt;"",Z89,Y90)</f>
        <v>0</v>
      </c>
      <c r="AA90" s="39">
        <f t="shared" ref="AA90" si="409">IF(AA89&lt;&gt;"",AA89,Z90)</f>
        <v>0</v>
      </c>
      <c r="AB90" s="39">
        <f t="shared" ref="AB90" si="410">IF(AB89&lt;&gt;"",AB89,AA90)</f>
        <v>0</v>
      </c>
      <c r="AC90" s="39">
        <f t="shared" ref="AC90" si="411">IF(AC89&lt;&gt;"",AC89,AB90)</f>
        <v>0</v>
      </c>
      <c r="AD90" s="39">
        <f t="shared" ref="AD90" si="412">IF(AD89&lt;&gt;"",AD89,AC90)</f>
        <v>0</v>
      </c>
      <c r="AE90" s="39">
        <f t="shared" ref="AE90" si="413">IF(AE89&lt;&gt;"",AE89,AD90)</f>
        <v>0</v>
      </c>
      <c r="AF90" s="39">
        <f t="shared" ref="AF90" si="414">IF(AF89&lt;&gt;"",AF89,AE90)</f>
        <v>0</v>
      </c>
      <c r="AG90" s="39">
        <f t="shared" ref="AG90" si="415">IF(AG89&lt;&gt;"",AG89,AF90)</f>
        <v>0</v>
      </c>
      <c r="AH90" s="39">
        <f t="shared" ref="AH90" si="416">IF(AH89&lt;&gt;"",AH89,AG90)</f>
        <v>0</v>
      </c>
      <c r="AI90" s="39">
        <f t="shared" ref="AI90" si="417">IF(AI89&lt;&gt;"",AI89,AH90)</f>
        <v>0</v>
      </c>
      <c r="AJ90" s="39">
        <f t="shared" ref="AJ90" si="418">IF(AJ89&lt;&gt;"",AJ89,AI90)</f>
        <v>0</v>
      </c>
      <c r="AK90" s="39">
        <f t="shared" ref="AK90" si="419">IF(AK89&lt;&gt;"",AK89,AJ90)</f>
        <v>0</v>
      </c>
      <c r="AL90" s="39">
        <f t="shared" ref="AL90" si="420">IF(AL89&lt;&gt;"",AL89,AK90)</f>
        <v>0</v>
      </c>
      <c r="AM90" s="39">
        <f t="shared" ref="AM90" si="421">IF(AM89&lt;&gt;"",AM89,AL90)</f>
        <v>0</v>
      </c>
      <c r="AN90" s="39">
        <f t="shared" ref="AN90" si="422">IF(AN89&lt;&gt;"",AN89,AM90)</f>
        <v>0</v>
      </c>
      <c r="AO90" s="39">
        <f t="shared" ref="AO90" si="423">IF(AO89&lt;&gt;"",AO89,AN90)</f>
        <v>0</v>
      </c>
      <c r="AP90" s="39">
        <f t="shared" ref="AP90" si="424">IF(AP89&lt;&gt;"",AP89,AO90)</f>
        <v>0</v>
      </c>
      <c r="AQ90" s="39">
        <f t="shared" ref="AQ90" si="425">IF(AQ89&lt;&gt;"",AQ89,AP90)</f>
        <v>0</v>
      </c>
      <c r="AR90" s="39">
        <f t="shared" ref="AR90" si="426">IF(AR89&lt;&gt;"",AR89,AQ90)</f>
        <v>0</v>
      </c>
      <c r="AS90" s="39">
        <f t="shared" ref="AS90" si="427">IF(AS89&lt;&gt;"",AS89,AR90)</f>
        <v>0</v>
      </c>
      <c r="AT90" s="39">
        <f t="shared" ref="AT90" si="428">IF(AT89&lt;&gt;"",AT89,AS90)</f>
        <v>0</v>
      </c>
      <c r="AU90" s="39">
        <f t="shared" ref="AU90" si="429">IF(AU89&lt;&gt;"",AU89,AT90)</f>
        <v>0</v>
      </c>
      <c r="AV90" s="39">
        <f t="shared" ref="AV90" si="430">IF(AV89&lt;&gt;"",AV89,AU90)</f>
        <v>0</v>
      </c>
      <c r="AW90" s="39">
        <f t="shared" ref="AW90" si="431">IF(AW89&lt;&gt;"",AW89,AV90)</f>
        <v>0</v>
      </c>
      <c r="AX90" s="39">
        <f t="shared" ref="AX90" si="432">IF(AX89&lt;&gt;"",AX89,AW90)</f>
        <v>0</v>
      </c>
      <c r="AY90" s="39">
        <f t="shared" ref="AY90" si="433">IF(AY89&lt;&gt;"",AY89,AX90)</f>
        <v>0</v>
      </c>
      <c r="AZ90" s="39">
        <f t="shared" ref="AZ90" si="434">IF(AZ89&lt;&gt;"",AZ89,AY90)</f>
        <v>0</v>
      </c>
      <c r="BA90" s="297">
        <f t="shared" ref="BA90" si="435">IF(BA89&lt;&gt;"",BA89,AZ90)</f>
        <v>0</v>
      </c>
    </row>
    <row r="91" spans="1:53" ht="8.25" customHeight="1">
      <c r="B91" s="301"/>
      <c r="I91" s="6"/>
      <c r="J91" s="6"/>
      <c r="K91" s="6"/>
      <c r="L91" s="6"/>
      <c r="BA91" s="302"/>
    </row>
    <row r="92" spans="1:53">
      <c r="B92" s="457" t="s">
        <v>42</v>
      </c>
      <c r="C92" s="458"/>
      <c r="D92" s="4">
        <f>Cockpit!N39</f>
        <v>0</v>
      </c>
      <c r="E92" s="4">
        <f>D101</f>
        <v>0</v>
      </c>
      <c r="F92" s="4">
        <f t="shared" ref="F92" si="436">E101</f>
        <v>0</v>
      </c>
      <c r="G92" s="4">
        <f t="shared" ref="G92" si="437">F101</f>
        <v>0</v>
      </c>
      <c r="H92" s="4">
        <f t="shared" ref="H92" si="438">G101</f>
        <v>0</v>
      </c>
      <c r="I92" s="4">
        <f t="shared" ref="I92" si="439">H101</f>
        <v>0</v>
      </c>
      <c r="J92" s="4">
        <f t="shared" ref="J92" si="440">I101</f>
        <v>0</v>
      </c>
      <c r="K92" s="4">
        <f t="shared" ref="K92" si="441">J101</f>
        <v>0</v>
      </c>
      <c r="L92" s="4">
        <f t="shared" ref="L92" si="442">K101</f>
        <v>0</v>
      </c>
      <c r="M92" s="4">
        <f t="shared" ref="M92" si="443">L101</f>
        <v>0</v>
      </c>
      <c r="N92" s="4">
        <f t="shared" ref="N92" si="444">M101</f>
        <v>0</v>
      </c>
      <c r="O92" s="4">
        <f t="shared" ref="O92" si="445">N101</f>
        <v>0</v>
      </c>
      <c r="P92" s="4">
        <f t="shared" ref="P92" si="446">O101</f>
        <v>0</v>
      </c>
      <c r="Q92" s="4">
        <f t="shared" ref="Q92" si="447">P101</f>
        <v>0</v>
      </c>
      <c r="R92" s="4">
        <f t="shared" ref="R92" si="448">Q101</f>
        <v>0</v>
      </c>
      <c r="S92" s="4">
        <f t="shared" ref="S92" si="449">R101</f>
        <v>0</v>
      </c>
      <c r="T92" s="4">
        <f t="shared" ref="T92" si="450">S101</f>
        <v>0</v>
      </c>
      <c r="U92" s="4">
        <f t="shared" ref="U92" si="451">T101</f>
        <v>0</v>
      </c>
      <c r="V92" s="4">
        <f t="shared" ref="V92" si="452">U101</f>
        <v>0</v>
      </c>
      <c r="W92" s="4">
        <f t="shared" ref="W92" si="453">V101</f>
        <v>0</v>
      </c>
      <c r="X92" s="4">
        <f t="shared" ref="X92" si="454">W101</f>
        <v>0</v>
      </c>
      <c r="Y92" s="4">
        <f t="shared" ref="Y92" si="455">X101</f>
        <v>0</v>
      </c>
      <c r="Z92" s="4">
        <f t="shared" ref="Z92" si="456">Y101</f>
        <v>0</v>
      </c>
      <c r="AA92" s="4">
        <f t="shared" ref="AA92" si="457">Z101</f>
        <v>0</v>
      </c>
      <c r="AB92" s="4">
        <f t="shared" ref="AB92" si="458">AA101</f>
        <v>0</v>
      </c>
      <c r="AC92" s="4">
        <f t="shared" ref="AC92" si="459">AB101</f>
        <v>0</v>
      </c>
      <c r="AD92" s="4">
        <f t="shared" ref="AD92" si="460">AC101</f>
        <v>0</v>
      </c>
      <c r="AE92" s="4">
        <f t="shared" ref="AE92" si="461">AD101</f>
        <v>0</v>
      </c>
      <c r="AF92" s="4">
        <f t="shared" ref="AF92" si="462">AE101</f>
        <v>0</v>
      </c>
      <c r="AG92" s="4">
        <f t="shared" ref="AG92" si="463">AF101</f>
        <v>0</v>
      </c>
      <c r="AH92" s="4">
        <f t="shared" ref="AH92" si="464">AG101</f>
        <v>0</v>
      </c>
      <c r="AI92" s="4">
        <f t="shared" ref="AI92" si="465">AH101</f>
        <v>0</v>
      </c>
      <c r="AJ92" s="4">
        <f t="shared" ref="AJ92" si="466">AI101</f>
        <v>0</v>
      </c>
      <c r="AK92" s="4">
        <f t="shared" ref="AK92" si="467">AJ101</f>
        <v>0</v>
      </c>
      <c r="AL92" s="4">
        <f t="shared" ref="AL92" si="468">AK101</f>
        <v>0</v>
      </c>
      <c r="AM92" s="4">
        <f t="shared" ref="AM92" si="469">AL101</f>
        <v>0</v>
      </c>
      <c r="AN92" s="4">
        <f t="shared" ref="AN92" si="470">AM101</f>
        <v>0</v>
      </c>
      <c r="AO92" s="4">
        <f t="shared" ref="AO92" si="471">AN101</f>
        <v>0</v>
      </c>
      <c r="AP92" s="4">
        <f t="shared" ref="AP92" si="472">AO101</f>
        <v>0</v>
      </c>
      <c r="AQ92" s="4">
        <f t="shared" ref="AQ92" si="473">AP101</f>
        <v>0</v>
      </c>
      <c r="AR92" s="4">
        <f t="shared" ref="AR92" si="474">AQ101</f>
        <v>0</v>
      </c>
      <c r="AS92" s="4">
        <f t="shared" ref="AS92" si="475">AR101</f>
        <v>0</v>
      </c>
      <c r="AT92" s="4">
        <f t="shared" ref="AT92" si="476">AS101</f>
        <v>0</v>
      </c>
      <c r="AU92" s="4">
        <f t="shared" ref="AU92" si="477">AT101</f>
        <v>0</v>
      </c>
      <c r="AV92" s="4">
        <f t="shared" ref="AV92" si="478">AU101</f>
        <v>0</v>
      </c>
      <c r="AW92" s="4">
        <f t="shared" ref="AW92" si="479">AV101</f>
        <v>0</v>
      </c>
      <c r="AX92" s="4">
        <f t="shared" ref="AX92" si="480">AW101</f>
        <v>0</v>
      </c>
      <c r="AY92" s="4">
        <f t="shared" ref="AY92" si="481">AX101</f>
        <v>0</v>
      </c>
      <c r="AZ92" s="4">
        <f t="shared" ref="AZ92" si="482">AY101</f>
        <v>0</v>
      </c>
      <c r="BA92" s="295">
        <f t="shared" ref="BA92" si="483">AZ101</f>
        <v>0</v>
      </c>
    </row>
    <row r="93" spans="1:53">
      <c r="B93" s="457" t="s">
        <v>43</v>
      </c>
      <c r="C93" s="458"/>
      <c r="D93" s="4">
        <f t="shared" ref="D93:BA93" si="484">D90*D92</f>
        <v>0</v>
      </c>
      <c r="E93" s="4">
        <f t="shared" si="484"/>
        <v>0</v>
      </c>
      <c r="F93" s="4">
        <f t="shared" si="484"/>
        <v>0</v>
      </c>
      <c r="G93" s="4">
        <f t="shared" si="484"/>
        <v>0</v>
      </c>
      <c r="H93" s="4">
        <f t="shared" si="484"/>
        <v>0</v>
      </c>
      <c r="I93" s="4">
        <f t="shared" si="484"/>
        <v>0</v>
      </c>
      <c r="J93" s="4">
        <f t="shared" si="484"/>
        <v>0</v>
      </c>
      <c r="K93" s="4">
        <f t="shared" si="484"/>
        <v>0</v>
      </c>
      <c r="L93" s="4">
        <f t="shared" si="484"/>
        <v>0</v>
      </c>
      <c r="M93" s="4">
        <f t="shared" si="484"/>
        <v>0</v>
      </c>
      <c r="N93" s="4">
        <f t="shared" si="484"/>
        <v>0</v>
      </c>
      <c r="O93" s="4">
        <f t="shared" si="484"/>
        <v>0</v>
      </c>
      <c r="P93" s="4">
        <f t="shared" si="484"/>
        <v>0</v>
      </c>
      <c r="Q93" s="4">
        <f t="shared" si="484"/>
        <v>0</v>
      </c>
      <c r="R93" s="4">
        <f t="shared" si="484"/>
        <v>0</v>
      </c>
      <c r="S93" s="4">
        <f t="shared" si="484"/>
        <v>0</v>
      </c>
      <c r="T93" s="4">
        <f t="shared" si="484"/>
        <v>0</v>
      </c>
      <c r="U93" s="4">
        <f t="shared" si="484"/>
        <v>0</v>
      </c>
      <c r="V93" s="4">
        <f t="shared" si="484"/>
        <v>0</v>
      </c>
      <c r="W93" s="4">
        <f t="shared" si="484"/>
        <v>0</v>
      </c>
      <c r="X93" s="4">
        <f t="shared" si="484"/>
        <v>0</v>
      </c>
      <c r="Y93" s="4">
        <f t="shared" si="484"/>
        <v>0</v>
      </c>
      <c r="Z93" s="4">
        <f t="shared" si="484"/>
        <v>0</v>
      </c>
      <c r="AA93" s="4">
        <f t="shared" si="484"/>
        <v>0</v>
      </c>
      <c r="AB93" s="4">
        <f t="shared" si="484"/>
        <v>0</v>
      </c>
      <c r="AC93" s="4">
        <f t="shared" si="484"/>
        <v>0</v>
      </c>
      <c r="AD93" s="4">
        <f t="shared" si="484"/>
        <v>0</v>
      </c>
      <c r="AE93" s="4">
        <f t="shared" si="484"/>
        <v>0</v>
      </c>
      <c r="AF93" s="4">
        <f t="shared" si="484"/>
        <v>0</v>
      </c>
      <c r="AG93" s="4">
        <f t="shared" si="484"/>
        <v>0</v>
      </c>
      <c r="AH93" s="4">
        <f t="shared" si="484"/>
        <v>0</v>
      </c>
      <c r="AI93" s="4">
        <f t="shared" si="484"/>
        <v>0</v>
      </c>
      <c r="AJ93" s="4">
        <f t="shared" si="484"/>
        <v>0</v>
      </c>
      <c r="AK93" s="4">
        <f t="shared" si="484"/>
        <v>0</v>
      </c>
      <c r="AL93" s="4">
        <f t="shared" si="484"/>
        <v>0</v>
      </c>
      <c r="AM93" s="4">
        <f t="shared" si="484"/>
        <v>0</v>
      </c>
      <c r="AN93" s="4">
        <f t="shared" si="484"/>
        <v>0</v>
      </c>
      <c r="AO93" s="4">
        <f t="shared" si="484"/>
        <v>0</v>
      </c>
      <c r="AP93" s="4">
        <f t="shared" si="484"/>
        <v>0</v>
      </c>
      <c r="AQ93" s="4">
        <f t="shared" si="484"/>
        <v>0</v>
      </c>
      <c r="AR93" s="4">
        <f t="shared" si="484"/>
        <v>0</v>
      </c>
      <c r="AS93" s="4">
        <f t="shared" si="484"/>
        <v>0</v>
      </c>
      <c r="AT93" s="4">
        <f t="shared" si="484"/>
        <v>0</v>
      </c>
      <c r="AU93" s="4">
        <f t="shared" si="484"/>
        <v>0</v>
      </c>
      <c r="AV93" s="4">
        <f t="shared" si="484"/>
        <v>0</v>
      </c>
      <c r="AW93" s="4">
        <f t="shared" si="484"/>
        <v>0</v>
      </c>
      <c r="AX93" s="4">
        <f t="shared" si="484"/>
        <v>0</v>
      </c>
      <c r="AY93" s="4">
        <f t="shared" si="484"/>
        <v>0</v>
      </c>
      <c r="AZ93" s="4">
        <f t="shared" si="484"/>
        <v>0</v>
      </c>
      <c r="BA93" s="295">
        <f t="shared" si="484"/>
        <v>0</v>
      </c>
    </row>
    <row r="94" spans="1:53" ht="9.75" customHeight="1">
      <c r="B94" s="301"/>
      <c r="I94" s="6"/>
      <c r="J94" s="6"/>
      <c r="K94" s="6"/>
      <c r="L94" s="6"/>
      <c r="BA94" s="302"/>
    </row>
    <row r="95" spans="1:53">
      <c r="B95" s="457" t="s">
        <v>54</v>
      </c>
      <c r="C95" s="458"/>
      <c r="D95" s="4"/>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2"/>
    </row>
    <row r="96" spans="1:53">
      <c r="B96" s="457" t="s">
        <v>55</v>
      </c>
      <c r="C96" s="458"/>
      <c r="D96" s="4">
        <f>Cockpit!$N$41*D92</f>
        <v>0</v>
      </c>
      <c r="E96" s="4">
        <f t="shared" ref="E96" si="485">MIN(D101,IF(E95&lt;&gt;"",E95,MAX(D99-E93,0)))</f>
        <v>0</v>
      </c>
      <c r="F96" s="4">
        <f t="shared" ref="F96" si="486">MIN(E101,IF(F95&lt;&gt;"",F95,MAX(E99-F93,0)))</f>
        <v>0</v>
      </c>
      <c r="G96" s="4">
        <f t="shared" ref="G96" si="487">MIN(F101,IF(G95&lt;&gt;"",G95,MAX(F99-G93,0)))</f>
        <v>0</v>
      </c>
      <c r="H96" s="4">
        <f t="shared" ref="H96" si="488">MIN(G101,IF(H95&lt;&gt;"",H95,MAX(G99-H93,0)))</f>
        <v>0</v>
      </c>
      <c r="I96" s="4">
        <f t="shared" ref="I96" si="489">MIN(H101,IF(I95&lt;&gt;"",I95,MAX(H99-I93,0)))</f>
        <v>0</v>
      </c>
      <c r="J96" s="4">
        <f t="shared" ref="J96" si="490">MIN(I101,IF(J95&lt;&gt;"",J95,MAX(I99-J93,0)))</f>
        <v>0</v>
      </c>
      <c r="K96" s="4">
        <f t="shared" ref="K96" si="491">MIN(J101,IF(K95&lt;&gt;"",K95,MAX(J99-K93,0)))</f>
        <v>0</v>
      </c>
      <c r="L96" s="4">
        <f t="shared" ref="L96" si="492">MIN(K101,IF(L95&lt;&gt;"",L95,MAX(K99-L93,0)))</f>
        <v>0</v>
      </c>
      <c r="M96" s="4">
        <f>MIN(L101,IF(M95&lt;&gt;"",M95,MAX(L99-M93,0)))</f>
        <v>0</v>
      </c>
      <c r="N96" s="4">
        <f t="shared" ref="N96" si="493">MIN(M101,IF(N95&lt;&gt;"",N95,MAX(M99-N93,0)))</f>
        <v>0</v>
      </c>
      <c r="O96" s="4">
        <f t="shared" ref="O96" si="494">MIN(N101,IF(O95&lt;&gt;"",O95,MAX(N99-O93,0)))</f>
        <v>0</v>
      </c>
      <c r="P96" s="4">
        <f t="shared" ref="P96" si="495">MIN(O101,IF(P95&lt;&gt;"",P95,MAX(O99-P93,0)))</f>
        <v>0</v>
      </c>
      <c r="Q96" s="4">
        <f t="shared" ref="Q96" si="496">MIN(P101,IF(Q95&lt;&gt;"",Q95,MAX(P99-Q93,0)))</f>
        <v>0</v>
      </c>
      <c r="R96" s="4">
        <f t="shared" ref="R96" si="497">MIN(Q101,IF(R95&lt;&gt;"",R95,MAX(Q99-R93,0)))</f>
        <v>0</v>
      </c>
      <c r="S96" s="4">
        <f t="shared" ref="S96" si="498">MIN(R101,IF(S95&lt;&gt;"",S95,MAX(R99-S93,0)))</f>
        <v>0</v>
      </c>
      <c r="T96" s="4">
        <f t="shared" ref="T96" si="499">MIN(S101,IF(T95&lt;&gt;"",T95,MAX(S99-T93,0)))</f>
        <v>0</v>
      </c>
      <c r="U96" s="4">
        <f t="shared" ref="U96" si="500">MIN(T101,IF(U95&lt;&gt;"",U95,MAX(T99-U93,0)))</f>
        <v>0</v>
      </c>
      <c r="V96" s="4">
        <f t="shared" ref="V96" si="501">MIN(U101,IF(V95&lt;&gt;"",V95,MAX(U99-V93,0)))</f>
        <v>0</v>
      </c>
      <c r="W96" s="4">
        <f t="shared" ref="W96" si="502">MIN(V101,IF(W95&lt;&gt;"",W95,MAX(V99-W93,0)))</f>
        <v>0</v>
      </c>
      <c r="X96" s="4">
        <f t="shared" ref="X96" si="503">MIN(W101,IF(X95&lt;&gt;"",X95,MAX(W99-X93,0)))</f>
        <v>0</v>
      </c>
      <c r="Y96" s="4">
        <f t="shared" ref="Y96" si="504">MIN(X101,IF(Y95&lt;&gt;"",Y95,MAX(X99-Y93,0)))</f>
        <v>0</v>
      </c>
      <c r="Z96" s="4">
        <f t="shared" ref="Z96" si="505">MIN(Y101,IF(Z95&lt;&gt;"",Z95,MAX(Y99-Z93,0)))</f>
        <v>0</v>
      </c>
      <c r="AA96" s="4">
        <f t="shared" ref="AA96" si="506">MIN(Z101,IF(AA95&lt;&gt;"",AA95,MAX(Z99-AA93,0)))</f>
        <v>0</v>
      </c>
      <c r="AB96" s="4">
        <f t="shared" ref="AB96" si="507">MIN(AA101,IF(AB95&lt;&gt;"",AB95,MAX(AA99-AB93,0)))</f>
        <v>0</v>
      </c>
      <c r="AC96" s="4">
        <f t="shared" ref="AC96" si="508">MIN(AB101,IF(AC95&lt;&gt;"",AC95,MAX(AB99-AC93,0)))</f>
        <v>0</v>
      </c>
      <c r="AD96" s="4">
        <f t="shared" ref="AD96" si="509">MIN(AC101,IF(AD95&lt;&gt;"",AD95,MAX(AC99-AD93,0)))</f>
        <v>0</v>
      </c>
      <c r="AE96" s="4">
        <f t="shared" ref="AE96" si="510">MIN(AD101,IF(AE95&lt;&gt;"",AE95,MAX(AD99-AE93,0)))</f>
        <v>0</v>
      </c>
      <c r="AF96" s="4">
        <f t="shared" ref="AF96" si="511">MIN(AE101,IF(AF95&lt;&gt;"",AF95,MAX(AE99-AF93,0)))</f>
        <v>0</v>
      </c>
      <c r="AG96" s="4">
        <f t="shared" ref="AG96" si="512">MIN(AF101,IF(AG95&lt;&gt;"",AG95,MAX(AF99-AG93,0)))</f>
        <v>0</v>
      </c>
      <c r="AH96" s="4">
        <f t="shared" ref="AH96" si="513">MIN(AG101,IF(AH95&lt;&gt;"",AH95,MAX(AG99-AH93,0)))</f>
        <v>0</v>
      </c>
      <c r="AI96" s="4">
        <f t="shared" ref="AI96" si="514">MIN(AH101,IF(AI95&lt;&gt;"",AI95,MAX(AH99-AI93,0)))</f>
        <v>0</v>
      </c>
      <c r="AJ96" s="4">
        <f t="shared" ref="AJ96" si="515">MIN(AI101,IF(AJ95&lt;&gt;"",AJ95,MAX(AI99-AJ93,0)))</f>
        <v>0</v>
      </c>
      <c r="AK96" s="4">
        <f t="shared" ref="AK96" si="516">MIN(AJ101,IF(AK95&lt;&gt;"",AK95,MAX(AJ99-AK93,0)))</f>
        <v>0</v>
      </c>
      <c r="AL96" s="4">
        <f t="shared" ref="AL96" si="517">MIN(AK101,IF(AL95&lt;&gt;"",AL95,MAX(AK99-AL93,0)))</f>
        <v>0</v>
      </c>
      <c r="AM96" s="4">
        <f t="shared" ref="AM96" si="518">MIN(AL101,IF(AM95&lt;&gt;"",AM95,MAX(AL99-AM93,0)))</f>
        <v>0</v>
      </c>
      <c r="AN96" s="4">
        <f t="shared" ref="AN96" si="519">MIN(AM101,IF(AN95&lt;&gt;"",AN95,MAX(AM99-AN93,0)))</f>
        <v>0</v>
      </c>
      <c r="AO96" s="4">
        <f t="shared" ref="AO96" si="520">MIN(AN101,IF(AO95&lt;&gt;"",AO95,MAX(AN99-AO93,0)))</f>
        <v>0</v>
      </c>
      <c r="AP96" s="4">
        <f t="shared" ref="AP96" si="521">MIN(AO101,IF(AP95&lt;&gt;"",AP95,MAX(AO99-AP93,0)))</f>
        <v>0</v>
      </c>
      <c r="AQ96" s="4">
        <f t="shared" ref="AQ96" si="522">MIN(AP101,IF(AQ95&lt;&gt;"",AQ95,MAX(AP99-AQ93,0)))</f>
        <v>0</v>
      </c>
      <c r="AR96" s="4">
        <f t="shared" ref="AR96" si="523">MIN(AQ101,IF(AR95&lt;&gt;"",AR95,MAX(AQ99-AR93,0)))</f>
        <v>0</v>
      </c>
      <c r="AS96" s="4">
        <f t="shared" ref="AS96" si="524">MIN(AR101,IF(AS95&lt;&gt;"",AS95,MAX(AR99-AS93,0)))</f>
        <v>0</v>
      </c>
      <c r="AT96" s="4">
        <f t="shared" ref="AT96" si="525">MIN(AS101,IF(AT95&lt;&gt;"",AT95,MAX(AS99-AT93,0)))</f>
        <v>0</v>
      </c>
      <c r="AU96" s="4">
        <f t="shared" ref="AU96" si="526">MIN(AT101,IF(AU95&lt;&gt;"",AU95,MAX(AT99-AU93,0)))</f>
        <v>0</v>
      </c>
      <c r="AV96" s="4">
        <f t="shared" ref="AV96" si="527">MIN(AU101,IF(AV95&lt;&gt;"",AV95,MAX(AU99-AV93,0)))</f>
        <v>0</v>
      </c>
      <c r="AW96" s="4">
        <f t="shared" ref="AW96" si="528">MIN(AV101,IF(AW95&lt;&gt;"",AW95,MAX(AV99-AW93,0)))</f>
        <v>0</v>
      </c>
      <c r="AX96" s="4">
        <f t="shared" ref="AX96" si="529">MIN(AW101,IF(AX95&lt;&gt;"",AX95,MAX(AW99-AX93,0)))</f>
        <v>0</v>
      </c>
      <c r="AY96" s="4">
        <f t="shared" ref="AY96" si="530">MIN(AX101,IF(AY95&lt;&gt;"",AY95,MAX(AX99-AY93,0)))</f>
        <v>0</v>
      </c>
      <c r="AZ96" s="4">
        <f t="shared" ref="AZ96" si="531">MIN(AY101,IF(AZ95&lt;&gt;"",AZ95,MAX(AY99-AZ93,0)))</f>
        <v>0</v>
      </c>
      <c r="BA96" s="295">
        <f>MIN(AZ101,IF(BA95&lt;&gt;"",BA95,MAX(AZ99-BA93,0)))</f>
        <v>0</v>
      </c>
    </row>
    <row r="97" spans="1:53">
      <c r="B97" s="500" t="s">
        <v>56</v>
      </c>
      <c r="C97" s="501"/>
      <c r="D97" s="39">
        <f>IF(D92&gt;0,D96/D92,)</f>
        <v>0</v>
      </c>
      <c r="E97" s="39">
        <f t="shared" ref="E97:BA97" si="532">IF(E92&gt;0,E96/E92,)</f>
        <v>0</v>
      </c>
      <c r="F97" s="39">
        <f t="shared" si="532"/>
        <v>0</v>
      </c>
      <c r="G97" s="39">
        <f t="shared" si="532"/>
        <v>0</v>
      </c>
      <c r="H97" s="39">
        <f t="shared" si="532"/>
        <v>0</v>
      </c>
      <c r="I97" s="39">
        <f t="shared" si="532"/>
        <v>0</v>
      </c>
      <c r="J97" s="39">
        <f t="shared" si="532"/>
        <v>0</v>
      </c>
      <c r="K97" s="39">
        <f t="shared" si="532"/>
        <v>0</v>
      </c>
      <c r="L97" s="39">
        <f t="shared" si="532"/>
        <v>0</v>
      </c>
      <c r="M97" s="39">
        <f t="shared" si="532"/>
        <v>0</v>
      </c>
      <c r="N97" s="39">
        <f t="shared" si="532"/>
        <v>0</v>
      </c>
      <c r="O97" s="39">
        <f t="shared" si="532"/>
        <v>0</v>
      </c>
      <c r="P97" s="39">
        <f t="shared" si="532"/>
        <v>0</v>
      </c>
      <c r="Q97" s="39">
        <f t="shared" si="532"/>
        <v>0</v>
      </c>
      <c r="R97" s="39">
        <f t="shared" si="532"/>
        <v>0</v>
      </c>
      <c r="S97" s="39">
        <f t="shared" si="532"/>
        <v>0</v>
      </c>
      <c r="T97" s="39">
        <f t="shared" si="532"/>
        <v>0</v>
      </c>
      <c r="U97" s="39">
        <f t="shared" si="532"/>
        <v>0</v>
      </c>
      <c r="V97" s="39">
        <f t="shared" si="532"/>
        <v>0</v>
      </c>
      <c r="W97" s="39">
        <f t="shared" si="532"/>
        <v>0</v>
      </c>
      <c r="X97" s="39">
        <f t="shared" si="532"/>
        <v>0</v>
      </c>
      <c r="Y97" s="39">
        <f t="shared" si="532"/>
        <v>0</v>
      </c>
      <c r="Z97" s="39">
        <f t="shared" si="532"/>
        <v>0</v>
      </c>
      <c r="AA97" s="39">
        <f t="shared" si="532"/>
        <v>0</v>
      </c>
      <c r="AB97" s="39">
        <f t="shared" si="532"/>
        <v>0</v>
      </c>
      <c r="AC97" s="39">
        <f t="shared" si="532"/>
        <v>0</v>
      </c>
      <c r="AD97" s="39">
        <f t="shared" si="532"/>
        <v>0</v>
      </c>
      <c r="AE97" s="39">
        <f t="shared" si="532"/>
        <v>0</v>
      </c>
      <c r="AF97" s="39">
        <f t="shared" si="532"/>
        <v>0</v>
      </c>
      <c r="AG97" s="39">
        <f t="shared" si="532"/>
        <v>0</v>
      </c>
      <c r="AH97" s="39">
        <f t="shared" si="532"/>
        <v>0</v>
      </c>
      <c r="AI97" s="39">
        <f t="shared" si="532"/>
        <v>0</v>
      </c>
      <c r="AJ97" s="39">
        <f t="shared" si="532"/>
        <v>0</v>
      </c>
      <c r="AK97" s="39">
        <f t="shared" si="532"/>
        <v>0</v>
      </c>
      <c r="AL97" s="39">
        <f t="shared" si="532"/>
        <v>0</v>
      </c>
      <c r="AM97" s="39">
        <f t="shared" si="532"/>
        <v>0</v>
      </c>
      <c r="AN97" s="39">
        <f t="shared" si="532"/>
        <v>0</v>
      </c>
      <c r="AO97" s="39">
        <f t="shared" si="532"/>
        <v>0</v>
      </c>
      <c r="AP97" s="39">
        <f t="shared" si="532"/>
        <v>0</v>
      </c>
      <c r="AQ97" s="39">
        <f t="shared" si="532"/>
        <v>0</v>
      </c>
      <c r="AR97" s="39">
        <f t="shared" si="532"/>
        <v>0</v>
      </c>
      <c r="AS97" s="39">
        <f t="shared" si="532"/>
        <v>0</v>
      </c>
      <c r="AT97" s="39">
        <f t="shared" si="532"/>
        <v>0</v>
      </c>
      <c r="AU97" s="39">
        <f t="shared" si="532"/>
        <v>0</v>
      </c>
      <c r="AV97" s="39">
        <f t="shared" si="532"/>
        <v>0</v>
      </c>
      <c r="AW97" s="39">
        <f t="shared" si="532"/>
        <v>0</v>
      </c>
      <c r="AX97" s="39">
        <f t="shared" si="532"/>
        <v>0</v>
      </c>
      <c r="AY97" s="39">
        <f t="shared" si="532"/>
        <v>0</v>
      </c>
      <c r="AZ97" s="39">
        <f t="shared" si="532"/>
        <v>0</v>
      </c>
      <c r="BA97" s="297">
        <f t="shared" si="532"/>
        <v>0</v>
      </c>
    </row>
    <row r="98" spans="1:53" ht="9.75" customHeight="1">
      <c r="B98" s="301"/>
      <c r="I98" s="6"/>
      <c r="J98" s="6"/>
      <c r="K98" s="6"/>
      <c r="L98" s="6"/>
      <c r="BA98" s="302"/>
    </row>
    <row r="99" spans="1:53">
      <c r="B99" s="457" t="s">
        <v>45</v>
      </c>
      <c r="C99" s="458"/>
      <c r="D99" s="4">
        <f t="shared" ref="D99:BA99" si="533">D93+D96</f>
        <v>0</v>
      </c>
      <c r="E99" s="4">
        <f t="shared" si="533"/>
        <v>0</v>
      </c>
      <c r="F99" s="4">
        <f t="shared" si="533"/>
        <v>0</v>
      </c>
      <c r="G99" s="4">
        <f t="shared" si="533"/>
        <v>0</v>
      </c>
      <c r="H99" s="4">
        <f t="shared" si="533"/>
        <v>0</v>
      </c>
      <c r="I99" s="4">
        <f t="shared" si="533"/>
        <v>0</v>
      </c>
      <c r="J99" s="4">
        <f t="shared" si="533"/>
        <v>0</v>
      </c>
      <c r="K99" s="4">
        <f t="shared" si="533"/>
        <v>0</v>
      </c>
      <c r="L99" s="4">
        <f t="shared" si="533"/>
        <v>0</v>
      </c>
      <c r="M99" s="4">
        <f t="shared" si="533"/>
        <v>0</v>
      </c>
      <c r="N99" s="4">
        <f t="shared" si="533"/>
        <v>0</v>
      </c>
      <c r="O99" s="4">
        <f t="shared" si="533"/>
        <v>0</v>
      </c>
      <c r="P99" s="4">
        <f t="shared" si="533"/>
        <v>0</v>
      </c>
      <c r="Q99" s="4">
        <f t="shared" si="533"/>
        <v>0</v>
      </c>
      <c r="R99" s="4">
        <f t="shared" si="533"/>
        <v>0</v>
      </c>
      <c r="S99" s="4">
        <f t="shared" si="533"/>
        <v>0</v>
      </c>
      <c r="T99" s="4">
        <f t="shared" si="533"/>
        <v>0</v>
      </c>
      <c r="U99" s="4">
        <f t="shared" si="533"/>
        <v>0</v>
      </c>
      <c r="V99" s="4">
        <f t="shared" si="533"/>
        <v>0</v>
      </c>
      <c r="W99" s="4">
        <f t="shared" si="533"/>
        <v>0</v>
      </c>
      <c r="X99" s="4">
        <f t="shared" si="533"/>
        <v>0</v>
      </c>
      <c r="Y99" s="4">
        <f t="shared" si="533"/>
        <v>0</v>
      </c>
      <c r="Z99" s="4">
        <f t="shared" si="533"/>
        <v>0</v>
      </c>
      <c r="AA99" s="4">
        <f t="shared" si="533"/>
        <v>0</v>
      </c>
      <c r="AB99" s="4">
        <f t="shared" si="533"/>
        <v>0</v>
      </c>
      <c r="AC99" s="4">
        <f t="shared" si="533"/>
        <v>0</v>
      </c>
      <c r="AD99" s="4">
        <f t="shared" si="533"/>
        <v>0</v>
      </c>
      <c r="AE99" s="4">
        <f t="shared" si="533"/>
        <v>0</v>
      </c>
      <c r="AF99" s="4">
        <f t="shared" si="533"/>
        <v>0</v>
      </c>
      <c r="AG99" s="4">
        <f t="shared" si="533"/>
        <v>0</v>
      </c>
      <c r="AH99" s="4">
        <f t="shared" si="533"/>
        <v>0</v>
      </c>
      <c r="AI99" s="4">
        <f t="shared" si="533"/>
        <v>0</v>
      </c>
      <c r="AJ99" s="4">
        <f t="shared" si="533"/>
        <v>0</v>
      </c>
      <c r="AK99" s="4">
        <f t="shared" si="533"/>
        <v>0</v>
      </c>
      <c r="AL99" s="4">
        <f t="shared" si="533"/>
        <v>0</v>
      </c>
      <c r="AM99" s="4">
        <f t="shared" si="533"/>
        <v>0</v>
      </c>
      <c r="AN99" s="4">
        <f t="shared" si="533"/>
        <v>0</v>
      </c>
      <c r="AO99" s="4">
        <f t="shared" si="533"/>
        <v>0</v>
      </c>
      <c r="AP99" s="4">
        <f t="shared" si="533"/>
        <v>0</v>
      </c>
      <c r="AQ99" s="4">
        <f t="shared" si="533"/>
        <v>0</v>
      </c>
      <c r="AR99" s="4">
        <f t="shared" si="533"/>
        <v>0</v>
      </c>
      <c r="AS99" s="4">
        <f t="shared" si="533"/>
        <v>0</v>
      </c>
      <c r="AT99" s="4">
        <f t="shared" si="533"/>
        <v>0</v>
      </c>
      <c r="AU99" s="4">
        <f t="shared" si="533"/>
        <v>0</v>
      </c>
      <c r="AV99" s="4">
        <f t="shared" si="533"/>
        <v>0</v>
      </c>
      <c r="AW99" s="4">
        <f t="shared" si="533"/>
        <v>0</v>
      </c>
      <c r="AX99" s="4">
        <f t="shared" si="533"/>
        <v>0</v>
      </c>
      <c r="AY99" s="4">
        <f t="shared" si="533"/>
        <v>0</v>
      </c>
      <c r="AZ99" s="4">
        <f t="shared" si="533"/>
        <v>0</v>
      </c>
      <c r="BA99" s="295">
        <f t="shared" si="533"/>
        <v>0</v>
      </c>
    </row>
    <row r="100" spans="1:53">
      <c r="B100" s="457" t="s">
        <v>64</v>
      </c>
      <c r="C100" s="458"/>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2"/>
    </row>
    <row r="101" spans="1:53">
      <c r="B101" s="457" t="s">
        <v>47</v>
      </c>
      <c r="C101" s="458"/>
      <c r="D101" s="4">
        <f t="shared" ref="D101:BA101" si="534">MAX(D92-D96-D100,0)</f>
        <v>0</v>
      </c>
      <c r="E101" s="4">
        <f t="shared" si="534"/>
        <v>0</v>
      </c>
      <c r="F101" s="4">
        <f t="shared" si="534"/>
        <v>0</v>
      </c>
      <c r="G101" s="4">
        <f t="shared" si="534"/>
        <v>0</v>
      </c>
      <c r="H101" s="4">
        <f t="shared" si="534"/>
        <v>0</v>
      </c>
      <c r="I101" s="4">
        <f t="shared" si="534"/>
        <v>0</v>
      </c>
      <c r="J101" s="4">
        <f t="shared" si="534"/>
        <v>0</v>
      </c>
      <c r="K101" s="4">
        <f t="shared" si="534"/>
        <v>0</v>
      </c>
      <c r="L101" s="4">
        <f t="shared" si="534"/>
        <v>0</v>
      </c>
      <c r="M101" s="4">
        <f t="shared" si="534"/>
        <v>0</v>
      </c>
      <c r="N101" s="4">
        <f t="shared" si="534"/>
        <v>0</v>
      </c>
      <c r="O101" s="4">
        <f t="shared" si="534"/>
        <v>0</v>
      </c>
      <c r="P101" s="4">
        <f t="shared" si="534"/>
        <v>0</v>
      </c>
      <c r="Q101" s="4">
        <f t="shared" si="534"/>
        <v>0</v>
      </c>
      <c r="R101" s="4">
        <f t="shared" si="534"/>
        <v>0</v>
      </c>
      <c r="S101" s="4">
        <f t="shared" si="534"/>
        <v>0</v>
      </c>
      <c r="T101" s="4">
        <f t="shared" si="534"/>
        <v>0</v>
      </c>
      <c r="U101" s="4">
        <f t="shared" si="534"/>
        <v>0</v>
      </c>
      <c r="V101" s="4">
        <f t="shared" si="534"/>
        <v>0</v>
      </c>
      <c r="W101" s="4">
        <f t="shared" si="534"/>
        <v>0</v>
      </c>
      <c r="X101" s="4">
        <f t="shared" si="534"/>
        <v>0</v>
      </c>
      <c r="Y101" s="4">
        <f t="shared" si="534"/>
        <v>0</v>
      </c>
      <c r="Z101" s="4">
        <f t="shared" si="534"/>
        <v>0</v>
      </c>
      <c r="AA101" s="4">
        <f t="shared" si="534"/>
        <v>0</v>
      </c>
      <c r="AB101" s="4">
        <f t="shared" si="534"/>
        <v>0</v>
      </c>
      <c r="AC101" s="4">
        <f t="shared" si="534"/>
        <v>0</v>
      </c>
      <c r="AD101" s="4">
        <f t="shared" si="534"/>
        <v>0</v>
      </c>
      <c r="AE101" s="4">
        <f t="shared" si="534"/>
        <v>0</v>
      </c>
      <c r="AF101" s="4">
        <f t="shared" si="534"/>
        <v>0</v>
      </c>
      <c r="AG101" s="4">
        <f t="shared" si="534"/>
        <v>0</v>
      </c>
      <c r="AH101" s="4">
        <f t="shared" si="534"/>
        <v>0</v>
      </c>
      <c r="AI101" s="4">
        <f t="shared" si="534"/>
        <v>0</v>
      </c>
      <c r="AJ101" s="4">
        <f t="shared" si="534"/>
        <v>0</v>
      </c>
      <c r="AK101" s="4">
        <f t="shared" si="534"/>
        <v>0</v>
      </c>
      <c r="AL101" s="4">
        <f t="shared" si="534"/>
        <v>0</v>
      </c>
      <c r="AM101" s="4">
        <f t="shared" si="534"/>
        <v>0</v>
      </c>
      <c r="AN101" s="4">
        <f t="shared" si="534"/>
        <v>0</v>
      </c>
      <c r="AO101" s="4">
        <f t="shared" si="534"/>
        <v>0</v>
      </c>
      <c r="AP101" s="4">
        <f t="shared" si="534"/>
        <v>0</v>
      </c>
      <c r="AQ101" s="4">
        <f t="shared" si="534"/>
        <v>0</v>
      </c>
      <c r="AR101" s="4">
        <f t="shared" si="534"/>
        <v>0</v>
      </c>
      <c r="AS101" s="4">
        <f t="shared" si="534"/>
        <v>0</v>
      </c>
      <c r="AT101" s="4">
        <f t="shared" si="534"/>
        <v>0</v>
      </c>
      <c r="AU101" s="4">
        <f t="shared" si="534"/>
        <v>0</v>
      </c>
      <c r="AV101" s="4">
        <f t="shared" si="534"/>
        <v>0</v>
      </c>
      <c r="AW101" s="4">
        <f t="shared" si="534"/>
        <v>0</v>
      </c>
      <c r="AX101" s="4">
        <f t="shared" si="534"/>
        <v>0</v>
      </c>
      <c r="AY101" s="4">
        <f t="shared" si="534"/>
        <v>0</v>
      </c>
      <c r="AZ101" s="4">
        <f t="shared" si="534"/>
        <v>0</v>
      </c>
      <c r="BA101" s="295">
        <f t="shared" si="534"/>
        <v>0</v>
      </c>
    </row>
    <row r="102" spans="1:53" ht="15.75" thickBot="1">
      <c r="B102" s="448" t="s">
        <v>24</v>
      </c>
      <c r="C102" s="449"/>
      <c r="D102" s="298">
        <f>D99/12</f>
        <v>0</v>
      </c>
      <c r="E102" s="298">
        <f t="shared" ref="E102:BA102" si="535">E99/12</f>
        <v>0</v>
      </c>
      <c r="F102" s="298">
        <f t="shared" si="535"/>
        <v>0</v>
      </c>
      <c r="G102" s="298">
        <f t="shared" si="535"/>
        <v>0</v>
      </c>
      <c r="H102" s="298">
        <f t="shared" si="535"/>
        <v>0</v>
      </c>
      <c r="I102" s="298">
        <f t="shared" si="535"/>
        <v>0</v>
      </c>
      <c r="J102" s="298">
        <f t="shared" si="535"/>
        <v>0</v>
      </c>
      <c r="K102" s="298">
        <f t="shared" si="535"/>
        <v>0</v>
      </c>
      <c r="L102" s="298">
        <f t="shared" si="535"/>
        <v>0</v>
      </c>
      <c r="M102" s="298">
        <f t="shared" si="535"/>
        <v>0</v>
      </c>
      <c r="N102" s="298">
        <f t="shared" si="535"/>
        <v>0</v>
      </c>
      <c r="O102" s="298">
        <f t="shared" si="535"/>
        <v>0</v>
      </c>
      <c r="P102" s="298">
        <f t="shared" si="535"/>
        <v>0</v>
      </c>
      <c r="Q102" s="298">
        <f t="shared" si="535"/>
        <v>0</v>
      </c>
      <c r="R102" s="298">
        <f t="shared" si="535"/>
        <v>0</v>
      </c>
      <c r="S102" s="298">
        <f t="shared" si="535"/>
        <v>0</v>
      </c>
      <c r="T102" s="298">
        <f t="shared" si="535"/>
        <v>0</v>
      </c>
      <c r="U102" s="298">
        <f t="shared" si="535"/>
        <v>0</v>
      </c>
      <c r="V102" s="298">
        <f t="shared" si="535"/>
        <v>0</v>
      </c>
      <c r="W102" s="298">
        <f t="shared" si="535"/>
        <v>0</v>
      </c>
      <c r="X102" s="298">
        <f t="shared" si="535"/>
        <v>0</v>
      </c>
      <c r="Y102" s="298">
        <f t="shared" si="535"/>
        <v>0</v>
      </c>
      <c r="Z102" s="298">
        <f t="shared" si="535"/>
        <v>0</v>
      </c>
      <c r="AA102" s="298">
        <f t="shared" si="535"/>
        <v>0</v>
      </c>
      <c r="AB102" s="298">
        <f t="shared" si="535"/>
        <v>0</v>
      </c>
      <c r="AC102" s="298">
        <f t="shared" si="535"/>
        <v>0</v>
      </c>
      <c r="AD102" s="298">
        <f t="shared" si="535"/>
        <v>0</v>
      </c>
      <c r="AE102" s="298">
        <f t="shared" si="535"/>
        <v>0</v>
      </c>
      <c r="AF102" s="298">
        <f t="shared" si="535"/>
        <v>0</v>
      </c>
      <c r="AG102" s="298">
        <f t="shared" si="535"/>
        <v>0</v>
      </c>
      <c r="AH102" s="298">
        <f t="shared" si="535"/>
        <v>0</v>
      </c>
      <c r="AI102" s="298">
        <f t="shared" si="535"/>
        <v>0</v>
      </c>
      <c r="AJ102" s="298">
        <f t="shared" si="535"/>
        <v>0</v>
      </c>
      <c r="AK102" s="298">
        <f t="shared" si="535"/>
        <v>0</v>
      </c>
      <c r="AL102" s="298">
        <f t="shared" si="535"/>
        <v>0</v>
      </c>
      <c r="AM102" s="298">
        <f t="shared" si="535"/>
        <v>0</v>
      </c>
      <c r="AN102" s="298">
        <f t="shared" si="535"/>
        <v>0</v>
      </c>
      <c r="AO102" s="298">
        <f t="shared" si="535"/>
        <v>0</v>
      </c>
      <c r="AP102" s="298">
        <f t="shared" si="535"/>
        <v>0</v>
      </c>
      <c r="AQ102" s="298">
        <f t="shared" si="535"/>
        <v>0</v>
      </c>
      <c r="AR102" s="298">
        <f t="shared" si="535"/>
        <v>0</v>
      </c>
      <c r="AS102" s="298">
        <f t="shared" si="535"/>
        <v>0</v>
      </c>
      <c r="AT102" s="298">
        <f t="shared" si="535"/>
        <v>0</v>
      </c>
      <c r="AU102" s="298">
        <f t="shared" si="535"/>
        <v>0</v>
      </c>
      <c r="AV102" s="298">
        <f t="shared" si="535"/>
        <v>0</v>
      </c>
      <c r="AW102" s="298">
        <f t="shared" si="535"/>
        <v>0</v>
      </c>
      <c r="AX102" s="298">
        <f t="shared" si="535"/>
        <v>0</v>
      </c>
      <c r="AY102" s="298">
        <f t="shared" si="535"/>
        <v>0</v>
      </c>
      <c r="AZ102" s="298">
        <f t="shared" si="535"/>
        <v>0</v>
      </c>
      <c r="BA102" s="299">
        <f t="shared" si="535"/>
        <v>0</v>
      </c>
    </row>
    <row r="103" spans="1:53" ht="15.75" thickBot="1">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row>
    <row r="104" spans="1:53" ht="18" thickBot="1">
      <c r="B104" s="273" t="s">
        <v>249</v>
      </c>
      <c r="C104" s="41"/>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row>
    <row r="105" spans="1:53" ht="15.75" thickBot="1">
      <c r="B105" s="276" t="s">
        <v>46</v>
      </c>
      <c r="C105" s="277"/>
      <c r="D105" s="278">
        <f>D$7</f>
        <v>2024</v>
      </c>
      <c r="E105" s="279">
        <f t="shared" ref="E105:BA105" si="536">E$7</f>
        <v>2025</v>
      </c>
      <c r="F105" s="279">
        <f t="shared" si="536"/>
        <v>2026</v>
      </c>
      <c r="G105" s="279">
        <f t="shared" si="536"/>
        <v>2027</v>
      </c>
      <c r="H105" s="279">
        <f t="shared" si="536"/>
        <v>2028</v>
      </c>
      <c r="I105" s="279">
        <f t="shared" si="536"/>
        <v>2029</v>
      </c>
      <c r="J105" s="279">
        <f t="shared" si="536"/>
        <v>2030</v>
      </c>
      <c r="K105" s="279">
        <f t="shared" si="536"/>
        <v>2031</v>
      </c>
      <c r="L105" s="279">
        <f t="shared" si="536"/>
        <v>2032</v>
      </c>
      <c r="M105" s="279">
        <f t="shared" si="536"/>
        <v>2033</v>
      </c>
      <c r="N105" s="279">
        <f t="shared" si="536"/>
        <v>2034</v>
      </c>
      <c r="O105" s="279">
        <f t="shared" si="536"/>
        <v>2035</v>
      </c>
      <c r="P105" s="279">
        <f t="shared" si="536"/>
        <v>2036</v>
      </c>
      <c r="Q105" s="279">
        <f t="shared" si="536"/>
        <v>2037</v>
      </c>
      <c r="R105" s="279">
        <f t="shared" si="536"/>
        <v>2038</v>
      </c>
      <c r="S105" s="279">
        <f t="shared" si="536"/>
        <v>2039</v>
      </c>
      <c r="T105" s="279">
        <f t="shared" si="536"/>
        <v>2040</v>
      </c>
      <c r="U105" s="279">
        <f t="shared" si="536"/>
        <v>2041</v>
      </c>
      <c r="V105" s="279">
        <f t="shared" si="536"/>
        <v>2042</v>
      </c>
      <c r="W105" s="279">
        <f t="shared" si="536"/>
        <v>2043</v>
      </c>
      <c r="X105" s="279">
        <f t="shared" si="536"/>
        <v>2044</v>
      </c>
      <c r="Y105" s="279">
        <f t="shared" si="536"/>
        <v>2045</v>
      </c>
      <c r="Z105" s="279">
        <f t="shared" si="536"/>
        <v>2046</v>
      </c>
      <c r="AA105" s="279">
        <f t="shared" si="536"/>
        <v>2047</v>
      </c>
      <c r="AB105" s="279">
        <f t="shared" si="536"/>
        <v>2048</v>
      </c>
      <c r="AC105" s="279">
        <f t="shared" si="536"/>
        <v>2049</v>
      </c>
      <c r="AD105" s="279">
        <f t="shared" si="536"/>
        <v>2050</v>
      </c>
      <c r="AE105" s="279">
        <f t="shared" si="536"/>
        <v>2051</v>
      </c>
      <c r="AF105" s="279">
        <f t="shared" si="536"/>
        <v>2052</v>
      </c>
      <c r="AG105" s="279">
        <f t="shared" si="536"/>
        <v>2053</v>
      </c>
      <c r="AH105" s="279">
        <f t="shared" si="536"/>
        <v>2054</v>
      </c>
      <c r="AI105" s="279">
        <f t="shared" si="536"/>
        <v>2055</v>
      </c>
      <c r="AJ105" s="279">
        <f t="shared" si="536"/>
        <v>2056</v>
      </c>
      <c r="AK105" s="279">
        <f t="shared" si="536"/>
        <v>2057</v>
      </c>
      <c r="AL105" s="279">
        <f t="shared" si="536"/>
        <v>2058</v>
      </c>
      <c r="AM105" s="279">
        <f t="shared" si="536"/>
        <v>2059</v>
      </c>
      <c r="AN105" s="279">
        <f t="shared" si="536"/>
        <v>2060</v>
      </c>
      <c r="AO105" s="279">
        <f t="shared" si="536"/>
        <v>2061</v>
      </c>
      <c r="AP105" s="279">
        <f t="shared" si="536"/>
        <v>2062</v>
      </c>
      <c r="AQ105" s="279">
        <f t="shared" si="536"/>
        <v>2063</v>
      </c>
      <c r="AR105" s="279">
        <f t="shared" si="536"/>
        <v>2064</v>
      </c>
      <c r="AS105" s="279">
        <f t="shared" si="536"/>
        <v>2065</v>
      </c>
      <c r="AT105" s="279">
        <f t="shared" si="536"/>
        <v>2066</v>
      </c>
      <c r="AU105" s="279">
        <f t="shared" si="536"/>
        <v>2067</v>
      </c>
      <c r="AV105" s="279">
        <f t="shared" si="536"/>
        <v>2068</v>
      </c>
      <c r="AW105" s="279">
        <f t="shared" si="536"/>
        <v>2069</v>
      </c>
      <c r="AX105" s="279">
        <f t="shared" si="536"/>
        <v>2070</v>
      </c>
      <c r="AY105" s="279">
        <f t="shared" si="536"/>
        <v>2071</v>
      </c>
      <c r="AZ105" s="279">
        <f t="shared" si="536"/>
        <v>2072</v>
      </c>
      <c r="BA105" s="280">
        <f t="shared" si="536"/>
        <v>2073</v>
      </c>
    </row>
    <row r="106" spans="1:53">
      <c r="B106" s="485" t="s">
        <v>42</v>
      </c>
      <c r="C106" s="486"/>
      <c r="D106" s="291">
        <f>D41+D58+D75+D92</f>
        <v>104000</v>
      </c>
      <c r="E106" s="291">
        <f t="shared" ref="E106:BA106" si="537">E41+E58+E75+E92</f>
        <v>100880</v>
      </c>
      <c r="F106" s="291">
        <f t="shared" si="537"/>
        <v>97650.8</v>
      </c>
      <c r="G106" s="291">
        <f t="shared" si="537"/>
        <v>94308.578000000009</v>
      </c>
      <c r="H106" s="291">
        <f t="shared" si="537"/>
        <v>90849.378230000002</v>
      </c>
      <c r="I106" s="291">
        <f t="shared" si="537"/>
        <v>87269.106468049999</v>
      </c>
      <c r="J106" s="291">
        <f t="shared" si="537"/>
        <v>83563.525194431742</v>
      </c>
      <c r="K106" s="291">
        <f t="shared" si="537"/>
        <v>79728.24857623686</v>
      </c>
      <c r="L106" s="291">
        <f t="shared" si="537"/>
        <v>75758.737276405154</v>
      </c>
      <c r="M106" s="291">
        <f t="shared" si="537"/>
        <v>71650.293081079333</v>
      </c>
      <c r="N106" s="291">
        <f t="shared" si="537"/>
        <v>67398.053338917118</v>
      </c>
      <c r="O106" s="291">
        <f t="shared" si="537"/>
        <v>62996.985205779216</v>
      </c>
      <c r="P106" s="291">
        <f t="shared" si="537"/>
        <v>58441.879687981491</v>
      </c>
      <c r="Q106" s="291">
        <f t="shared" si="537"/>
        <v>53727.345477060844</v>
      </c>
      <c r="R106" s="291">
        <f t="shared" si="537"/>
        <v>48847.802568757972</v>
      </c>
      <c r="S106" s="291">
        <f t="shared" si="537"/>
        <v>43797.475658664502</v>
      </c>
      <c r="T106" s="291">
        <f t="shared" si="537"/>
        <v>38570.387306717763</v>
      </c>
      <c r="U106" s="291">
        <f t="shared" si="537"/>
        <v>33160.350862452884</v>
      </c>
      <c r="V106" s="291">
        <f t="shared" si="537"/>
        <v>27560.963142638735</v>
      </c>
      <c r="W106" s="291">
        <f t="shared" si="537"/>
        <v>21765.59685263109</v>
      </c>
      <c r="X106" s="291">
        <f t="shared" si="537"/>
        <v>15767.392742473177</v>
      </c>
      <c r="Y106" s="291">
        <f t="shared" si="537"/>
        <v>9559.2514884597385</v>
      </c>
      <c r="Z106" s="291">
        <f t="shared" si="537"/>
        <v>3133.8252905558293</v>
      </c>
      <c r="AA106" s="291">
        <f t="shared" si="537"/>
        <v>0</v>
      </c>
      <c r="AB106" s="291">
        <f t="shared" si="537"/>
        <v>0</v>
      </c>
      <c r="AC106" s="291">
        <f t="shared" si="537"/>
        <v>0</v>
      </c>
      <c r="AD106" s="291">
        <f t="shared" si="537"/>
        <v>0</v>
      </c>
      <c r="AE106" s="291">
        <f t="shared" si="537"/>
        <v>0</v>
      </c>
      <c r="AF106" s="291">
        <f t="shared" si="537"/>
        <v>0</v>
      </c>
      <c r="AG106" s="291">
        <f t="shared" si="537"/>
        <v>0</v>
      </c>
      <c r="AH106" s="291">
        <f t="shared" si="537"/>
        <v>0</v>
      </c>
      <c r="AI106" s="291">
        <f t="shared" si="537"/>
        <v>0</v>
      </c>
      <c r="AJ106" s="291">
        <f t="shared" si="537"/>
        <v>0</v>
      </c>
      <c r="AK106" s="291">
        <f t="shared" si="537"/>
        <v>0</v>
      </c>
      <c r="AL106" s="291">
        <f t="shared" si="537"/>
        <v>0</v>
      </c>
      <c r="AM106" s="291">
        <f t="shared" si="537"/>
        <v>0</v>
      </c>
      <c r="AN106" s="291">
        <f t="shared" si="537"/>
        <v>0</v>
      </c>
      <c r="AO106" s="291">
        <f t="shared" si="537"/>
        <v>0</v>
      </c>
      <c r="AP106" s="291">
        <f t="shared" si="537"/>
        <v>0</v>
      </c>
      <c r="AQ106" s="291">
        <f t="shared" si="537"/>
        <v>0</v>
      </c>
      <c r="AR106" s="291">
        <f t="shared" si="537"/>
        <v>0</v>
      </c>
      <c r="AS106" s="291">
        <f t="shared" si="537"/>
        <v>0</v>
      </c>
      <c r="AT106" s="291">
        <f t="shared" si="537"/>
        <v>0</v>
      </c>
      <c r="AU106" s="291">
        <f t="shared" si="537"/>
        <v>0</v>
      </c>
      <c r="AV106" s="291">
        <f t="shared" si="537"/>
        <v>0</v>
      </c>
      <c r="AW106" s="291">
        <f t="shared" si="537"/>
        <v>0</v>
      </c>
      <c r="AX106" s="291">
        <f t="shared" si="537"/>
        <v>0</v>
      </c>
      <c r="AY106" s="291">
        <f t="shared" si="537"/>
        <v>0</v>
      </c>
      <c r="AZ106" s="291">
        <f t="shared" si="537"/>
        <v>0</v>
      </c>
      <c r="BA106" s="292">
        <f t="shared" si="537"/>
        <v>0</v>
      </c>
    </row>
    <row r="107" spans="1:53">
      <c r="B107" s="500" t="s">
        <v>250</v>
      </c>
      <c r="C107" s="501"/>
      <c r="D107" s="43">
        <f>D41</f>
        <v>104000</v>
      </c>
      <c r="E107" s="43">
        <f t="shared" ref="E107:BA107" si="538">E41</f>
        <v>100880</v>
      </c>
      <c r="F107" s="43">
        <f t="shared" si="538"/>
        <v>97650.8</v>
      </c>
      <c r="G107" s="43">
        <f t="shared" si="538"/>
        <v>94308.578000000009</v>
      </c>
      <c r="H107" s="43">
        <f t="shared" si="538"/>
        <v>90849.378230000002</v>
      </c>
      <c r="I107" s="43">
        <f t="shared" si="538"/>
        <v>87269.106468049999</v>
      </c>
      <c r="J107" s="43">
        <f t="shared" si="538"/>
        <v>83563.525194431742</v>
      </c>
      <c r="K107" s="43">
        <f t="shared" si="538"/>
        <v>79728.24857623686</v>
      </c>
      <c r="L107" s="43">
        <f t="shared" si="538"/>
        <v>75758.737276405154</v>
      </c>
      <c r="M107" s="43">
        <f t="shared" si="538"/>
        <v>71650.293081079333</v>
      </c>
      <c r="N107" s="43">
        <f t="shared" si="538"/>
        <v>67398.053338917118</v>
      </c>
      <c r="O107" s="43">
        <f t="shared" si="538"/>
        <v>62996.985205779216</v>
      </c>
      <c r="P107" s="43">
        <f t="shared" si="538"/>
        <v>58441.879687981491</v>
      </c>
      <c r="Q107" s="43">
        <f t="shared" si="538"/>
        <v>53727.345477060844</v>
      </c>
      <c r="R107" s="43">
        <f t="shared" si="538"/>
        <v>48847.802568757972</v>
      </c>
      <c r="S107" s="43">
        <f t="shared" si="538"/>
        <v>43797.475658664502</v>
      </c>
      <c r="T107" s="43">
        <f t="shared" si="538"/>
        <v>38570.387306717763</v>
      </c>
      <c r="U107" s="43">
        <f t="shared" si="538"/>
        <v>33160.350862452884</v>
      </c>
      <c r="V107" s="43">
        <f t="shared" si="538"/>
        <v>27560.963142638735</v>
      </c>
      <c r="W107" s="43">
        <f t="shared" si="538"/>
        <v>21765.59685263109</v>
      </c>
      <c r="X107" s="43">
        <f t="shared" si="538"/>
        <v>15767.392742473177</v>
      </c>
      <c r="Y107" s="43">
        <f t="shared" si="538"/>
        <v>9559.2514884597385</v>
      </c>
      <c r="Z107" s="43">
        <f t="shared" si="538"/>
        <v>3133.8252905558293</v>
      </c>
      <c r="AA107" s="43">
        <f t="shared" si="538"/>
        <v>0</v>
      </c>
      <c r="AB107" s="43">
        <f t="shared" si="538"/>
        <v>0</v>
      </c>
      <c r="AC107" s="43">
        <f t="shared" si="538"/>
        <v>0</v>
      </c>
      <c r="AD107" s="43">
        <f t="shared" si="538"/>
        <v>0</v>
      </c>
      <c r="AE107" s="43">
        <f t="shared" si="538"/>
        <v>0</v>
      </c>
      <c r="AF107" s="43">
        <f t="shared" si="538"/>
        <v>0</v>
      </c>
      <c r="AG107" s="43">
        <f t="shared" si="538"/>
        <v>0</v>
      </c>
      <c r="AH107" s="43">
        <f t="shared" si="538"/>
        <v>0</v>
      </c>
      <c r="AI107" s="43">
        <f t="shared" si="538"/>
        <v>0</v>
      </c>
      <c r="AJ107" s="43">
        <f t="shared" si="538"/>
        <v>0</v>
      </c>
      <c r="AK107" s="43">
        <f t="shared" si="538"/>
        <v>0</v>
      </c>
      <c r="AL107" s="43">
        <f t="shared" si="538"/>
        <v>0</v>
      </c>
      <c r="AM107" s="43">
        <f t="shared" si="538"/>
        <v>0</v>
      </c>
      <c r="AN107" s="43">
        <f t="shared" si="538"/>
        <v>0</v>
      </c>
      <c r="AO107" s="43">
        <f t="shared" si="538"/>
        <v>0</v>
      </c>
      <c r="AP107" s="43">
        <f t="shared" si="538"/>
        <v>0</v>
      </c>
      <c r="AQ107" s="43">
        <f t="shared" si="538"/>
        <v>0</v>
      </c>
      <c r="AR107" s="43">
        <f t="shared" si="538"/>
        <v>0</v>
      </c>
      <c r="AS107" s="43">
        <f t="shared" si="538"/>
        <v>0</v>
      </c>
      <c r="AT107" s="43">
        <f t="shared" si="538"/>
        <v>0</v>
      </c>
      <c r="AU107" s="43">
        <f t="shared" si="538"/>
        <v>0</v>
      </c>
      <c r="AV107" s="43">
        <f t="shared" si="538"/>
        <v>0</v>
      </c>
      <c r="AW107" s="43">
        <f t="shared" si="538"/>
        <v>0</v>
      </c>
      <c r="AX107" s="43">
        <f t="shared" si="538"/>
        <v>0</v>
      </c>
      <c r="AY107" s="43">
        <f t="shared" si="538"/>
        <v>0</v>
      </c>
      <c r="AZ107" s="43">
        <f t="shared" si="538"/>
        <v>0</v>
      </c>
      <c r="BA107" s="293">
        <f t="shared" si="538"/>
        <v>0</v>
      </c>
    </row>
    <row r="108" spans="1:53">
      <c r="A108"/>
      <c r="B108" s="500" t="s">
        <v>251</v>
      </c>
      <c r="C108" s="501"/>
      <c r="D108" s="43">
        <f>D58+D75+D92</f>
        <v>0</v>
      </c>
      <c r="E108" s="43">
        <f t="shared" ref="E108:BA108" si="539">E58+E75+E92</f>
        <v>0</v>
      </c>
      <c r="F108" s="43">
        <f t="shared" si="539"/>
        <v>0</v>
      </c>
      <c r="G108" s="43">
        <f t="shared" si="539"/>
        <v>0</v>
      </c>
      <c r="H108" s="43">
        <f t="shared" si="539"/>
        <v>0</v>
      </c>
      <c r="I108" s="43">
        <f t="shared" si="539"/>
        <v>0</v>
      </c>
      <c r="J108" s="43">
        <f t="shared" si="539"/>
        <v>0</v>
      </c>
      <c r="K108" s="43">
        <f t="shared" si="539"/>
        <v>0</v>
      </c>
      <c r="L108" s="43">
        <f t="shared" si="539"/>
        <v>0</v>
      </c>
      <c r="M108" s="43">
        <f t="shared" si="539"/>
        <v>0</v>
      </c>
      <c r="N108" s="43">
        <f t="shared" si="539"/>
        <v>0</v>
      </c>
      <c r="O108" s="43">
        <f t="shared" si="539"/>
        <v>0</v>
      </c>
      <c r="P108" s="43">
        <f t="shared" si="539"/>
        <v>0</v>
      </c>
      <c r="Q108" s="43">
        <f t="shared" si="539"/>
        <v>0</v>
      </c>
      <c r="R108" s="43">
        <f t="shared" si="539"/>
        <v>0</v>
      </c>
      <c r="S108" s="43">
        <f t="shared" si="539"/>
        <v>0</v>
      </c>
      <c r="T108" s="43">
        <f t="shared" si="539"/>
        <v>0</v>
      </c>
      <c r="U108" s="43">
        <f t="shared" si="539"/>
        <v>0</v>
      </c>
      <c r="V108" s="43">
        <f t="shared" si="539"/>
        <v>0</v>
      </c>
      <c r="W108" s="43">
        <f t="shared" si="539"/>
        <v>0</v>
      </c>
      <c r="X108" s="43">
        <f t="shared" si="539"/>
        <v>0</v>
      </c>
      <c r="Y108" s="43">
        <f t="shared" si="539"/>
        <v>0</v>
      </c>
      <c r="Z108" s="43">
        <f t="shared" si="539"/>
        <v>0</v>
      </c>
      <c r="AA108" s="43">
        <f t="shared" si="539"/>
        <v>0</v>
      </c>
      <c r="AB108" s="43">
        <f t="shared" si="539"/>
        <v>0</v>
      </c>
      <c r="AC108" s="43">
        <f t="shared" si="539"/>
        <v>0</v>
      </c>
      <c r="AD108" s="43">
        <f t="shared" si="539"/>
        <v>0</v>
      </c>
      <c r="AE108" s="43">
        <f t="shared" si="539"/>
        <v>0</v>
      </c>
      <c r="AF108" s="43">
        <f t="shared" si="539"/>
        <v>0</v>
      </c>
      <c r="AG108" s="43">
        <f t="shared" si="539"/>
        <v>0</v>
      </c>
      <c r="AH108" s="43">
        <f t="shared" si="539"/>
        <v>0</v>
      </c>
      <c r="AI108" s="43">
        <f t="shared" si="539"/>
        <v>0</v>
      </c>
      <c r="AJ108" s="43">
        <f t="shared" si="539"/>
        <v>0</v>
      </c>
      <c r="AK108" s="43">
        <f t="shared" si="539"/>
        <v>0</v>
      </c>
      <c r="AL108" s="43">
        <f t="shared" si="539"/>
        <v>0</v>
      </c>
      <c r="AM108" s="43">
        <f t="shared" si="539"/>
        <v>0</v>
      </c>
      <c r="AN108" s="43">
        <f t="shared" si="539"/>
        <v>0</v>
      </c>
      <c r="AO108" s="43">
        <f t="shared" si="539"/>
        <v>0</v>
      </c>
      <c r="AP108" s="43">
        <f t="shared" si="539"/>
        <v>0</v>
      </c>
      <c r="AQ108" s="43">
        <f t="shared" si="539"/>
        <v>0</v>
      </c>
      <c r="AR108" s="43">
        <f t="shared" si="539"/>
        <v>0</v>
      </c>
      <c r="AS108" s="43">
        <f t="shared" si="539"/>
        <v>0</v>
      </c>
      <c r="AT108" s="43">
        <f t="shared" si="539"/>
        <v>0</v>
      </c>
      <c r="AU108" s="43">
        <f t="shared" si="539"/>
        <v>0</v>
      </c>
      <c r="AV108" s="43">
        <f t="shared" si="539"/>
        <v>0</v>
      </c>
      <c r="AW108" s="43">
        <f t="shared" si="539"/>
        <v>0</v>
      </c>
      <c r="AX108" s="43">
        <f t="shared" si="539"/>
        <v>0</v>
      </c>
      <c r="AY108" s="43">
        <f t="shared" si="539"/>
        <v>0</v>
      </c>
      <c r="AZ108" s="43">
        <f t="shared" si="539"/>
        <v>0</v>
      </c>
      <c r="BA108" s="293">
        <f t="shared" si="539"/>
        <v>0</v>
      </c>
    </row>
    <row r="109" spans="1:53">
      <c r="A109"/>
      <c r="B109" s="294"/>
      <c r="C109" s="137"/>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293"/>
    </row>
    <row r="110" spans="1:53">
      <c r="B110" s="457" t="s">
        <v>43</v>
      </c>
      <c r="C110" s="458"/>
      <c r="D110" s="4">
        <f>D42+D59+D76+D93</f>
        <v>3640.0000000000005</v>
      </c>
      <c r="E110" s="4">
        <f t="shared" ref="E110:BA110" si="540">E42+E59+E76+E93</f>
        <v>3530.8</v>
      </c>
      <c r="F110" s="4">
        <f t="shared" si="540"/>
        <v>3417.7780000000002</v>
      </c>
      <c r="G110" s="4">
        <f t="shared" si="540"/>
        <v>3300.8002300000007</v>
      </c>
      <c r="H110" s="4">
        <f t="shared" si="540"/>
        <v>3179.7282380500005</v>
      </c>
      <c r="I110" s="4">
        <f t="shared" si="540"/>
        <v>3054.4187263817503</v>
      </c>
      <c r="J110" s="4">
        <f t="shared" si="540"/>
        <v>2924.7233818051113</v>
      </c>
      <c r="K110" s="4">
        <f t="shared" si="540"/>
        <v>2790.4887001682905</v>
      </c>
      <c r="L110" s="4">
        <f t="shared" si="540"/>
        <v>2651.5558046741808</v>
      </c>
      <c r="M110" s="4">
        <f t="shared" si="540"/>
        <v>2507.7602578377769</v>
      </c>
      <c r="N110" s="4">
        <f t="shared" si="540"/>
        <v>2358.9318668620995</v>
      </c>
      <c r="O110" s="4">
        <f t="shared" si="540"/>
        <v>2204.8944822022727</v>
      </c>
      <c r="P110" s="4">
        <f t="shared" si="540"/>
        <v>2045.4657890793524</v>
      </c>
      <c r="Q110" s="4">
        <f t="shared" si="540"/>
        <v>1880.4570916971297</v>
      </c>
      <c r="R110" s="4">
        <f t="shared" si="540"/>
        <v>1709.6730899065292</v>
      </c>
      <c r="S110" s="4">
        <f t="shared" si="540"/>
        <v>1532.9116480532577</v>
      </c>
      <c r="T110" s="4">
        <f t="shared" si="540"/>
        <v>1349.9635557351219</v>
      </c>
      <c r="U110" s="4">
        <f t="shared" si="540"/>
        <v>1160.612280185851</v>
      </c>
      <c r="V110" s="4">
        <f t="shared" si="540"/>
        <v>964.63370999235576</v>
      </c>
      <c r="W110" s="4">
        <f t="shared" si="540"/>
        <v>761.79588984208817</v>
      </c>
      <c r="X110" s="4">
        <f t="shared" si="540"/>
        <v>551.8587459865613</v>
      </c>
      <c r="Y110" s="4">
        <f t="shared" si="540"/>
        <v>334.5738020960909</v>
      </c>
      <c r="Z110" s="4">
        <f t="shared" si="540"/>
        <v>109.68388516945403</v>
      </c>
      <c r="AA110" s="4">
        <f t="shared" si="540"/>
        <v>0</v>
      </c>
      <c r="AB110" s="4">
        <f t="shared" si="540"/>
        <v>0</v>
      </c>
      <c r="AC110" s="4">
        <f t="shared" si="540"/>
        <v>0</v>
      </c>
      <c r="AD110" s="4">
        <f t="shared" si="540"/>
        <v>0</v>
      </c>
      <c r="AE110" s="4">
        <f t="shared" si="540"/>
        <v>0</v>
      </c>
      <c r="AF110" s="4">
        <f t="shared" si="540"/>
        <v>0</v>
      </c>
      <c r="AG110" s="4">
        <f t="shared" si="540"/>
        <v>0</v>
      </c>
      <c r="AH110" s="4">
        <f t="shared" si="540"/>
        <v>0</v>
      </c>
      <c r="AI110" s="4">
        <f t="shared" si="540"/>
        <v>0</v>
      </c>
      <c r="AJ110" s="4">
        <f t="shared" si="540"/>
        <v>0</v>
      </c>
      <c r="AK110" s="4">
        <f t="shared" si="540"/>
        <v>0</v>
      </c>
      <c r="AL110" s="4">
        <f t="shared" si="540"/>
        <v>0</v>
      </c>
      <c r="AM110" s="4">
        <f t="shared" si="540"/>
        <v>0</v>
      </c>
      <c r="AN110" s="4">
        <f t="shared" si="540"/>
        <v>0</v>
      </c>
      <c r="AO110" s="4">
        <f t="shared" si="540"/>
        <v>0</v>
      </c>
      <c r="AP110" s="4">
        <f t="shared" si="540"/>
        <v>0</v>
      </c>
      <c r="AQ110" s="4">
        <f t="shared" si="540"/>
        <v>0</v>
      </c>
      <c r="AR110" s="4">
        <f t="shared" si="540"/>
        <v>0</v>
      </c>
      <c r="AS110" s="4">
        <f t="shared" si="540"/>
        <v>0</v>
      </c>
      <c r="AT110" s="4">
        <f t="shared" si="540"/>
        <v>0</v>
      </c>
      <c r="AU110" s="4">
        <f t="shared" si="540"/>
        <v>0</v>
      </c>
      <c r="AV110" s="4">
        <f t="shared" si="540"/>
        <v>0</v>
      </c>
      <c r="AW110" s="4">
        <f t="shared" si="540"/>
        <v>0</v>
      </c>
      <c r="AX110" s="4">
        <f t="shared" si="540"/>
        <v>0</v>
      </c>
      <c r="AY110" s="4">
        <f t="shared" si="540"/>
        <v>0</v>
      </c>
      <c r="AZ110" s="4">
        <f t="shared" si="540"/>
        <v>0</v>
      </c>
      <c r="BA110" s="295">
        <f t="shared" si="540"/>
        <v>0</v>
      </c>
    </row>
    <row r="111" spans="1:53">
      <c r="B111" s="494" t="s">
        <v>59</v>
      </c>
      <c r="C111" s="495"/>
      <c r="D111" s="4">
        <f>D110</f>
        <v>3640.0000000000005</v>
      </c>
      <c r="E111" s="4">
        <f>D111+E110</f>
        <v>7170.8000000000011</v>
      </c>
      <c r="F111" s="4">
        <f t="shared" ref="F111:BA111" si="541">E111+F110</f>
        <v>10588.578000000001</v>
      </c>
      <c r="G111" s="4">
        <f t="shared" si="541"/>
        <v>13889.378230000002</v>
      </c>
      <c r="H111" s="4">
        <f t="shared" si="541"/>
        <v>17069.106468050002</v>
      </c>
      <c r="I111" s="4">
        <f t="shared" si="541"/>
        <v>20123.525194431753</v>
      </c>
      <c r="J111" s="4">
        <f t="shared" si="541"/>
        <v>23048.248576236863</v>
      </c>
      <c r="K111" s="4">
        <f t="shared" si="541"/>
        <v>25838.737276405154</v>
      </c>
      <c r="L111" s="4">
        <f t="shared" si="541"/>
        <v>28490.293081079333</v>
      </c>
      <c r="M111" s="4">
        <f t="shared" si="541"/>
        <v>30998.053338917111</v>
      </c>
      <c r="N111" s="4">
        <f t="shared" si="541"/>
        <v>33356.985205779209</v>
      </c>
      <c r="O111" s="4">
        <f t="shared" si="541"/>
        <v>35561.879687981484</v>
      </c>
      <c r="P111" s="4">
        <f t="shared" si="541"/>
        <v>37607.345477060837</v>
      </c>
      <c r="Q111" s="4">
        <f t="shared" si="541"/>
        <v>39487.802568757965</v>
      </c>
      <c r="R111" s="4">
        <f t="shared" si="541"/>
        <v>41197.475658664494</v>
      </c>
      <c r="S111" s="4">
        <f t="shared" si="541"/>
        <v>42730.387306717756</v>
      </c>
      <c r="T111" s="4">
        <f t="shared" si="541"/>
        <v>44080.350862452877</v>
      </c>
      <c r="U111" s="4">
        <f t="shared" si="541"/>
        <v>45240.963142638728</v>
      </c>
      <c r="V111" s="4">
        <f t="shared" si="541"/>
        <v>46205.596852631083</v>
      </c>
      <c r="W111" s="4">
        <f t="shared" si="541"/>
        <v>46967.392742473174</v>
      </c>
      <c r="X111" s="4">
        <f t="shared" si="541"/>
        <v>47519.251488459733</v>
      </c>
      <c r="Y111" s="4">
        <f t="shared" si="541"/>
        <v>47853.825290555826</v>
      </c>
      <c r="Z111" s="4">
        <f t="shared" si="541"/>
        <v>47963.509175725281</v>
      </c>
      <c r="AA111" s="4">
        <f t="shared" si="541"/>
        <v>47963.509175725281</v>
      </c>
      <c r="AB111" s="4">
        <f t="shared" si="541"/>
        <v>47963.509175725281</v>
      </c>
      <c r="AC111" s="4">
        <f t="shared" si="541"/>
        <v>47963.509175725281</v>
      </c>
      <c r="AD111" s="4">
        <f t="shared" si="541"/>
        <v>47963.509175725281</v>
      </c>
      <c r="AE111" s="4">
        <f t="shared" si="541"/>
        <v>47963.509175725281</v>
      </c>
      <c r="AF111" s="4">
        <f t="shared" si="541"/>
        <v>47963.509175725281</v>
      </c>
      <c r="AG111" s="4">
        <f t="shared" si="541"/>
        <v>47963.509175725281</v>
      </c>
      <c r="AH111" s="4">
        <f t="shared" si="541"/>
        <v>47963.509175725281</v>
      </c>
      <c r="AI111" s="4">
        <f t="shared" si="541"/>
        <v>47963.509175725281</v>
      </c>
      <c r="AJ111" s="4">
        <f t="shared" si="541"/>
        <v>47963.509175725281</v>
      </c>
      <c r="AK111" s="4">
        <f t="shared" si="541"/>
        <v>47963.509175725281</v>
      </c>
      <c r="AL111" s="4">
        <f t="shared" si="541"/>
        <v>47963.509175725281</v>
      </c>
      <c r="AM111" s="4">
        <f t="shared" si="541"/>
        <v>47963.509175725281</v>
      </c>
      <c r="AN111" s="4">
        <f t="shared" si="541"/>
        <v>47963.509175725281</v>
      </c>
      <c r="AO111" s="4">
        <f t="shared" si="541"/>
        <v>47963.509175725281</v>
      </c>
      <c r="AP111" s="4">
        <f t="shared" si="541"/>
        <v>47963.509175725281</v>
      </c>
      <c r="AQ111" s="4">
        <f t="shared" si="541"/>
        <v>47963.509175725281</v>
      </c>
      <c r="AR111" s="4">
        <f t="shared" si="541"/>
        <v>47963.509175725281</v>
      </c>
      <c r="AS111" s="4">
        <f t="shared" si="541"/>
        <v>47963.509175725281</v>
      </c>
      <c r="AT111" s="4">
        <f t="shared" si="541"/>
        <v>47963.509175725281</v>
      </c>
      <c r="AU111" s="4">
        <f t="shared" si="541"/>
        <v>47963.509175725281</v>
      </c>
      <c r="AV111" s="4">
        <f t="shared" si="541"/>
        <v>47963.509175725281</v>
      </c>
      <c r="AW111" s="4">
        <f t="shared" si="541"/>
        <v>47963.509175725281</v>
      </c>
      <c r="AX111" s="4">
        <f t="shared" si="541"/>
        <v>47963.509175725281</v>
      </c>
      <c r="AY111" s="4">
        <f t="shared" si="541"/>
        <v>47963.509175725281</v>
      </c>
      <c r="AZ111" s="4">
        <f t="shared" si="541"/>
        <v>47963.509175725281</v>
      </c>
      <c r="BA111" s="295">
        <f t="shared" si="541"/>
        <v>47963.509175725281</v>
      </c>
    </row>
    <row r="112" spans="1:53">
      <c r="B112" s="494" t="s">
        <v>50</v>
      </c>
      <c r="C112" s="495"/>
      <c r="D112" s="44">
        <f>IF(D106&gt;0,D110/D106,)</f>
        <v>3.5000000000000003E-2</v>
      </c>
      <c r="E112" s="44">
        <f t="shared" ref="E112:BA112" si="542">IF(E106&gt;0,E110/E106,)</f>
        <v>3.5000000000000003E-2</v>
      </c>
      <c r="F112" s="44">
        <f t="shared" si="542"/>
        <v>3.5000000000000003E-2</v>
      </c>
      <c r="G112" s="44">
        <f t="shared" si="542"/>
        <v>3.5000000000000003E-2</v>
      </c>
      <c r="H112" s="44">
        <f t="shared" si="542"/>
        <v>3.5000000000000003E-2</v>
      </c>
      <c r="I112" s="44">
        <f t="shared" si="542"/>
        <v>3.5000000000000003E-2</v>
      </c>
      <c r="J112" s="44">
        <f t="shared" si="542"/>
        <v>3.5000000000000003E-2</v>
      </c>
      <c r="K112" s="44">
        <f t="shared" si="542"/>
        <v>3.5000000000000003E-2</v>
      </c>
      <c r="L112" s="44">
        <f t="shared" si="542"/>
        <v>3.5000000000000003E-2</v>
      </c>
      <c r="M112" s="44">
        <f t="shared" si="542"/>
        <v>3.5000000000000003E-2</v>
      </c>
      <c r="N112" s="44">
        <f t="shared" si="542"/>
        <v>3.5000000000000003E-2</v>
      </c>
      <c r="O112" s="44">
        <f t="shared" si="542"/>
        <v>3.5000000000000003E-2</v>
      </c>
      <c r="P112" s="44">
        <f t="shared" si="542"/>
        <v>3.5000000000000003E-2</v>
      </c>
      <c r="Q112" s="44">
        <f t="shared" si="542"/>
        <v>3.5000000000000003E-2</v>
      </c>
      <c r="R112" s="44">
        <f t="shared" si="542"/>
        <v>3.5000000000000003E-2</v>
      </c>
      <c r="S112" s="44">
        <f t="shared" si="542"/>
        <v>3.5000000000000003E-2</v>
      </c>
      <c r="T112" s="44">
        <f t="shared" si="542"/>
        <v>3.5000000000000003E-2</v>
      </c>
      <c r="U112" s="44">
        <f t="shared" si="542"/>
        <v>3.5000000000000003E-2</v>
      </c>
      <c r="V112" s="44">
        <f t="shared" si="542"/>
        <v>3.5000000000000003E-2</v>
      </c>
      <c r="W112" s="44">
        <f t="shared" si="542"/>
        <v>3.5000000000000003E-2</v>
      </c>
      <c r="X112" s="44">
        <f t="shared" si="542"/>
        <v>3.5000000000000003E-2</v>
      </c>
      <c r="Y112" s="44">
        <f t="shared" si="542"/>
        <v>3.5000000000000003E-2</v>
      </c>
      <c r="Z112" s="44">
        <f t="shared" si="542"/>
        <v>3.5000000000000003E-2</v>
      </c>
      <c r="AA112" s="44">
        <f t="shared" si="542"/>
        <v>0</v>
      </c>
      <c r="AB112" s="44">
        <f t="shared" si="542"/>
        <v>0</v>
      </c>
      <c r="AC112" s="44">
        <f t="shared" si="542"/>
        <v>0</v>
      </c>
      <c r="AD112" s="44">
        <f t="shared" si="542"/>
        <v>0</v>
      </c>
      <c r="AE112" s="44">
        <f t="shared" si="542"/>
        <v>0</v>
      </c>
      <c r="AF112" s="44">
        <f t="shared" si="542"/>
        <v>0</v>
      </c>
      <c r="AG112" s="44">
        <f t="shared" si="542"/>
        <v>0</v>
      </c>
      <c r="AH112" s="44">
        <f t="shared" si="542"/>
        <v>0</v>
      </c>
      <c r="AI112" s="44">
        <f t="shared" si="542"/>
        <v>0</v>
      </c>
      <c r="AJ112" s="44">
        <f t="shared" si="542"/>
        <v>0</v>
      </c>
      <c r="AK112" s="44">
        <f t="shared" si="542"/>
        <v>0</v>
      </c>
      <c r="AL112" s="44">
        <f t="shared" si="542"/>
        <v>0</v>
      </c>
      <c r="AM112" s="44">
        <f t="shared" si="542"/>
        <v>0</v>
      </c>
      <c r="AN112" s="44">
        <f t="shared" si="542"/>
        <v>0</v>
      </c>
      <c r="AO112" s="44">
        <f t="shared" si="542"/>
        <v>0</v>
      </c>
      <c r="AP112" s="44">
        <f t="shared" si="542"/>
        <v>0</v>
      </c>
      <c r="AQ112" s="44">
        <f t="shared" si="542"/>
        <v>0</v>
      </c>
      <c r="AR112" s="44">
        <f t="shared" si="542"/>
        <v>0</v>
      </c>
      <c r="AS112" s="44">
        <f t="shared" si="542"/>
        <v>0</v>
      </c>
      <c r="AT112" s="44">
        <f t="shared" si="542"/>
        <v>0</v>
      </c>
      <c r="AU112" s="44">
        <f t="shared" si="542"/>
        <v>0</v>
      </c>
      <c r="AV112" s="44">
        <f t="shared" si="542"/>
        <v>0</v>
      </c>
      <c r="AW112" s="44">
        <f t="shared" si="542"/>
        <v>0</v>
      </c>
      <c r="AX112" s="44">
        <f t="shared" si="542"/>
        <v>0</v>
      </c>
      <c r="AY112" s="44">
        <f t="shared" si="542"/>
        <v>0</v>
      </c>
      <c r="AZ112" s="44">
        <f t="shared" si="542"/>
        <v>0</v>
      </c>
      <c r="BA112" s="296">
        <f t="shared" si="542"/>
        <v>0</v>
      </c>
    </row>
    <row r="113" spans="2:53">
      <c r="B113" s="494"/>
      <c r="C113" s="495"/>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296"/>
    </row>
    <row r="114" spans="2:53">
      <c r="B114" s="457" t="s">
        <v>44</v>
      </c>
      <c r="C114" s="458"/>
      <c r="D114" s="4">
        <f>D45+D62+D79+D96</f>
        <v>3120</v>
      </c>
      <c r="E114" s="4">
        <f t="shared" ref="E114:BA114" si="543">E45+E62+E79+E96</f>
        <v>3229.2</v>
      </c>
      <c r="F114" s="4">
        <f t="shared" si="543"/>
        <v>3342.2219999999998</v>
      </c>
      <c r="G114" s="4">
        <f t="shared" si="543"/>
        <v>3459.1997699999993</v>
      </c>
      <c r="H114" s="4">
        <f t="shared" si="543"/>
        <v>3580.2717619499995</v>
      </c>
      <c r="I114" s="4">
        <f t="shared" si="543"/>
        <v>3705.5812736182497</v>
      </c>
      <c r="J114" s="4">
        <f t="shared" si="543"/>
        <v>3835.2766181948887</v>
      </c>
      <c r="K114" s="4">
        <f t="shared" si="543"/>
        <v>3969.5112998317095</v>
      </c>
      <c r="L114" s="4">
        <f t="shared" si="543"/>
        <v>4108.4441953258192</v>
      </c>
      <c r="M114" s="4">
        <f t="shared" si="543"/>
        <v>4252.2397421622227</v>
      </c>
      <c r="N114" s="4">
        <f t="shared" si="543"/>
        <v>4401.0681331379001</v>
      </c>
      <c r="O114" s="4">
        <f t="shared" si="543"/>
        <v>4555.1055177977269</v>
      </c>
      <c r="P114" s="4">
        <f t="shared" si="543"/>
        <v>4714.5342109206476</v>
      </c>
      <c r="Q114" s="4">
        <f t="shared" si="543"/>
        <v>4879.5429083028703</v>
      </c>
      <c r="R114" s="4">
        <f t="shared" si="543"/>
        <v>5050.3269100934704</v>
      </c>
      <c r="S114" s="4">
        <f t="shared" si="543"/>
        <v>5227.0883519467425</v>
      </c>
      <c r="T114" s="4">
        <f t="shared" si="543"/>
        <v>5410.0364442648779</v>
      </c>
      <c r="U114" s="4">
        <f t="shared" si="543"/>
        <v>5599.387719814149</v>
      </c>
      <c r="V114" s="4">
        <f t="shared" si="543"/>
        <v>5795.3662900076442</v>
      </c>
      <c r="W114" s="4">
        <f t="shared" si="543"/>
        <v>5998.2041101579116</v>
      </c>
      <c r="X114" s="4">
        <f t="shared" si="543"/>
        <v>6208.1412540134388</v>
      </c>
      <c r="Y114" s="4">
        <f t="shared" si="543"/>
        <v>6425.4261979039093</v>
      </c>
      <c r="Z114" s="4">
        <f t="shared" si="543"/>
        <v>3133.8252905558293</v>
      </c>
      <c r="AA114" s="4">
        <f t="shared" si="543"/>
        <v>0</v>
      </c>
      <c r="AB114" s="4">
        <f t="shared" si="543"/>
        <v>0</v>
      </c>
      <c r="AC114" s="4">
        <f t="shared" si="543"/>
        <v>0</v>
      </c>
      <c r="AD114" s="4">
        <f t="shared" si="543"/>
        <v>0</v>
      </c>
      <c r="AE114" s="4">
        <f t="shared" si="543"/>
        <v>0</v>
      </c>
      <c r="AF114" s="4">
        <f t="shared" si="543"/>
        <v>0</v>
      </c>
      <c r="AG114" s="4">
        <f t="shared" si="543"/>
        <v>0</v>
      </c>
      <c r="AH114" s="4">
        <f t="shared" si="543"/>
        <v>0</v>
      </c>
      <c r="AI114" s="4">
        <f t="shared" si="543"/>
        <v>0</v>
      </c>
      <c r="AJ114" s="4">
        <f t="shared" si="543"/>
        <v>0</v>
      </c>
      <c r="AK114" s="4">
        <f t="shared" si="543"/>
        <v>0</v>
      </c>
      <c r="AL114" s="4">
        <f t="shared" si="543"/>
        <v>0</v>
      </c>
      <c r="AM114" s="4">
        <f t="shared" si="543"/>
        <v>0</v>
      </c>
      <c r="AN114" s="4">
        <f t="shared" si="543"/>
        <v>0</v>
      </c>
      <c r="AO114" s="4">
        <f t="shared" si="543"/>
        <v>0</v>
      </c>
      <c r="AP114" s="4">
        <f t="shared" si="543"/>
        <v>0</v>
      </c>
      <c r="AQ114" s="4">
        <f t="shared" si="543"/>
        <v>0</v>
      </c>
      <c r="AR114" s="4">
        <f t="shared" si="543"/>
        <v>0</v>
      </c>
      <c r="AS114" s="4">
        <f t="shared" si="543"/>
        <v>0</v>
      </c>
      <c r="AT114" s="4">
        <f t="shared" si="543"/>
        <v>0</v>
      </c>
      <c r="AU114" s="4">
        <f t="shared" si="543"/>
        <v>0</v>
      </c>
      <c r="AV114" s="4">
        <f t="shared" si="543"/>
        <v>0</v>
      </c>
      <c r="AW114" s="4">
        <f t="shared" si="543"/>
        <v>0</v>
      </c>
      <c r="AX114" s="4">
        <f t="shared" si="543"/>
        <v>0</v>
      </c>
      <c r="AY114" s="4">
        <f t="shared" si="543"/>
        <v>0</v>
      </c>
      <c r="AZ114" s="4">
        <f t="shared" si="543"/>
        <v>0</v>
      </c>
      <c r="BA114" s="295">
        <f t="shared" si="543"/>
        <v>0</v>
      </c>
    </row>
    <row r="115" spans="2:53">
      <c r="B115" s="500" t="s">
        <v>56</v>
      </c>
      <c r="C115" s="501"/>
      <c r="D115" s="39">
        <f>IF(D106&gt;0,D114/D106,)</f>
        <v>0.03</v>
      </c>
      <c r="E115" s="39">
        <f t="shared" ref="E115:BA115" si="544">IF(E106&gt;0,E114/E106,)</f>
        <v>3.2010309278350517E-2</v>
      </c>
      <c r="F115" s="39">
        <f t="shared" si="544"/>
        <v>3.4226263379306669E-2</v>
      </c>
      <c r="G115" s="39">
        <f t="shared" si="544"/>
        <v>3.6679587831342328E-2</v>
      </c>
      <c r="H115" s="39">
        <f t="shared" si="544"/>
        <v>3.9408874685811918E-2</v>
      </c>
      <c r="I115" s="39">
        <f t="shared" si="544"/>
        <v>4.246154708797089E-2</v>
      </c>
      <c r="J115" s="39">
        <f t="shared" si="544"/>
        <v>4.5896539300743291E-2</v>
      </c>
      <c r="K115" s="39">
        <f t="shared" si="544"/>
        <v>4.9788015800146766E-2</v>
      </c>
      <c r="L115" s="39">
        <f t="shared" si="544"/>
        <v>5.4230631911619552E-2</v>
      </c>
      <c r="M115" s="39">
        <f t="shared" si="544"/>
        <v>5.9347136757003857E-2</v>
      </c>
      <c r="N115" s="39">
        <f t="shared" si="544"/>
        <v>6.5299632780293174E-2</v>
      </c>
      <c r="O115" s="39">
        <f t="shared" si="544"/>
        <v>7.2306722344228164E-2</v>
      </c>
      <c r="P115" s="39">
        <f t="shared" si="544"/>
        <v>8.067047528401429E-2</v>
      </c>
      <c r="Q115" s="39">
        <f t="shared" si="544"/>
        <v>9.0820472609915465E-2</v>
      </c>
      <c r="R115" s="39">
        <f t="shared" si="544"/>
        <v>0.10338902969042774</v>
      </c>
      <c r="S115" s="39">
        <f t="shared" si="544"/>
        <v>0.11934679506837427</v>
      </c>
      <c r="T115" s="39">
        <f t="shared" si="544"/>
        <v>0.14026399064244341</v>
      </c>
      <c r="U115" s="39">
        <f t="shared" si="544"/>
        <v>0.16885791537731518</v>
      </c>
      <c r="V115" s="39">
        <f t="shared" si="544"/>
        <v>0.2102744472322815</v>
      </c>
      <c r="W115" s="39">
        <f t="shared" si="544"/>
        <v>0.27558188046806681</v>
      </c>
      <c r="X115" s="39">
        <f t="shared" si="544"/>
        <v>0.39373289899035441</v>
      </c>
      <c r="Y115" s="39">
        <f t="shared" si="544"/>
        <v>0.6721683392952793</v>
      </c>
      <c r="Z115" s="39">
        <f t="shared" si="544"/>
        <v>1</v>
      </c>
      <c r="AA115" s="39">
        <f t="shared" si="544"/>
        <v>0</v>
      </c>
      <c r="AB115" s="39">
        <f t="shared" si="544"/>
        <v>0</v>
      </c>
      <c r="AC115" s="39">
        <f t="shared" si="544"/>
        <v>0</v>
      </c>
      <c r="AD115" s="39">
        <f t="shared" si="544"/>
        <v>0</v>
      </c>
      <c r="AE115" s="39">
        <f t="shared" si="544"/>
        <v>0</v>
      </c>
      <c r="AF115" s="39">
        <f t="shared" si="544"/>
        <v>0</v>
      </c>
      <c r="AG115" s="39">
        <f t="shared" si="544"/>
        <v>0</v>
      </c>
      <c r="AH115" s="39">
        <f t="shared" si="544"/>
        <v>0</v>
      </c>
      <c r="AI115" s="39">
        <f t="shared" si="544"/>
        <v>0</v>
      </c>
      <c r="AJ115" s="39">
        <f t="shared" si="544"/>
        <v>0</v>
      </c>
      <c r="AK115" s="39">
        <f t="shared" si="544"/>
        <v>0</v>
      </c>
      <c r="AL115" s="39">
        <f t="shared" si="544"/>
        <v>0</v>
      </c>
      <c r="AM115" s="39">
        <f t="shared" si="544"/>
        <v>0</v>
      </c>
      <c r="AN115" s="39">
        <f t="shared" si="544"/>
        <v>0</v>
      </c>
      <c r="AO115" s="39">
        <f t="shared" si="544"/>
        <v>0</v>
      </c>
      <c r="AP115" s="39">
        <f t="shared" si="544"/>
        <v>0</v>
      </c>
      <c r="AQ115" s="39">
        <f t="shared" si="544"/>
        <v>0</v>
      </c>
      <c r="AR115" s="39">
        <f t="shared" si="544"/>
        <v>0</v>
      </c>
      <c r="AS115" s="39">
        <f t="shared" si="544"/>
        <v>0</v>
      </c>
      <c r="AT115" s="39">
        <f t="shared" si="544"/>
        <v>0</v>
      </c>
      <c r="AU115" s="39">
        <f t="shared" si="544"/>
        <v>0</v>
      </c>
      <c r="AV115" s="39">
        <f t="shared" si="544"/>
        <v>0</v>
      </c>
      <c r="AW115" s="39">
        <f t="shared" si="544"/>
        <v>0</v>
      </c>
      <c r="AX115" s="39">
        <f t="shared" si="544"/>
        <v>0</v>
      </c>
      <c r="AY115" s="39">
        <f t="shared" si="544"/>
        <v>0</v>
      </c>
      <c r="AZ115" s="39">
        <f t="shared" si="544"/>
        <v>0</v>
      </c>
      <c r="BA115" s="297">
        <f t="shared" si="544"/>
        <v>0</v>
      </c>
    </row>
    <row r="116" spans="2:53">
      <c r="B116" s="500"/>
      <c r="C116" s="501"/>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297"/>
    </row>
    <row r="117" spans="2:53">
      <c r="B117" s="457" t="s">
        <v>45</v>
      </c>
      <c r="C117" s="458"/>
      <c r="D117" s="4">
        <f>D48+D65+D82+D99</f>
        <v>6760</v>
      </c>
      <c r="E117" s="4">
        <f t="shared" ref="E117:BA117" si="545">E48+E65+E82+E99</f>
        <v>6760</v>
      </c>
      <c r="F117" s="4">
        <f t="shared" si="545"/>
        <v>6760</v>
      </c>
      <c r="G117" s="4">
        <f t="shared" si="545"/>
        <v>6760</v>
      </c>
      <c r="H117" s="4">
        <f t="shared" si="545"/>
        <v>6760</v>
      </c>
      <c r="I117" s="4">
        <f t="shared" si="545"/>
        <v>6760</v>
      </c>
      <c r="J117" s="4">
        <f t="shared" si="545"/>
        <v>6760</v>
      </c>
      <c r="K117" s="4">
        <f t="shared" si="545"/>
        <v>6760</v>
      </c>
      <c r="L117" s="4">
        <f t="shared" si="545"/>
        <v>6760</v>
      </c>
      <c r="M117" s="4">
        <f t="shared" si="545"/>
        <v>6760</v>
      </c>
      <c r="N117" s="4">
        <f t="shared" si="545"/>
        <v>6760</v>
      </c>
      <c r="O117" s="4">
        <f t="shared" si="545"/>
        <v>6760</v>
      </c>
      <c r="P117" s="4">
        <f t="shared" si="545"/>
        <v>6760</v>
      </c>
      <c r="Q117" s="4">
        <f t="shared" si="545"/>
        <v>6760</v>
      </c>
      <c r="R117" s="4">
        <f t="shared" si="545"/>
        <v>6760</v>
      </c>
      <c r="S117" s="4">
        <f t="shared" si="545"/>
        <v>6760</v>
      </c>
      <c r="T117" s="4">
        <f t="shared" si="545"/>
        <v>6760</v>
      </c>
      <c r="U117" s="4">
        <f t="shared" si="545"/>
        <v>6760</v>
      </c>
      <c r="V117" s="4">
        <f t="shared" si="545"/>
        <v>6760</v>
      </c>
      <c r="W117" s="4">
        <f t="shared" si="545"/>
        <v>6760</v>
      </c>
      <c r="X117" s="4">
        <f t="shared" si="545"/>
        <v>6760</v>
      </c>
      <c r="Y117" s="4">
        <f t="shared" si="545"/>
        <v>6760</v>
      </c>
      <c r="Z117" s="4">
        <f t="shared" si="545"/>
        <v>3243.5091757252835</v>
      </c>
      <c r="AA117" s="4">
        <f t="shared" si="545"/>
        <v>0</v>
      </c>
      <c r="AB117" s="4">
        <f t="shared" si="545"/>
        <v>0</v>
      </c>
      <c r="AC117" s="4">
        <f t="shared" si="545"/>
        <v>0</v>
      </c>
      <c r="AD117" s="4">
        <f t="shared" si="545"/>
        <v>0</v>
      </c>
      <c r="AE117" s="4">
        <f t="shared" si="545"/>
        <v>0</v>
      </c>
      <c r="AF117" s="4">
        <f t="shared" si="545"/>
        <v>0</v>
      </c>
      <c r="AG117" s="4">
        <f t="shared" si="545"/>
        <v>0</v>
      </c>
      <c r="AH117" s="4">
        <f t="shared" si="545"/>
        <v>0</v>
      </c>
      <c r="AI117" s="4">
        <f t="shared" si="545"/>
        <v>0</v>
      </c>
      <c r="AJ117" s="4">
        <f t="shared" si="545"/>
        <v>0</v>
      </c>
      <c r="AK117" s="4">
        <f t="shared" si="545"/>
        <v>0</v>
      </c>
      <c r="AL117" s="4">
        <f t="shared" si="545"/>
        <v>0</v>
      </c>
      <c r="AM117" s="4">
        <f t="shared" si="545"/>
        <v>0</v>
      </c>
      <c r="AN117" s="4">
        <f t="shared" si="545"/>
        <v>0</v>
      </c>
      <c r="AO117" s="4">
        <f t="shared" si="545"/>
        <v>0</v>
      </c>
      <c r="AP117" s="4">
        <f t="shared" si="545"/>
        <v>0</v>
      </c>
      <c r="AQ117" s="4">
        <f t="shared" si="545"/>
        <v>0</v>
      </c>
      <c r="AR117" s="4">
        <f t="shared" si="545"/>
        <v>0</v>
      </c>
      <c r="AS117" s="4">
        <f t="shared" si="545"/>
        <v>0</v>
      </c>
      <c r="AT117" s="4">
        <f t="shared" si="545"/>
        <v>0</v>
      </c>
      <c r="AU117" s="4">
        <f t="shared" si="545"/>
        <v>0</v>
      </c>
      <c r="AV117" s="4">
        <f t="shared" si="545"/>
        <v>0</v>
      </c>
      <c r="AW117" s="4">
        <f t="shared" si="545"/>
        <v>0</v>
      </c>
      <c r="AX117" s="4">
        <f t="shared" si="545"/>
        <v>0</v>
      </c>
      <c r="AY117" s="4">
        <f t="shared" si="545"/>
        <v>0</v>
      </c>
      <c r="AZ117" s="4">
        <f t="shared" si="545"/>
        <v>0</v>
      </c>
      <c r="BA117" s="295">
        <f t="shared" si="545"/>
        <v>0</v>
      </c>
    </row>
    <row r="118" spans="2:53">
      <c r="B118" s="457" t="s">
        <v>47</v>
      </c>
      <c r="C118" s="458"/>
      <c r="D118" s="4">
        <f>D50+D67+D84+D101</f>
        <v>100880</v>
      </c>
      <c r="E118" s="4">
        <f t="shared" ref="E118:BA118" si="546">E50+E67+E84+E101</f>
        <v>97650.8</v>
      </c>
      <c r="F118" s="4">
        <f t="shared" si="546"/>
        <v>94308.578000000009</v>
      </c>
      <c r="G118" s="4">
        <f t="shared" si="546"/>
        <v>90849.378230000002</v>
      </c>
      <c r="H118" s="4">
        <f t="shared" si="546"/>
        <v>87269.106468049999</v>
      </c>
      <c r="I118" s="4">
        <f t="shared" si="546"/>
        <v>83563.525194431742</v>
      </c>
      <c r="J118" s="4">
        <f t="shared" si="546"/>
        <v>79728.24857623686</v>
      </c>
      <c r="K118" s="4">
        <f t="shared" si="546"/>
        <v>75758.737276405154</v>
      </c>
      <c r="L118" s="4">
        <f t="shared" si="546"/>
        <v>71650.293081079333</v>
      </c>
      <c r="M118" s="4">
        <f t="shared" si="546"/>
        <v>67398.053338917118</v>
      </c>
      <c r="N118" s="4">
        <f t="shared" si="546"/>
        <v>62996.985205779216</v>
      </c>
      <c r="O118" s="4">
        <f t="shared" si="546"/>
        <v>58441.879687981491</v>
      </c>
      <c r="P118" s="4">
        <f t="shared" si="546"/>
        <v>53727.345477060844</v>
      </c>
      <c r="Q118" s="4">
        <f t="shared" si="546"/>
        <v>48847.802568757972</v>
      </c>
      <c r="R118" s="4">
        <f t="shared" si="546"/>
        <v>43797.475658664502</v>
      </c>
      <c r="S118" s="4">
        <f t="shared" si="546"/>
        <v>38570.387306717763</v>
      </c>
      <c r="T118" s="4">
        <f t="shared" si="546"/>
        <v>33160.350862452884</v>
      </c>
      <c r="U118" s="4">
        <f t="shared" si="546"/>
        <v>27560.963142638735</v>
      </c>
      <c r="V118" s="4">
        <f t="shared" si="546"/>
        <v>21765.59685263109</v>
      </c>
      <c r="W118" s="4">
        <f t="shared" si="546"/>
        <v>15767.392742473177</v>
      </c>
      <c r="X118" s="4">
        <f t="shared" si="546"/>
        <v>9559.2514884597385</v>
      </c>
      <c r="Y118" s="4">
        <f t="shared" si="546"/>
        <v>3133.8252905558293</v>
      </c>
      <c r="Z118" s="4">
        <f t="shared" si="546"/>
        <v>0</v>
      </c>
      <c r="AA118" s="4">
        <f t="shared" si="546"/>
        <v>0</v>
      </c>
      <c r="AB118" s="4">
        <f t="shared" si="546"/>
        <v>0</v>
      </c>
      <c r="AC118" s="4">
        <f t="shared" si="546"/>
        <v>0</v>
      </c>
      <c r="AD118" s="4">
        <f t="shared" si="546"/>
        <v>0</v>
      </c>
      <c r="AE118" s="4">
        <f t="shared" si="546"/>
        <v>0</v>
      </c>
      <c r="AF118" s="4">
        <f t="shared" si="546"/>
        <v>0</v>
      </c>
      <c r="AG118" s="4">
        <f t="shared" si="546"/>
        <v>0</v>
      </c>
      <c r="AH118" s="4">
        <f t="shared" si="546"/>
        <v>0</v>
      </c>
      <c r="AI118" s="4">
        <f t="shared" si="546"/>
        <v>0</v>
      </c>
      <c r="AJ118" s="4">
        <f t="shared" si="546"/>
        <v>0</v>
      </c>
      <c r="AK118" s="4">
        <f t="shared" si="546"/>
        <v>0</v>
      </c>
      <c r="AL118" s="4">
        <f t="shared" si="546"/>
        <v>0</v>
      </c>
      <c r="AM118" s="4">
        <f t="shared" si="546"/>
        <v>0</v>
      </c>
      <c r="AN118" s="4">
        <f t="shared" si="546"/>
        <v>0</v>
      </c>
      <c r="AO118" s="4">
        <f t="shared" si="546"/>
        <v>0</v>
      </c>
      <c r="AP118" s="4">
        <f t="shared" si="546"/>
        <v>0</v>
      </c>
      <c r="AQ118" s="4">
        <f t="shared" si="546"/>
        <v>0</v>
      </c>
      <c r="AR118" s="4">
        <f t="shared" si="546"/>
        <v>0</v>
      </c>
      <c r="AS118" s="4">
        <f t="shared" si="546"/>
        <v>0</v>
      </c>
      <c r="AT118" s="4">
        <f t="shared" si="546"/>
        <v>0</v>
      </c>
      <c r="AU118" s="4">
        <f t="shared" si="546"/>
        <v>0</v>
      </c>
      <c r="AV118" s="4">
        <f t="shared" si="546"/>
        <v>0</v>
      </c>
      <c r="AW118" s="4">
        <f t="shared" si="546"/>
        <v>0</v>
      </c>
      <c r="AX118" s="4">
        <f t="shared" si="546"/>
        <v>0</v>
      </c>
      <c r="AY118" s="4">
        <f t="shared" si="546"/>
        <v>0</v>
      </c>
      <c r="AZ118" s="4">
        <f t="shared" si="546"/>
        <v>0</v>
      </c>
      <c r="BA118" s="295">
        <f t="shared" si="546"/>
        <v>0</v>
      </c>
    </row>
    <row r="119" spans="2:53" ht="15.75" thickBot="1">
      <c r="B119" s="448" t="s">
        <v>24</v>
      </c>
      <c r="C119" s="449"/>
      <c r="D119" s="298">
        <f>D51+D68+D85+D102</f>
        <v>563.33333333333337</v>
      </c>
      <c r="E119" s="298">
        <f t="shared" ref="E119:BA119" si="547">E51+E68+E85+E102</f>
        <v>563.33333333333337</v>
      </c>
      <c r="F119" s="298">
        <f t="shared" si="547"/>
        <v>563.33333333333337</v>
      </c>
      <c r="G119" s="298">
        <f t="shared" si="547"/>
        <v>563.33333333333337</v>
      </c>
      <c r="H119" s="298">
        <f t="shared" si="547"/>
        <v>563.33333333333337</v>
      </c>
      <c r="I119" s="298">
        <f t="shared" si="547"/>
        <v>563.33333333333337</v>
      </c>
      <c r="J119" s="298">
        <f t="shared" si="547"/>
        <v>563.33333333333337</v>
      </c>
      <c r="K119" s="298">
        <f t="shared" si="547"/>
        <v>563.33333333333337</v>
      </c>
      <c r="L119" s="298">
        <f t="shared" si="547"/>
        <v>563.33333333333337</v>
      </c>
      <c r="M119" s="298">
        <f t="shared" si="547"/>
        <v>563.33333333333337</v>
      </c>
      <c r="N119" s="298">
        <f t="shared" si="547"/>
        <v>563.33333333333337</v>
      </c>
      <c r="O119" s="298">
        <f t="shared" si="547"/>
        <v>563.33333333333337</v>
      </c>
      <c r="P119" s="298">
        <f t="shared" si="547"/>
        <v>563.33333333333337</v>
      </c>
      <c r="Q119" s="298">
        <f t="shared" si="547"/>
        <v>563.33333333333337</v>
      </c>
      <c r="R119" s="298">
        <f t="shared" si="547"/>
        <v>563.33333333333337</v>
      </c>
      <c r="S119" s="298">
        <f t="shared" si="547"/>
        <v>563.33333333333337</v>
      </c>
      <c r="T119" s="298">
        <f t="shared" si="547"/>
        <v>563.33333333333337</v>
      </c>
      <c r="U119" s="298">
        <f t="shared" si="547"/>
        <v>563.33333333333337</v>
      </c>
      <c r="V119" s="298">
        <f t="shared" si="547"/>
        <v>563.33333333333337</v>
      </c>
      <c r="W119" s="298">
        <f t="shared" si="547"/>
        <v>563.33333333333337</v>
      </c>
      <c r="X119" s="298">
        <f t="shared" si="547"/>
        <v>563.33333333333337</v>
      </c>
      <c r="Y119" s="298">
        <f t="shared" si="547"/>
        <v>563.33333333333337</v>
      </c>
      <c r="Z119" s="298">
        <f t="shared" si="547"/>
        <v>270.29243131044029</v>
      </c>
      <c r="AA119" s="298">
        <f t="shared" si="547"/>
        <v>0</v>
      </c>
      <c r="AB119" s="298">
        <f t="shared" si="547"/>
        <v>0</v>
      </c>
      <c r="AC119" s="298">
        <f t="shared" si="547"/>
        <v>0</v>
      </c>
      <c r="AD119" s="298">
        <f t="shared" si="547"/>
        <v>0</v>
      </c>
      <c r="AE119" s="298">
        <f t="shared" si="547"/>
        <v>0</v>
      </c>
      <c r="AF119" s="298">
        <f t="shared" si="547"/>
        <v>0</v>
      </c>
      <c r="AG119" s="298">
        <f t="shared" si="547"/>
        <v>0</v>
      </c>
      <c r="AH119" s="298">
        <f t="shared" si="547"/>
        <v>0</v>
      </c>
      <c r="AI119" s="298">
        <f t="shared" si="547"/>
        <v>0</v>
      </c>
      <c r="AJ119" s="298">
        <f t="shared" si="547"/>
        <v>0</v>
      </c>
      <c r="AK119" s="298">
        <f t="shared" si="547"/>
        <v>0</v>
      </c>
      <c r="AL119" s="298">
        <f t="shared" si="547"/>
        <v>0</v>
      </c>
      <c r="AM119" s="298">
        <f t="shared" si="547"/>
        <v>0</v>
      </c>
      <c r="AN119" s="298">
        <f t="shared" si="547"/>
        <v>0</v>
      </c>
      <c r="AO119" s="298">
        <f t="shared" si="547"/>
        <v>0</v>
      </c>
      <c r="AP119" s="298">
        <f t="shared" si="547"/>
        <v>0</v>
      </c>
      <c r="AQ119" s="298">
        <f t="shared" si="547"/>
        <v>0</v>
      </c>
      <c r="AR119" s="298">
        <f t="shared" si="547"/>
        <v>0</v>
      </c>
      <c r="AS119" s="298">
        <f t="shared" si="547"/>
        <v>0</v>
      </c>
      <c r="AT119" s="298">
        <f t="shared" si="547"/>
        <v>0</v>
      </c>
      <c r="AU119" s="298">
        <f t="shared" si="547"/>
        <v>0</v>
      </c>
      <c r="AV119" s="298">
        <f t="shared" si="547"/>
        <v>0</v>
      </c>
      <c r="AW119" s="298">
        <f t="shared" si="547"/>
        <v>0</v>
      </c>
      <c r="AX119" s="298">
        <f t="shared" si="547"/>
        <v>0</v>
      </c>
      <c r="AY119" s="298">
        <f t="shared" si="547"/>
        <v>0</v>
      </c>
      <c r="AZ119" s="298">
        <f t="shared" si="547"/>
        <v>0</v>
      </c>
      <c r="BA119" s="299">
        <f t="shared" si="547"/>
        <v>0</v>
      </c>
    </row>
    <row r="120" spans="2:53">
      <c r="I120" s="6"/>
      <c r="J120" s="6"/>
      <c r="K120" s="6"/>
      <c r="L120" s="6"/>
    </row>
    <row r="121" spans="2:53">
      <c r="B121" s="135" t="s">
        <v>372</v>
      </c>
      <c r="C121" s="45"/>
      <c r="I121" s="6"/>
      <c r="J121" s="6"/>
      <c r="K121" s="6"/>
      <c r="L121" s="6"/>
    </row>
    <row r="122" spans="2:53">
      <c r="I122" s="6"/>
      <c r="J122" s="6"/>
      <c r="K122" s="6"/>
      <c r="L122" s="6"/>
    </row>
    <row r="123" spans="2:53">
      <c r="I123" s="6"/>
      <c r="J123" s="6"/>
      <c r="K123" s="6"/>
      <c r="L123" s="6"/>
    </row>
    <row r="124" spans="2:53">
      <c r="I124" s="6"/>
      <c r="J124" s="6"/>
      <c r="K124" s="6"/>
      <c r="L124" s="6"/>
    </row>
    <row r="125" spans="2:53">
      <c r="I125" s="6"/>
      <c r="J125" s="6"/>
      <c r="K125" s="6"/>
      <c r="L125" s="6"/>
    </row>
    <row r="126" spans="2:53">
      <c r="I126" s="6"/>
      <c r="J126" s="6"/>
      <c r="K126" s="6"/>
      <c r="L126" s="6"/>
    </row>
    <row r="127" spans="2:53">
      <c r="I127" s="6"/>
      <c r="J127" s="6"/>
      <c r="K127" s="6"/>
      <c r="L127" s="6"/>
    </row>
    <row r="128" spans="2:53">
      <c r="I128" s="6"/>
      <c r="J128" s="6"/>
      <c r="K128" s="6"/>
      <c r="L128" s="6"/>
    </row>
    <row r="129" spans="9:14">
      <c r="I129" s="6"/>
      <c r="J129" s="6"/>
      <c r="K129" s="6"/>
      <c r="L129" s="6"/>
    </row>
    <row r="130" spans="9:14">
      <c r="I130" s="6"/>
      <c r="J130" s="6"/>
      <c r="K130" s="6"/>
      <c r="L130" s="6"/>
    </row>
    <row r="131" spans="9:14">
      <c r="I131" s="6"/>
      <c r="J131" s="6"/>
      <c r="K131" s="6"/>
      <c r="L131" s="6"/>
    </row>
    <row r="133" spans="9:14" ht="18">
      <c r="N133" s="46"/>
    </row>
  </sheetData>
  <sheetProtection algorithmName="SHA-512" hashValue="vQgXH2ohwp287YUb82Gl/Ri431ABM3XG6vWweXOOo2Anoo72mXv0sOD0fdi1j9/o9XLsm80gWlYCfCGNLuGgTA==" saltValue="bCa5T6uv1QO1kKIij4Uw2A==" spinCount="100000" sheet="1" formatCells="0" formatColumns="0"/>
  <mergeCells count="81">
    <mergeCell ref="B55:C55"/>
    <mergeCell ref="B72:C72"/>
    <mergeCell ref="B101:C101"/>
    <mergeCell ref="B102:C102"/>
    <mergeCell ref="B107:C107"/>
    <mergeCell ref="B95:C95"/>
    <mergeCell ref="B79:C79"/>
    <mergeCell ref="B80:C80"/>
    <mergeCell ref="B90:C90"/>
    <mergeCell ref="B82:C82"/>
    <mergeCell ref="B83:C83"/>
    <mergeCell ref="B93:C93"/>
    <mergeCell ref="B89:C89"/>
    <mergeCell ref="B56:C56"/>
    <mergeCell ref="B73:C73"/>
    <mergeCell ref="B58:C58"/>
    <mergeCell ref="B99:C99"/>
    <mergeCell ref="B100:C100"/>
    <mergeCell ref="B67:C67"/>
    <mergeCell ref="B68:C68"/>
    <mergeCell ref="B84:C84"/>
    <mergeCell ref="B85:C85"/>
    <mergeCell ref="B96:C96"/>
    <mergeCell ref="B97:C97"/>
    <mergeCell ref="B75:C75"/>
    <mergeCell ref="B63:C63"/>
    <mergeCell ref="B65:C65"/>
    <mergeCell ref="B66:C66"/>
    <mergeCell ref="B92:C92"/>
    <mergeCell ref="B76:C76"/>
    <mergeCell ref="B78:C78"/>
    <mergeCell ref="B28:C28"/>
    <mergeCell ref="B118:C118"/>
    <mergeCell ref="B119:C119"/>
    <mergeCell ref="B106:C106"/>
    <mergeCell ref="B110:C110"/>
    <mergeCell ref="B111:C111"/>
    <mergeCell ref="B112:C112"/>
    <mergeCell ref="B114:C114"/>
    <mergeCell ref="B116:C116"/>
    <mergeCell ref="B113:C113"/>
    <mergeCell ref="B59:C59"/>
    <mergeCell ref="B61:C61"/>
    <mergeCell ref="B115:C115"/>
    <mergeCell ref="B117:C117"/>
    <mergeCell ref="B108:C108"/>
    <mergeCell ref="B62:C62"/>
    <mergeCell ref="B24:C24"/>
    <mergeCell ref="E1:I3"/>
    <mergeCell ref="B10:C10"/>
    <mergeCell ref="B12:C12"/>
    <mergeCell ref="B51:C51"/>
    <mergeCell ref="B46:C46"/>
    <mergeCell ref="B47:C47"/>
    <mergeCell ref="B43:C43"/>
    <mergeCell ref="B40:C40"/>
    <mergeCell ref="B44:C44"/>
    <mergeCell ref="B45:C45"/>
    <mergeCell ref="B48:C48"/>
    <mergeCell ref="B49:C49"/>
    <mergeCell ref="B50:C50"/>
    <mergeCell ref="B41:C41"/>
    <mergeCell ref="B42:C42"/>
    <mergeCell ref="T1:U3"/>
    <mergeCell ref="B19:C19"/>
    <mergeCell ref="B20:C20"/>
    <mergeCell ref="B18:C18"/>
    <mergeCell ref="P1:R3"/>
    <mergeCell ref="B17:C17"/>
    <mergeCell ref="B1:C3"/>
    <mergeCell ref="J1:O3"/>
    <mergeCell ref="B8:C8"/>
    <mergeCell ref="B9:C9"/>
    <mergeCell ref="B11:C11"/>
    <mergeCell ref="B32:C32"/>
    <mergeCell ref="B38:C38"/>
    <mergeCell ref="B39:C39"/>
    <mergeCell ref="B29:C29"/>
    <mergeCell ref="B30:C30"/>
    <mergeCell ref="B34:C34"/>
    <mergeCell ref="B31:C31"/>
  </mergeCells>
  <dataValidations count="50">
    <dataValidation allowBlank="1" showInputMessage="1" showErrorMessage="1" promptTitle="Wertentwicklung" prompt="In diesem Bereich ist die Wertentwicklung im Verlauf für einen Zeitraum von 50 Jahren ab Kauf abgebildet." sqref="B6" xr:uid="{00000000-0002-0000-0400-000000000000}"/>
    <dataValidation allowBlank="1" showInputMessage="1" showErrorMessage="1" promptTitle="Abschreibung regulär" prompt="In diesem Bereich ist die reguläre Abschreibung (ohne Denkmal-Abschreibung) im Verlauf für einen Zeitraum von 50 Jahren ab Kauf abgebildet." sqref="B14" xr:uid="{00000000-0002-0000-0400-000001000000}"/>
    <dataValidation allowBlank="1" showInputMessage="1" showErrorMessage="1" promptTitle="Abschreibung Denkmal" prompt="In diesem Bereich ist kannst du eine Denkmal-Abschreibung abbilden. Diese Sonderabschreibung gibt es in Österreich nicht, deshalb ausgeblendet." sqref="B22" xr:uid="{00000000-0002-0000-0400-000002000000}"/>
    <dataValidation allowBlank="1" showInputMessage="1" showErrorMessage="1" promptTitle="Darlehensverlauf" prompt="In diesem Bereich ist der Verlauf des Darlehens für einen Zeitraum von 50 Jahren ab Kauf abgebildet." sqref="B36 B53 B70 B87" xr:uid="{00000000-0002-0000-0400-000003000000}"/>
    <dataValidation allowBlank="1" showInputMessage="1" showErrorMessage="1" promptTitle="Summe Darlehensverlauf" prompt="In diesem Bereich ist der Verlauf der Summe aller Darlehen für einen Zeitraum von 50 Jahren ab Kauf abgebildet." sqref="B104" xr:uid="{00000000-0002-0000-0400-000004000000}"/>
    <dataValidation allowBlank="1" showInputMessage="1" showErrorMessage="1" promptTitle="Wert der Immobilie Jahresanfang" prompt="Der Wert der Immobilie am Jahresanfang entspricht dem Wert der Immobilie am Ende des Vorjahres." sqref="B8:C8 E8:BA8" xr:uid="{00000000-0002-0000-0400-000005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8" xr:uid="{00000000-0002-0000-0400-000006000000}"/>
    <dataValidation allowBlank="1" showInputMessage="1" showErrorMessage="1" promptTitle="Nettovermögen" prompt="Nach Abzug der Summe aller Darlehens-Restschulden ergibt sich dieses aufgebaute Nettovermögen." sqref="B9:BA9" xr:uid="{00000000-0002-0000-0400-000007000000}"/>
    <dataValidation allowBlank="1" showInputMessage="1" showErrorMessage="1" promptTitle="Wertentwicklung" prompt="Diese Wertsteigerung ergibt sich für das jeweilige Jahr aus dem auf dem Reiter &quot;Cockpit&quot; festgelegten Prozentsatz für die jährliche Wertsteigerung." sqref="B11:BA11" xr:uid="{00000000-0002-0000-0400-000008000000}"/>
    <dataValidation allowBlank="1" showInputMessage="1" showErrorMessage="1" promptTitle="Wert der Immobilie Jahresende" prompt="Dies ist der neue Wert der Immobilie am Jahresende." sqref="B12:BA12" xr:uid="{00000000-0002-0000-0400-000009000000}"/>
    <dataValidation allowBlank="1" showInputMessage="1" showErrorMessage="1" promptTitle="Basis für reguläre Abschreibung" prompt="Es ergibt sich diese um die Denkmal-AfA bereinigte Basis für die reguläre Abschreibung." sqref="C16" xr:uid="{00000000-0002-0000-0400-00000C000000}"/>
    <dataValidation allowBlank="1" showInputMessage="1" showErrorMessage="1" promptTitle="Abschreibungssatz pro Jahr" prompt="Der Abschreibungssatz pro Jahr wird auf dem Reiter &quot;Cockpit&quot; festgelegt und verändert sich im Zeitverlauf nicht (lineare Abschreibung)." sqref="B17:BA17" xr:uid="{00000000-0002-0000-0400-00000D000000}"/>
    <dataValidation allowBlank="1" showInputMessage="1" showErrorMessage="1" promptTitle="Abschreibung pro Jahr" prompt="Aus der Abschreibungsbasis und dem Abschreibungssatz ergibt sich diese Abschreibung pro Jahr." sqref="B18:BA18" xr:uid="{00000000-0002-0000-0400-00000E000000}"/>
    <dataValidation allowBlank="1" showInputMessage="1" showErrorMessage="1" promptTitle="Abschreibung pro Monat" prompt="Dies ist die sich ergebende monatliche Abschreibung." sqref="B19:BA19" xr:uid="{00000000-0002-0000-0400-00000F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0:BA20" xr:uid="{00000000-0002-0000-0400-000010000000}"/>
    <dataValidation allowBlank="1" showInputMessage="1" showErrorMessage="1" promptTitle="Abschreibung pro Monat" prompt="Die ermittelte Abschreibung entspricht dieser monatlichen Abschreibung." sqref="B24:BA24" xr:uid="{00000000-0002-0000-0400-000016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38:BA38 E55:BA55 E72:BA72 E89:BA89" xr:uid="{00000000-0002-0000-0400-000017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38:C38 B55:C55 B72:C72 B89:C89" xr:uid="{00000000-0002-0000-0400-000018000000}"/>
    <dataValidation allowBlank="1" showInputMessage="1" showErrorMessage="1" promptTitle="Gültiger Zinssatz" prompt="Dies ist der Zinssatz, mit dem tatsächlich gerechnet wird. Dies ist entweder der Zinssatz der Vorperiode oder der hierüber geänderte Zinssatz." sqref="B39:BA39 B56:BA56 B73:BA73 B90:BA90" xr:uid="{00000000-0002-0000-0400-000019000000}"/>
    <dataValidation allowBlank="1" showInputMessage="1" showErrorMessage="1" promptTitle="Restschuld Periodenbeginn" prompt="Die Restschuld am Periodenbeginn (= Jahresanfang) entspricht der Restschuld am Ende der Vorperiode (= Vorjahresende)." sqref="B41:BA41 B58:BA58 B75:BA75 B92:BA92" xr:uid="{00000000-0002-0000-0400-00001A000000}"/>
    <dataValidation allowBlank="1" showInputMessage="1" showErrorMessage="1" promptTitle="Zinsen" prompt="Diese Zinsen ergeben sich aus dem gültigen Zinssatz, der auf die Restschuld zu bezahlen ist." sqref="B42:BA42 B59:BA59 B76:BA76 B93:BA93" xr:uid="{00000000-0002-0000-0400-00001B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44:C44 E44:BA44 B61:C61 E61:BA61 B78:C78 E78:BA78 B95:C95 E95:BA95" xr:uid="{00000000-0002-0000-0400-00001C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45:BA45 B62:BA62 B79:BA79 B96:BA96" xr:uid="{00000000-0002-0000-0400-00001D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46:BA46 B63:BA63 B80:BA80 B97:BA97" xr:uid="{00000000-0002-0000-0400-00001E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48:BA48 B65:BA65 B82:BA82 B99:BA99" xr:uid="{00000000-0002-0000-0400-00001F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9:BA49 D66:BA66 D83:BA83 D100:BA100" xr:uid="{00000000-0002-0000-0400-000020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50:BA50 B67:BA67 B84:BA84 B101:BA101" xr:uid="{00000000-0002-0000-0400-000021000000}"/>
    <dataValidation allowBlank="1" showInputMessage="1" showErrorMessage="1" promptTitle="Kapitaldienst pro Monat" prompt="Dieser Kapitaldienst pro Monat ergibt sich aus der neu errechneten Annuität. Er wird in allen übrigen Berechnungen des Tools verwendet." sqref="B51:BA51 B68:BA68 B85:BA85 B102:BA102" xr:uid="{00000000-0002-0000-0400-000022000000}"/>
    <dataValidation allowBlank="1" showInputMessage="1" showErrorMessage="1" promptTitle="Restschuld am Periodenbeginn" prompt="Dies ist die Summe der Restschulden aller Darlehen am Perodenbeginn bzw. Jahresanfang." sqref="B106:BA106" xr:uid="{00000000-0002-0000-0400-000023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107:BA107" xr:uid="{00000000-0002-0000-0400-000024000000}"/>
    <dataValidation allowBlank="1" showInputMessage="1" showErrorMessage="1" promptTitle="Restschuld weitere Darlehen" prompt="Dieser Betrag der Restschuld am Periodenbeginn entfällt auf die Darlehen II - IV. Dieser Wert wird für die grafische Aufbereitung auf den anderen Tabellenblättern benötigt." sqref="B108:BA108" xr:uid="{00000000-0002-0000-0400-000025000000}"/>
    <dataValidation allowBlank="1" showInputMessage="1" showErrorMessage="1" promptTitle="Zinsen" prompt="Diese Zinsen fallen insgesamt für alle Darlehen an." sqref="B110:BA110" xr:uid="{00000000-0002-0000-0400-000026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111:BA111" xr:uid="{00000000-0002-0000-0400-000027000000}"/>
    <dataValidation allowBlank="1" showInputMessage="1" showErrorMessage="1" promptTitle="Gewichteter Zinssatz" prompt="Diesem gewichteten Zinssatz entsprechen die ZInszahlungen bezogen auf die aktuelle Darlehensrestschuld." sqref="B112:BA112" xr:uid="{00000000-0002-0000-0400-000028000000}"/>
    <dataValidation allowBlank="1" showInputMessage="1" showErrorMessage="1" promptTitle="Tilgung" prompt="Diese Tilgung fällt insgesamt für alle Darlehen an." sqref="B114:BA114" xr:uid="{00000000-0002-0000-0400-000029000000}"/>
    <dataValidation allowBlank="1" showInputMessage="1" showErrorMessage="1" promptTitle="Tilgung in % der Restschuld" prompt="Die Tilgung in der jeweiligen Periode entspricht diesem Prozentsatz der verblebenden Restschuld." sqref="B115:BA115" xr:uid="{00000000-0002-0000-0400-00002A000000}"/>
    <dataValidation allowBlank="1" showInputMessage="1" showErrorMessage="1" promptTitle="Annuität" prompt="Diese Annuität ergibt sich für alle Darlehen zusammen." sqref="B117:BA117" xr:uid="{00000000-0002-0000-0400-00002B000000}"/>
    <dataValidation allowBlank="1" showInputMessage="1" showErrorMessage="1" promptTitle="Restschuld am Periodenende" prompt="Diese Restschuld ergibt sich für alle Darlehen am Periodenende." sqref="B118:BA118" xr:uid="{00000000-0002-0000-0400-00002C000000}"/>
    <dataValidation allowBlank="1" showInputMessage="1" showErrorMessage="1" promptTitle="Kapitaldienst" prompt="Dieser monatliche Kapitaldienst ergibt sich insgesamt für alle Darlehen zusammen." sqref="B119:BA119" xr:uid="{00000000-0002-0000-0400-00002D000000}"/>
    <dataValidation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B10:D10" xr:uid="{DE37F8EC-DA4F-4253-BC58-818CA1D02C17}"/>
    <dataValidation type="decimal"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E10:BA10" xr:uid="{936034BC-4585-42FC-9709-B2C651D2066F}">
      <formula1>-1</formula1>
      <formula2>10000</formula2>
    </dataValidation>
    <dataValidation allowBlank="1" showInputMessage="1" showErrorMessage="1" promptTitle="Abschreibung Investitionen" prompt="In diesem Bereich siehst du den Abschreibungsverlauf für die anfänglichen Investitionen, die du auf dem Reiter &quot;Cockpit&quot; geplant hast." sqref="B26" xr:uid="{CCA05839-38EF-4B3D-B5BF-A833EDB7DA60}"/>
    <dataValidation allowBlank="1" showInputMessage="1" showErrorMessage="1" promptTitle="Abschreibung pro Monat" prompt="Dies ist die sich ergebende monatliche Abschreibung" sqref="B34:C34" xr:uid="{66A38DF9-31E4-43D7-92FB-C5BEBC5A4811}"/>
    <dataValidation allowBlank="1" showInputMessage="1" showErrorMessage="1" promptTitle="Jährliche Abschreibung" prompt="Dies ist die sich ergebende jährliche Abschreibung" sqref="B33" xr:uid="{7C6F515C-69E2-4F87-A36D-F8C4D24DD292}"/>
    <dataValidation allowBlank="1" showInputMessage="1" showErrorMessage="1" promptTitle="Sofort abzugsfähige Kosten" prompt="Die anfänglichen Investitionen, die du auf dem Reiter &quot;Cockpit&quot; geplant und als sofort abzugsfähig markiert hast. Ob die Investitionen steuerlich im Cashflow des ersten Jahres berücksichtigt wird, kannst du im Cockpit unter den Investitionen einstellen." sqref="B28:C28" xr:uid="{043EB721-97E8-4D04-84FB-8F5E42EB3486}"/>
    <dataValidation allowBlank="1" showInputMessage="1" showErrorMessage="1" promptTitle="Über 10 Jahre abzuschreibende K." prompt="Die anfänglichen Investitionen, die du auf dem Reiter &quot;Cockpit&quot; geplant und als über 10 Jahre abzuschreiben markiert hast." sqref="B29:C29" xr:uid="{6B0C7084-B3F6-4861-BC8D-6C104BAD9660}"/>
    <dataValidation allowBlank="1" showInputMessage="1" showErrorMessage="1" promptTitle="Über 15 Jahre abzuschreibende K." prompt="Die anfänglichen Investitionen, die du auf dem Reiter &quot;Cockpit&quot; geplant und als über 15 Jahre abzuschreiben markiert hast." sqref="B30:C30" xr:uid="{41854DF3-2DC4-4F2D-AF86-C2C03C56898C}"/>
    <dataValidation allowBlank="1" showInputMessage="1" showErrorMessage="1" promptTitle="Über 50 Jahre abzuschreibende K." prompt="Die anfänglichen Investitionen, die du auf dem Reiter &quot;Cockpit&quot; geplant und als über 50 Jahre abzuschreiben markiert hast." sqref="B31:C31" xr:uid="{7AF685E8-F9B1-4067-BC22-CEAC1C57E1B6}"/>
    <dataValidation allowBlank="1" showInputMessage="1" showErrorMessage="1" promptTitle="Über 67 Jahre abzuschreibende K." prompt="Die anfänglichen Investitionen, die du auf dem Reiter &quot;Cockpit&quot; geplant und als über 67 Jahre abzuschreiben markiert hast." sqref="B32:C32" xr:uid="{4C831671-9B03-4CEA-A3A6-37DB88411AAD}"/>
    <dataValidation allowBlank="1" showInputMessage="1" showErrorMessage="1" promptTitle="Basis für langfrist Abschreibung" prompt="Die Basis für die langfristige Abschreibung wird auf dem Reiter &quot;Cockpit&quot; ermittelt und bleibt unverändert. Sie wird im Laufe der Zeit in gleichen Teilen (linear) abgeschrieben." sqref="B16 D16:BA16" xr:uid="{576EA298-A125-4AB9-A1AB-79F177C381DB}"/>
  </dataValidations>
  <hyperlinks>
    <hyperlink ref="B1:B3" location="Rendite!A1" display="Zurück zum Cockpit" xr:uid="{00000000-0004-0000-0400-000000000000}"/>
    <hyperlink ref="K1:K3" location="Rendite!A1" display="Zurück zum Cockpit" xr:uid="{00000000-0004-0000-0400-000001000000}"/>
    <hyperlink ref="J1:O3" location="'Miete, Cashflow, Steuern'!A1" display="zu Miete, Cashflow und Steuer wechseln" xr:uid="{00000000-0004-0000-0400-000002000000}"/>
    <hyperlink ref="B1:C3" location="Cockpit!A1" display="zurück zum Cockpit" xr:uid="{00000000-0004-0000-0400-000003000000}"/>
    <hyperlink ref="B121" location="Deckblatt!A1" display="Keine Gewähr für die Richtigkeit der Angaben. Dieses Tool ersetzt keine fundierte Rechts-, Steuer- oder Finanzberatung. Mehr Details hier." xr:uid="{00000000-0004-0000-0400-000004000000}"/>
  </hyperlinks>
  <pageMargins left="0.23622047244094491" right="0.23622047244094491" top="0.74803149606299213" bottom="0.74803149606299213" header="0.31496062992125984" footer="0.31496062992125984"/>
  <pageSetup paperSize="9" scale="53" fitToWidth="0" fitToHeight="2" orientation="landscape" r:id="rId1"/>
  <rowBreaks count="1" manualBreakCount="1">
    <brk id="69" max="5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B1:AV33"/>
  <sheetViews>
    <sheetView showGridLines="0" showRowColHeaders="0" zoomScaleNormal="100" workbookViewId="0">
      <pane ySplit="4" topLeftCell="A5" activePane="bottomLeft" state="frozen"/>
      <selection pane="bottomLeft" activeCell="AK16" sqref="AK16"/>
    </sheetView>
  </sheetViews>
  <sheetFormatPr baseColWidth="10" defaultColWidth="9.140625" defaultRowHeight="12.75"/>
  <cols>
    <col min="1" max="1" width="3.42578125" style="5" customWidth="1"/>
    <col min="2" max="3" width="11.85546875" style="5" customWidth="1"/>
    <col min="4" max="4" width="11.85546875" style="5" hidden="1" customWidth="1"/>
    <col min="5" max="7" width="9.5703125" style="5" customWidth="1"/>
    <col min="8" max="8" width="11.85546875" style="5" hidden="1" customWidth="1"/>
    <col min="9" max="9" width="14" style="5" hidden="1" customWidth="1"/>
    <col min="10" max="12" width="11.85546875" style="5" hidden="1" customWidth="1"/>
    <col min="13" max="13" width="15.140625" style="5" hidden="1" customWidth="1"/>
    <col min="14" max="15" width="11.85546875" style="5" hidden="1" customWidth="1"/>
    <col min="16" max="16" width="14.140625" style="5" customWidth="1"/>
    <col min="17" max="17" width="3.42578125" style="5" customWidth="1"/>
    <col min="18" max="19" width="11.85546875" style="5" customWidth="1"/>
    <col min="20" max="20" width="11.85546875" style="5" hidden="1" customWidth="1"/>
    <col min="21" max="23" width="9.5703125" style="5" customWidth="1"/>
    <col min="24" max="25" width="9.7109375" style="5" hidden="1" customWidth="1"/>
    <col min="26" max="31" width="12.5703125" style="5" hidden="1" customWidth="1"/>
    <col min="32" max="32" width="14.140625" style="5" customWidth="1"/>
    <col min="33" max="33" width="3.42578125" style="5" customWidth="1"/>
    <col min="34" max="34" width="11.85546875" style="5" customWidth="1"/>
    <col min="35" max="35" width="12.5703125" style="5" customWidth="1"/>
    <col min="36" max="36" width="11.85546875" style="5" hidden="1" customWidth="1"/>
    <col min="37" max="37" width="9.5703125" style="5" customWidth="1"/>
    <col min="38" max="38" width="10.28515625" style="5" customWidth="1"/>
    <col min="39" max="39" width="9.5703125" style="5" customWidth="1"/>
    <col min="40" max="47" width="12.85546875" style="5" hidden="1" customWidth="1"/>
    <col min="48" max="48" width="15.28515625" style="5" customWidth="1"/>
    <col min="49" max="16384" width="9.140625" style="5"/>
  </cols>
  <sheetData>
    <row r="1" spans="2:38" s="150" customFormat="1" ht="12.75" customHeight="1">
      <c r="C1" s="427" t="s">
        <v>351</v>
      </c>
      <c r="D1" s="427"/>
      <c r="E1" s="427"/>
      <c r="F1" s="427"/>
      <c r="G1" s="427"/>
      <c r="H1" s="272"/>
      <c r="I1" s="272"/>
      <c r="J1" s="272"/>
      <c r="K1" s="272"/>
      <c r="L1" s="272"/>
      <c r="M1" s="272"/>
      <c r="N1" s="272"/>
      <c r="O1" s="272"/>
      <c r="P1" s="464" t="s">
        <v>348</v>
      </c>
      <c r="Q1" s="464"/>
      <c r="R1" s="464"/>
      <c r="S1" s="464"/>
      <c r="T1" s="147"/>
      <c r="U1" s="147"/>
      <c r="V1" s="147"/>
      <c r="W1" s="427"/>
      <c r="X1" s="427"/>
      <c r="Z1" s="427"/>
      <c r="AA1" s="428"/>
    </row>
    <row r="2" spans="2:38" s="150" customFormat="1" ht="18">
      <c r="C2" s="427"/>
      <c r="D2" s="427"/>
      <c r="E2" s="427"/>
      <c r="F2" s="427"/>
      <c r="G2" s="427"/>
      <c r="H2" s="272"/>
      <c r="I2" s="272"/>
      <c r="J2" s="272"/>
      <c r="K2" s="272"/>
      <c r="L2" s="272"/>
      <c r="M2" s="272"/>
      <c r="N2" s="272"/>
      <c r="O2" s="272"/>
      <c r="P2" s="464"/>
      <c r="Q2" s="464"/>
      <c r="R2" s="464"/>
      <c r="S2" s="464"/>
      <c r="T2" s="147"/>
      <c r="U2" s="147"/>
      <c r="V2" s="147"/>
      <c r="W2" s="427"/>
      <c r="X2" s="427"/>
      <c r="Z2" s="427"/>
      <c r="AA2" s="428"/>
    </row>
    <row r="3" spans="2:38" s="150" customFormat="1" ht="12.75" customHeight="1">
      <c r="C3" s="427"/>
      <c r="D3" s="427"/>
      <c r="E3" s="427"/>
      <c r="F3" s="427"/>
      <c r="G3" s="427"/>
      <c r="H3" s="272"/>
      <c r="I3" s="272"/>
      <c r="J3" s="272"/>
      <c r="K3" s="272"/>
      <c r="L3" s="272"/>
      <c r="M3" s="272"/>
      <c r="N3" s="272"/>
      <c r="O3" s="272"/>
      <c r="P3" s="464"/>
      <c r="Q3" s="464"/>
      <c r="R3" s="464"/>
      <c r="S3" s="464"/>
      <c r="T3" s="147"/>
      <c r="U3" s="147"/>
      <c r="V3" s="147"/>
      <c r="W3" s="427"/>
      <c r="X3" s="427"/>
      <c r="Z3" s="427"/>
      <c r="AA3" s="428"/>
    </row>
    <row r="4" spans="2:38" s="6" customFormat="1" ht="18.75" customHeight="1">
      <c r="S4" s="5"/>
      <c r="T4" s="5"/>
      <c r="U4" s="5"/>
      <c r="V4" s="5"/>
    </row>
    <row r="5" spans="2:38" ht="8.25" customHeight="1"/>
    <row r="6" spans="2:38" ht="13.5" thickBot="1">
      <c r="B6" s="57" t="s">
        <v>284</v>
      </c>
      <c r="C6" s="57"/>
      <c r="R6" s="57"/>
      <c r="S6" s="57"/>
      <c r="U6" s="57" t="s">
        <v>284</v>
      </c>
    </row>
    <row r="7" spans="2:38" ht="15" customHeight="1" thickBot="1">
      <c r="B7" s="355">
        <v>5000</v>
      </c>
      <c r="C7" s="508" t="s">
        <v>369</v>
      </c>
      <c r="D7" s="504" t="s">
        <v>292</v>
      </c>
      <c r="E7" s="504" t="s">
        <v>370</v>
      </c>
      <c r="F7" s="504" t="s">
        <v>371</v>
      </c>
      <c r="G7" s="504" t="s">
        <v>283</v>
      </c>
      <c r="H7" s="504" t="s">
        <v>478</v>
      </c>
      <c r="I7" s="504" t="s">
        <v>79</v>
      </c>
      <c r="J7" s="504" t="s">
        <v>43</v>
      </c>
      <c r="K7" s="504" t="s">
        <v>44</v>
      </c>
      <c r="L7" s="504" t="s">
        <v>287</v>
      </c>
      <c r="M7" s="504" t="s">
        <v>289</v>
      </c>
      <c r="N7" s="504" t="s">
        <v>288</v>
      </c>
      <c r="O7" s="504" t="s">
        <v>101</v>
      </c>
      <c r="P7" s="511" t="s">
        <v>286</v>
      </c>
      <c r="R7" s="515" t="s">
        <v>1</v>
      </c>
      <c r="S7" s="504" t="s">
        <v>369</v>
      </c>
      <c r="T7" s="516" t="s">
        <v>292</v>
      </c>
      <c r="U7" s="356">
        <v>1E-3</v>
      </c>
      <c r="V7" s="508" t="s">
        <v>371</v>
      </c>
      <c r="W7" s="504" t="s">
        <v>283</v>
      </c>
      <c r="X7" s="504" t="s">
        <v>478</v>
      </c>
      <c r="Y7" s="504" t="s">
        <v>79</v>
      </c>
      <c r="Z7" s="504" t="s">
        <v>43</v>
      </c>
      <c r="AA7" s="504" t="s">
        <v>44</v>
      </c>
      <c r="AB7" s="504" t="s">
        <v>287</v>
      </c>
      <c r="AC7" s="504" t="s">
        <v>289</v>
      </c>
      <c r="AD7" s="504" t="s">
        <v>288</v>
      </c>
      <c r="AE7" s="504" t="s">
        <v>101</v>
      </c>
      <c r="AF7" s="511" t="s">
        <v>286</v>
      </c>
      <c r="AH7" s="506" t="s">
        <v>290</v>
      </c>
      <c r="AI7" s="520"/>
      <c r="AJ7" s="520"/>
      <c r="AK7" s="520"/>
      <c r="AL7" s="521"/>
    </row>
    <row r="8" spans="2:38" ht="15.75" customHeight="1" thickBot="1">
      <c r="B8" s="313" t="s">
        <v>1</v>
      </c>
      <c r="C8" s="505"/>
      <c r="D8" s="505"/>
      <c r="E8" s="505"/>
      <c r="F8" s="505"/>
      <c r="G8" s="505"/>
      <c r="H8" s="505"/>
      <c r="I8" s="505"/>
      <c r="J8" s="505"/>
      <c r="K8" s="505"/>
      <c r="L8" s="505"/>
      <c r="M8" s="505"/>
      <c r="N8" s="505"/>
      <c r="O8" s="505"/>
      <c r="P8" s="512"/>
      <c r="R8" s="507"/>
      <c r="S8" s="505"/>
      <c r="T8" s="510"/>
      <c r="U8" s="315" t="s">
        <v>22</v>
      </c>
      <c r="V8" s="505"/>
      <c r="W8" s="505"/>
      <c r="X8" s="505"/>
      <c r="Y8" s="505"/>
      <c r="Z8" s="505"/>
      <c r="AA8" s="505"/>
      <c r="AB8" s="505"/>
      <c r="AC8" s="505"/>
      <c r="AD8" s="505"/>
      <c r="AE8" s="505"/>
      <c r="AF8" s="512"/>
      <c r="AH8" s="522"/>
      <c r="AI8" s="523"/>
      <c r="AJ8" s="523"/>
      <c r="AK8" s="523"/>
      <c r="AL8" s="524"/>
    </row>
    <row r="9" spans="2:38">
      <c r="B9" s="316">
        <f>B10+$B$7</f>
        <v>150000</v>
      </c>
      <c r="C9" s="317">
        <f t="shared" ref="C9:C17" si="0">$AL$10</f>
        <v>0.8</v>
      </c>
      <c r="D9" s="318">
        <f>B9*C9</f>
        <v>120000</v>
      </c>
      <c r="E9" s="319">
        <f t="shared" ref="E9:E17" si="1">$AL$11</f>
        <v>3.5000000000000003E-2</v>
      </c>
      <c r="F9" s="319">
        <f t="shared" ref="F9:F17" si="2">$AL$12</f>
        <v>0.03</v>
      </c>
      <c r="G9" s="318">
        <f t="shared" ref="G9:G17" si="3">$AL$13</f>
        <v>570</v>
      </c>
      <c r="H9" s="318">
        <f>G9+Cockpit!$K$9</f>
        <v>630</v>
      </c>
      <c r="I9" s="318">
        <f>-Cockpit!$K$12-Cockpit!$H$25*(Szenarien!G9-Szenarien!$AL$13)</f>
        <v>-133.9</v>
      </c>
      <c r="J9" s="318">
        <f>Cockpit!$Q$21-E9*(D9-$D13)/12</f>
        <v>-350.00000000000006</v>
      </c>
      <c r="K9" s="318">
        <f>Cockpit!$Q$22-F9*(D9-$D13)/12</f>
        <v>-300</v>
      </c>
      <c r="L9" s="318">
        <f>H9+I9+J9+K9</f>
        <v>-153.90000000000003</v>
      </c>
      <c r="M9" s="318">
        <f>Cockpit!$Q$29</f>
        <v>-90</v>
      </c>
      <c r="N9" s="318">
        <f>Cockpit!$Q$31-Cockpit!$H$20*Cockpit!$H$21*(1+Cockpit!$D$22)*(B9-$B13)/12</f>
        <v>-179.14805555555554</v>
      </c>
      <c r="O9" s="318">
        <f>(H9+J9+M9+N9)*Cockpit!$Q$33</f>
        <v>4.3407777777777596</v>
      </c>
      <c r="P9" s="320">
        <f t="shared" ref="P9:P12" si="4">L9-O9</f>
        <v>-158.24077777777779</v>
      </c>
      <c r="R9" s="330">
        <f t="shared" ref="R9:R17" si="5">$AL$9</f>
        <v>130000</v>
      </c>
      <c r="S9" s="317">
        <f t="shared" ref="S9:S17" si="6">$AL$10</f>
        <v>0.8</v>
      </c>
      <c r="T9" s="318">
        <f>R9*S9</f>
        <v>104000</v>
      </c>
      <c r="U9" s="338">
        <f>U10+$U$7</f>
        <v>3.9000000000000007E-2</v>
      </c>
      <c r="V9" s="319">
        <f t="shared" ref="V9:V17" si="7">$AL$12</f>
        <v>0.03</v>
      </c>
      <c r="W9" s="318">
        <f t="shared" ref="W9:W17" si="8">$AL$13</f>
        <v>570</v>
      </c>
      <c r="X9" s="318">
        <f>W9+Cockpit!$K$9</f>
        <v>630</v>
      </c>
      <c r="Y9" s="318">
        <f>-Cockpit!$K$12-Cockpit!$H$25*(Szenarien!W9-Szenarien!$AL$13)</f>
        <v>-133.9</v>
      </c>
      <c r="Z9" s="318">
        <f>Cockpit!$Q$21-U9*(T9-$T$13)/12-(U9-$U$13)*$T$13/12</f>
        <v>-338.00000000000006</v>
      </c>
      <c r="AA9" s="318">
        <f>Cockpit!$Q$22-V9*(T9-$T$13)/12-(V9-$V$13)*$T$13/12</f>
        <v>-260</v>
      </c>
      <c r="AB9" s="318">
        <f>X9+Y9+Z9+AA9</f>
        <v>-101.90000000000003</v>
      </c>
      <c r="AC9" s="318">
        <f>Cockpit!$Q$29</f>
        <v>-90</v>
      </c>
      <c r="AD9" s="318">
        <f>Cockpit!$Q$31-Cockpit!$H$20*Cockpit!$H$21*(1+Cockpit!$D$22)*(R9-$R13)/12</f>
        <v>-162.51305555555555</v>
      </c>
      <c r="AE9" s="318">
        <f>(X9+Z9+AC9+AD9)*Cockpit!$Q$33</f>
        <v>15.794777777777757</v>
      </c>
      <c r="AF9" s="320">
        <f t="shared" ref="AF9:AF12" si="9">AB9-AE9</f>
        <v>-117.69477777777779</v>
      </c>
      <c r="AH9" s="525" t="s">
        <v>1</v>
      </c>
      <c r="AI9" s="526"/>
      <c r="AJ9" s="526"/>
      <c r="AK9" s="527"/>
      <c r="AL9" s="351">
        <f>Cockpit!D14</f>
        <v>130000</v>
      </c>
    </row>
    <row r="10" spans="2:38">
      <c r="B10" s="321">
        <f>B11+$B$7</f>
        <v>145000</v>
      </c>
      <c r="C10" s="47">
        <f t="shared" si="0"/>
        <v>0.8</v>
      </c>
      <c r="D10" s="48">
        <f t="shared" ref="D10:D17" si="10">B10*C10</f>
        <v>116000</v>
      </c>
      <c r="E10" s="49">
        <f t="shared" si="1"/>
        <v>3.5000000000000003E-2</v>
      </c>
      <c r="F10" s="49">
        <f t="shared" si="2"/>
        <v>0.03</v>
      </c>
      <c r="G10" s="48">
        <f t="shared" si="3"/>
        <v>570</v>
      </c>
      <c r="H10" s="48">
        <f>G10+Cockpit!$K$9</f>
        <v>630</v>
      </c>
      <c r="I10" s="48">
        <f>-Cockpit!$K$12-Cockpit!$H$25*(Szenarien!G10-Szenarien!$AL$13)</f>
        <v>-133.9</v>
      </c>
      <c r="J10" s="48">
        <f>Cockpit!$Q$21-E10*(D10-$D13)/12</f>
        <v>-338.33333333333337</v>
      </c>
      <c r="K10" s="48">
        <f>Cockpit!$Q$22-F10*(D10-$D13)/12</f>
        <v>-290</v>
      </c>
      <c r="L10" s="48">
        <f t="shared" ref="L10:L17" si="11">H10+I10+J10+K10</f>
        <v>-132.23333333333335</v>
      </c>
      <c r="M10" s="48">
        <f>Cockpit!$Q$29</f>
        <v>-90</v>
      </c>
      <c r="N10" s="48">
        <f>Cockpit!$Q$31-Cockpit!$H$20*Cockpit!$H$21*(1+Cockpit!$D$22)*(B10-$B13)/12</f>
        <v>-174.98930555555555</v>
      </c>
      <c r="O10" s="48">
        <f>(H10+J10+M10+N10)*Cockpit!$Q$33</f>
        <v>10.670944444444434</v>
      </c>
      <c r="P10" s="286">
        <f t="shared" si="4"/>
        <v>-142.90427777777779</v>
      </c>
      <c r="R10" s="333">
        <f t="shared" si="5"/>
        <v>130000</v>
      </c>
      <c r="S10" s="47">
        <f t="shared" si="6"/>
        <v>0.8</v>
      </c>
      <c r="T10" s="48">
        <f t="shared" ref="T10:T17" si="12">R10*S10</f>
        <v>104000</v>
      </c>
      <c r="U10" s="129">
        <f>U11+$U$7</f>
        <v>3.8000000000000006E-2</v>
      </c>
      <c r="V10" s="49">
        <f t="shared" si="7"/>
        <v>0.03</v>
      </c>
      <c r="W10" s="48">
        <f t="shared" si="8"/>
        <v>570</v>
      </c>
      <c r="X10" s="48">
        <f>W10+Cockpit!$K$9</f>
        <v>630</v>
      </c>
      <c r="Y10" s="48">
        <f>-Cockpit!$K$12-Cockpit!$H$25*(Szenarien!W10-Szenarien!$AL$13)</f>
        <v>-133.9</v>
      </c>
      <c r="Z10" s="48">
        <f>Cockpit!$Q$21-U10*(T10-$T$13)/12-(U10-$U$13)*$T$13/12</f>
        <v>-329.33333333333337</v>
      </c>
      <c r="AA10" s="48">
        <f>Cockpit!$Q$22-V10*(T10-$T$13)/12-(V10-$V$13)*$T$13/12</f>
        <v>-260</v>
      </c>
      <c r="AB10" s="48">
        <f t="shared" ref="AB10:AB17" si="13">X10+Y10+Z10+AA10</f>
        <v>-93.233333333333348</v>
      </c>
      <c r="AC10" s="48">
        <f>Cockpit!$Q$29</f>
        <v>-90</v>
      </c>
      <c r="AD10" s="48">
        <f>Cockpit!$Q$31-Cockpit!$H$20*Cockpit!$H$21*(1+Cockpit!$D$22)*(R10-$R13)/12</f>
        <v>-162.51305555555555</v>
      </c>
      <c r="AE10" s="48">
        <f>(X10+Z10+AC10+AD10)*Cockpit!$Q$33</f>
        <v>19.261444444444432</v>
      </c>
      <c r="AF10" s="286">
        <f t="shared" si="9"/>
        <v>-112.49477777777778</v>
      </c>
      <c r="AH10" s="528" t="s">
        <v>291</v>
      </c>
      <c r="AI10" s="529"/>
      <c r="AJ10" s="529"/>
      <c r="AK10" s="530"/>
      <c r="AL10" s="352">
        <f>Cockpit!N17/AL9</f>
        <v>0.8</v>
      </c>
    </row>
    <row r="11" spans="2:38">
      <c r="B11" s="321">
        <f>B12+$B$7</f>
        <v>140000</v>
      </c>
      <c r="C11" s="47">
        <f t="shared" si="0"/>
        <v>0.8</v>
      </c>
      <c r="D11" s="48">
        <f t="shared" si="10"/>
        <v>112000</v>
      </c>
      <c r="E11" s="49">
        <f t="shared" si="1"/>
        <v>3.5000000000000003E-2</v>
      </c>
      <c r="F11" s="49">
        <f t="shared" si="2"/>
        <v>0.03</v>
      </c>
      <c r="G11" s="48">
        <f t="shared" si="3"/>
        <v>570</v>
      </c>
      <c r="H11" s="48">
        <f>G11+Cockpit!$K$9</f>
        <v>630</v>
      </c>
      <c r="I11" s="48">
        <f>-Cockpit!$K$12-Cockpit!$H$25*(Szenarien!G11-Szenarien!$AL$13)</f>
        <v>-133.9</v>
      </c>
      <c r="J11" s="48">
        <f>Cockpit!$Q$21-E11*(D11-$D13)/12</f>
        <v>-326.66666666666669</v>
      </c>
      <c r="K11" s="48">
        <f>Cockpit!$Q$22-F11*(D11-$D13)/12</f>
        <v>-280</v>
      </c>
      <c r="L11" s="48">
        <f t="shared" si="11"/>
        <v>-110.56666666666666</v>
      </c>
      <c r="M11" s="48">
        <f>Cockpit!$Q$29</f>
        <v>-90</v>
      </c>
      <c r="N11" s="48">
        <f>Cockpit!$Q$31-Cockpit!$H$20*Cockpit!$H$21*(1+Cockpit!$D$22)*(B11-$B13)/12</f>
        <v>-170.83055555555555</v>
      </c>
      <c r="O11" s="48">
        <f>(H11+J11+M11+N11)*Cockpit!$Q$33</f>
        <v>17.001111111111108</v>
      </c>
      <c r="P11" s="286">
        <f t="shared" si="4"/>
        <v>-127.56777777777776</v>
      </c>
      <c r="R11" s="333">
        <f t="shared" si="5"/>
        <v>130000</v>
      </c>
      <c r="S11" s="47">
        <f t="shared" si="6"/>
        <v>0.8</v>
      </c>
      <c r="T11" s="48">
        <f t="shared" si="12"/>
        <v>104000</v>
      </c>
      <c r="U11" s="129">
        <f>U12+$U$7</f>
        <v>3.7000000000000005E-2</v>
      </c>
      <c r="V11" s="49">
        <f t="shared" si="7"/>
        <v>0.03</v>
      </c>
      <c r="W11" s="48">
        <f t="shared" si="8"/>
        <v>570</v>
      </c>
      <c r="X11" s="48">
        <f>W11+Cockpit!$K$9</f>
        <v>630</v>
      </c>
      <c r="Y11" s="48">
        <f>-Cockpit!$K$12-Cockpit!$H$25*(Szenarien!W11-Szenarien!$AL$13)</f>
        <v>-133.9</v>
      </c>
      <c r="Z11" s="48">
        <f>Cockpit!$Q$21-U11*(T11-$T$13)/12-(U11-$U$13)*$T$13/12</f>
        <v>-320.66666666666674</v>
      </c>
      <c r="AA11" s="48">
        <f>Cockpit!$Q$22-V11*(T11-$T$13)/12-(V11-$V$13)*$T$13/12</f>
        <v>-260</v>
      </c>
      <c r="AB11" s="48">
        <f t="shared" si="13"/>
        <v>-84.56666666666672</v>
      </c>
      <c r="AC11" s="48">
        <f>Cockpit!$Q$29</f>
        <v>-90</v>
      </c>
      <c r="AD11" s="48">
        <f>Cockpit!$Q$31-Cockpit!$H$20*Cockpit!$H$21*(1+Cockpit!$D$22)*(R11-$R13)/12</f>
        <v>-162.51305555555555</v>
      </c>
      <c r="AE11" s="48">
        <f>(X11+Z11+AC11+AD11)*Cockpit!$Q$33</f>
        <v>22.728111111111083</v>
      </c>
      <c r="AF11" s="286">
        <f t="shared" si="9"/>
        <v>-107.2947777777778</v>
      </c>
      <c r="AH11" s="528" t="s">
        <v>343</v>
      </c>
      <c r="AI11" s="529"/>
      <c r="AJ11" s="529"/>
      <c r="AK11" s="530"/>
      <c r="AL11" s="353">
        <f>Cockpit!N18</f>
        <v>3.5000000000000003E-2</v>
      </c>
    </row>
    <row r="12" spans="2:38" ht="13.5" thickBot="1">
      <c r="B12" s="322">
        <f>B13+$B$7</f>
        <v>135000</v>
      </c>
      <c r="C12" s="50">
        <f t="shared" si="0"/>
        <v>0.8</v>
      </c>
      <c r="D12" s="51">
        <f t="shared" si="10"/>
        <v>108000</v>
      </c>
      <c r="E12" s="52">
        <f t="shared" si="1"/>
        <v>3.5000000000000003E-2</v>
      </c>
      <c r="F12" s="52">
        <f t="shared" si="2"/>
        <v>0.03</v>
      </c>
      <c r="G12" s="51">
        <f t="shared" si="3"/>
        <v>570</v>
      </c>
      <c r="H12" s="51">
        <f>G12+Cockpit!$K$9</f>
        <v>630</v>
      </c>
      <c r="I12" s="51">
        <f>-Cockpit!$K$12-Cockpit!$H$25*(Szenarien!G12-Szenarien!$AL$13)</f>
        <v>-133.9</v>
      </c>
      <c r="J12" s="51">
        <f>Cockpit!$Q$21-E12*(D12-$D13)/12</f>
        <v>-315.00000000000006</v>
      </c>
      <c r="K12" s="51">
        <f>Cockpit!$Q$22-F12*(D12-$D13)/12</f>
        <v>-270</v>
      </c>
      <c r="L12" s="51">
        <f t="shared" si="11"/>
        <v>-88.900000000000034</v>
      </c>
      <c r="M12" s="51">
        <f>Cockpit!$Q$29</f>
        <v>-90</v>
      </c>
      <c r="N12" s="51">
        <f>Cockpit!$Q$31-Cockpit!$H$20*Cockpit!$H$21*(1+Cockpit!$D$22)*(B12-$B13)/12</f>
        <v>-166.67180555555555</v>
      </c>
      <c r="O12" s="51">
        <f>(H12+J12+M12+N12)*Cockpit!$Q$33</f>
        <v>23.331277777777757</v>
      </c>
      <c r="P12" s="323">
        <f t="shared" si="4"/>
        <v>-112.23127777777779</v>
      </c>
      <c r="Q12" s="53"/>
      <c r="R12" s="334">
        <f t="shared" si="5"/>
        <v>130000</v>
      </c>
      <c r="S12" s="50">
        <f t="shared" si="6"/>
        <v>0.8</v>
      </c>
      <c r="T12" s="51">
        <f t="shared" si="12"/>
        <v>104000</v>
      </c>
      <c r="U12" s="130">
        <f>U13+$U$7</f>
        <v>3.6000000000000004E-2</v>
      </c>
      <c r="V12" s="52">
        <f t="shared" si="7"/>
        <v>0.03</v>
      </c>
      <c r="W12" s="51">
        <f t="shared" si="8"/>
        <v>570</v>
      </c>
      <c r="X12" s="51">
        <f>W12+Cockpit!$K$9</f>
        <v>630</v>
      </c>
      <c r="Y12" s="51">
        <f>-Cockpit!$K$12-Cockpit!$H$25*(Szenarien!W12-Szenarien!$AL$13)</f>
        <v>-133.9</v>
      </c>
      <c r="Z12" s="51">
        <f>Cockpit!$Q$21-U12*(T12-$T$13)/12-(U12-$U$13)*$T$13/12</f>
        <v>-312.00000000000006</v>
      </c>
      <c r="AA12" s="51">
        <f>Cockpit!$Q$22-V12*(T12-$T$13)/12-(V12-$V$13)*$T$13/12</f>
        <v>-260</v>
      </c>
      <c r="AB12" s="51">
        <f t="shared" si="13"/>
        <v>-75.900000000000034</v>
      </c>
      <c r="AC12" s="51">
        <f>Cockpit!$Q$29</f>
        <v>-90</v>
      </c>
      <c r="AD12" s="51">
        <f>Cockpit!$Q$31-Cockpit!$H$20*Cockpit!$H$21*(1+Cockpit!$D$22)*(R12-$R13)/12</f>
        <v>-162.51305555555555</v>
      </c>
      <c r="AE12" s="51">
        <f>(X12+Z12+AC12+AD12)*Cockpit!$Q$33</f>
        <v>26.194777777777759</v>
      </c>
      <c r="AF12" s="323">
        <f t="shared" si="9"/>
        <v>-102.09477777777779</v>
      </c>
      <c r="AH12" s="528" t="s">
        <v>344</v>
      </c>
      <c r="AI12" s="529"/>
      <c r="AJ12" s="529"/>
      <c r="AK12" s="530"/>
      <c r="AL12" s="353">
        <f>Cockpit!N19</f>
        <v>0.03</v>
      </c>
    </row>
    <row r="13" spans="2:38" ht="13.5" thickBot="1">
      <c r="B13" s="342">
        <f>$AL$9</f>
        <v>130000</v>
      </c>
      <c r="C13" s="343">
        <f t="shared" si="0"/>
        <v>0.8</v>
      </c>
      <c r="D13" s="344">
        <f t="shared" si="10"/>
        <v>104000</v>
      </c>
      <c r="E13" s="345">
        <f t="shared" si="1"/>
        <v>3.5000000000000003E-2</v>
      </c>
      <c r="F13" s="345">
        <f t="shared" si="2"/>
        <v>0.03</v>
      </c>
      <c r="G13" s="344">
        <f t="shared" si="3"/>
        <v>570</v>
      </c>
      <c r="H13" s="344">
        <f>G13+Cockpit!$K$9</f>
        <v>630</v>
      </c>
      <c r="I13" s="344">
        <f>-Cockpit!$K$12-Cockpit!$H$25*(Szenarien!G13-Szenarien!$AL$13)</f>
        <v>-133.9</v>
      </c>
      <c r="J13" s="344">
        <f>Cockpit!$Q$21-E13*(D13-$D13)/12</f>
        <v>-303.33333333333337</v>
      </c>
      <c r="K13" s="344">
        <f>Cockpit!$Q$22-F13*(D13-$D13)/12</f>
        <v>-260</v>
      </c>
      <c r="L13" s="344">
        <f t="shared" si="11"/>
        <v>-67.233333333333348</v>
      </c>
      <c r="M13" s="344">
        <f>Cockpit!$Q$29</f>
        <v>-90</v>
      </c>
      <c r="N13" s="344">
        <f>Cockpit!$Q$31-Cockpit!$H$20*Cockpit!$H$21*(1+Cockpit!$D$22)*(B13-$B13)/12</f>
        <v>-162.51305555555555</v>
      </c>
      <c r="O13" s="344">
        <f>(H13+J13+M13+N13)*Cockpit!$Q$33</f>
        <v>29.661444444444431</v>
      </c>
      <c r="P13" s="346">
        <f>L13-O13</f>
        <v>-96.894777777777776</v>
      </c>
      <c r="R13" s="347">
        <f t="shared" si="5"/>
        <v>130000</v>
      </c>
      <c r="S13" s="343">
        <f t="shared" si="6"/>
        <v>0.8</v>
      </c>
      <c r="T13" s="344">
        <f t="shared" si="12"/>
        <v>104000</v>
      </c>
      <c r="U13" s="348">
        <f>$AL$11</f>
        <v>3.5000000000000003E-2</v>
      </c>
      <c r="V13" s="345">
        <f t="shared" si="7"/>
        <v>0.03</v>
      </c>
      <c r="W13" s="344">
        <f t="shared" si="8"/>
        <v>570</v>
      </c>
      <c r="X13" s="344">
        <f>W13+Cockpit!$K$9</f>
        <v>630</v>
      </c>
      <c r="Y13" s="344">
        <f>-Cockpit!$K$12-Cockpit!$H$25*(Szenarien!W13-Szenarien!$AL$13)</f>
        <v>-133.9</v>
      </c>
      <c r="Z13" s="344">
        <f>Cockpit!$Q$21-U13*(T13-$T$13)/12-(U13-$U$13)*$T$13/12</f>
        <v>-303.33333333333337</v>
      </c>
      <c r="AA13" s="344">
        <f>Cockpit!$Q$22-V13*(T13-$T$13)/12-(V13-$V$13)*$T$13/12</f>
        <v>-260</v>
      </c>
      <c r="AB13" s="344">
        <f t="shared" si="13"/>
        <v>-67.233333333333348</v>
      </c>
      <c r="AC13" s="344">
        <f>Cockpit!$Q$29</f>
        <v>-90</v>
      </c>
      <c r="AD13" s="344">
        <f>Cockpit!$Q$31-Cockpit!$H$20*Cockpit!$H$21*(1+Cockpit!$D$22)*(R13-$R13)/12</f>
        <v>-162.51305555555555</v>
      </c>
      <c r="AE13" s="344">
        <f>(X13+Z13+AC13+AD13)*Cockpit!$Q$33</f>
        <v>29.661444444444431</v>
      </c>
      <c r="AF13" s="346">
        <f>AB13-AE13</f>
        <v>-96.894777777777776</v>
      </c>
      <c r="AH13" s="517" t="s">
        <v>78</v>
      </c>
      <c r="AI13" s="518"/>
      <c r="AJ13" s="518"/>
      <c r="AK13" s="519"/>
      <c r="AL13" s="354">
        <f>Cockpit!H15</f>
        <v>570</v>
      </c>
    </row>
    <row r="14" spans="2:38">
      <c r="B14" s="324">
        <f>B13-$B$7</f>
        <v>125000</v>
      </c>
      <c r="C14" s="54">
        <f t="shared" si="0"/>
        <v>0.8</v>
      </c>
      <c r="D14" s="55">
        <f t="shared" si="10"/>
        <v>100000</v>
      </c>
      <c r="E14" s="56">
        <f t="shared" si="1"/>
        <v>3.5000000000000003E-2</v>
      </c>
      <c r="F14" s="56">
        <f t="shared" si="2"/>
        <v>0.03</v>
      </c>
      <c r="G14" s="55">
        <f t="shared" si="3"/>
        <v>570</v>
      </c>
      <c r="H14" s="55">
        <f>G14+Cockpit!$K$9</f>
        <v>630</v>
      </c>
      <c r="I14" s="55">
        <f>-Cockpit!$K$12-Cockpit!$H$25*(Szenarien!G14-Szenarien!$AL$13)</f>
        <v>-133.9</v>
      </c>
      <c r="J14" s="55">
        <f>Cockpit!$Q$21-E14*(D14-$D13)/12</f>
        <v>-291.66666666666669</v>
      </c>
      <c r="K14" s="55">
        <f>Cockpit!$Q$22-F14*(D14-$D13)/12</f>
        <v>-250</v>
      </c>
      <c r="L14" s="55">
        <f t="shared" si="11"/>
        <v>-45.566666666666663</v>
      </c>
      <c r="M14" s="55">
        <f>Cockpit!$Q$29</f>
        <v>-90</v>
      </c>
      <c r="N14" s="55">
        <f>Cockpit!$Q$31-Cockpit!$H$20*Cockpit!$H$21*(1+Cockpit!$D$22)*(B14-$B13)/12</f>
        <v>-158.35430555555556</v>
      </c>
      <c r="O14" s="55">
        <f>(H14+J14+M14+N14)*Cockpit!$Q$33</f>
        <v>35.991611111111105</v>
      </c>
      <c r="P14" s="325">
        <f t="shared" ref="P14:P17" si="14">L14-O14</f>
        <v>-81.558277777777761</v>
      </c>
      <c r="R14" s="335">
        <f t="shared" si="5"/>
        <v>130000</v>
      </c>
      <c r="S14" s="54">
        <f t="shared" si="6"/>
        <v>0.8</v>
      </c>
      <c r="T14" s="55">
        <f t="shared" si="12"/>
        <v>104000</v>
      </c>
      <c r="U14" s="131">
        <f>U13-$U$7</f>
        <v>3.4000000000000002E-2</v>
      </c>
      <c r="V14" s="56">
        <f t="shared" si="7"/>
        <v>0.03</v>
      </c>
      <c r="W14" s="55">
        <f t="shared" si="8"/>
        <v>570</v>
      </c>
      <c r="X14" s="55">
        <f>W14+Cockpit!$K$9</f>
        <v>630</v>
      </c>
      <c r="Y14" s="55">
        <f>-Cockpit!$K$12-Cockpit!$H$25*(Szenarien!W14-Szenarien!$AL$13)</f>
        <v>-133.9</v>
      </c>
      <c r="Z14" s="55">
        <f>Cockpit!$Q$21-U14*(T14-$T$13)/12-(U14-$U$13)*$T$13/12</f>
        <v>-294.66666666666669</v>
      </c>
      <c r="AA14" s="55">
        <f>Cockpit!$Q$22-V14*(T14-$T$13)/12-(V14-$V$13)*$T$13/12</f>
        <v>-260</v>
      </c>
      <c r="AB14" s="55">
        <f t="shared" si="13"/>
        <v>-58.566666666666663</v>
      </c>
      <c r="AC14" s="55">
        <f>Cockpit!$Q$29</f>
        <v>-90</v>
      </c>
      <c r="AD14" s="55">
        <f>Cockpit!$Q$31-Cockpit!$H$20*Cockpit!$H$21*(1+Cockpit!$D$22)*(R14-$R13)/12</f>
        <v>-162.51305555555555</v>
      </c>
      <c r="AE14" s="55">
        <f>(X14+Z14+AC14+AD14)*Cockpit!$Q$33</f>
        <v>33.128111111111103</v>
      </c>
      <c r="AF14" s="325">
        <f t="shared" ref="AF14:AF17" si="15">AB14-AE14</f>
        <v>-91.694777777777773</v>
      </c>
    </row>
    <row r="15" spans="2:38">
      <c r="B15" s="321">
        <f>B14-$B$7</f>
        <v>120000</v>
      </c>
      <c r="C15" s="47">
        <f t="shared" si="0"/>
        <v>0.8</v>
      </c>
      <c r="D15" s="48">
        <f t="shared" si="10"/>
        <v>96000</v>
      </c>
      <c r="E15" s="49">
        <f t="shared" si="1"/>
        <v>3.5000000000000003E-2</v>
      </c>
      <c r="F15" s="49">
        <f t="shared" si="2"/>
        <v>0.03</v>
      </c>
      <c r="G15" s="48">
        <f t="shared" si="3"/>
        <v>570</v>
      </c>
      <c r="H15" s="48">
        <f>G15+Cockpit!$K$9</f>
        <v>630</v>
      </c>
      <c r="I15" s="48">
        <f>-Cockpit!$K$12-Cockpit!$H$25*(Szenarien!G15-Szenarien!$AL$13)</f>
        <v>-133.9</v>
      </c>
      <c r="J15" s="48">
        <f>Cockpit!$Q$21-E15*(D15-$D13)/12</f>
        <v>-280.00000000000006</v>
      </c>
      <c r="K15" s="48">
        <f>Cockpit!$Q$22-F15*(D15-$D13)/12</f>
        <v>-240</v>
      </c>
      <c r="L15" s="48">
        <f t="shared" si="11"/>
        <v>-23.900000000000034</v>
      </c>
      <c r="M15" s="48">
        <f>Cockpit!$Q$29</f>
        <v>-90</v>
      </c>
      <c r="N15" s="48">
        <f>Cockpit!$Q$31-Cockpit!$H$20*Cockpit!$H$21*(1+Cockpit!$D$22)*(B15-$B13)/12</f>
        <v>-154.19555555555556</v>
      </c>
      <c r="O15" s="48">
        <f>(H15+J15+M15+N15)*Cockpit!$Q$33</f>
        <v>42.321777777777754</v>
      </c>
      <c r="P15" s="286">
        <f t="shared" si="14"/>
        <v>-66.221777777777788</v>
      </c>
      <c r="R15" s="333">
        <f t="shared" si="5"/>
        <v>130000</v>
      </c>
      <c r="S15" s="47">
        <f t="shared" si="6"/>
        <v>0.8</v>
      </c>
      <c r="T15" s="48">
        <f t="shared" si="12"/>
        <v>104000</v>
      </c>
      <c r="U15" s="129">
        <f>U14-$U$7</f>
        <v>3.3000000000000002E-2</v>
      </c>
      <c r="V15" s="49">
        <f t="shared" si="7"/>
        <v>0.03</v>
      </c>
      <c r="W15" s="48">
        <f t="shared" si="8"/>
        <v>570</v>
      </c>
      <c r="X15" s="48">
        <f>W15+Cockpit!$K$9</f>
        <v>630</v>
      </c>
      <c r="Y15" s="48">
        <f>-Cockpit!$K$12-Cockpit!$H$25*(Szenarien!W15-Szenarien!$AL$13)</f>
        <v>-133.9</v>
      </c>
      <c r="Z15" s="48">
        <f>Cockpit!$Q$21-U15*(T15-$T$13)/12-(U15-$U$13)*$T$13/12</f>
        <v>-286</v>
      </c>
      <c r="AA15" s="48">
        <f>Cockpit!$Q$22-V15*(T15-$T$13)/12-(V15-$V$13)*$T$13/12</f>
        <v>-260</v>
      </c>
      <c r="AB15" s="48">
        <f t="shared" si="13"/>
        <v>-49.899999999999977</v>
      </c>
      <c r="AC15" s="48">
        <f>Cockpit!$Q$29</f>
        <v>-90</v>
      </c>
      <c r="AD15" s="48">
        <f>Cockpit!$Q$31-Cockpit!$H$20*Cockpit!$H$21*(1+Cockpit!$D$22)*(R15-$R13)/12</f>
        <v>-162.51305555555555</v>
      </c>
      <c r="AE15" s="48">
        <f>(X15+Z15+AC15+AD15)*Cockpit!$Q$33</f>
        <v>36.594777777777779</v>
      </c>
      <c r="AF15" s="286">
        <f t="shared" si="15"/>
        <v>-86.494777777777756</v>
      </c>
    </row>
    <row r="16" spans="2:38">
      <c r="B16" s="321">
        <f>B15-$B$7</f>
        <v>115000</v>
      </c>
      <c r="C16" s="47">
        <f t="shared" si="0"/>
        <v>0.8</v>
      </c>
      <c r="D16" s="48">
        <f t="shared" si="10"/>
        <v>92000</v>
      </c>
      <c r="E16" s="49">
        <f t="shared" si="1"/>
        <v>3.5000000000000003E-2</v>
      </c>
      <c r="F16" s="49">
        <f t="shared" si="2"/>
        <v>0.03</v>
      </c>
      <c r="G16" s="48">
        <f t="shared" si="3"/>
        <v>570</v>
      </c>
      <c r="H16" s="48">
        <f>G16+Cockpit!$K$9</f>
        <v>630</v>
      </c>
      <c r="I16" s="48">
        <f>-Cockpit!$K$12-Cockpit!$H$25*(Szenarien!G16-Szenarien!$AL$13)</f>
        <v>-133.9</v>
      </c>
      <c r="J16" s="48">
        <f>Cockpit!$Q$21-E16*(D16-$D13)/12</f>
        <v>-268.33333333333337</v>
      </c>
      <c r="K16" s="48">
        <f>Cockpit!$Q$22-F16*(D16-$D13)/12</f>
        <v>-230</v>
      </c>
      <c r="L16" s="48">
        <f t="shared" si="11"/>
        <v>-2.2333333333333485</v>
      </c>
      <c r="M16" s="48">
        <f>Cockpit!$Q$29</f>
        <v>-90</v>
      </c>
      <c r="N16" s="48">
        <f>Cockpit!$Q$31-Cockpit!$H$20*Cockpit!$H$21*(1+Cockpit!$D$22)*(B16-$B13)/12</f>
        <v>-150.03680555555556</v>
      </c>
      <c r="O16" s="48">
        <f>(H16+J16+M16+N16)*Cockpit!$Q$33</f>
        <v>48.651944444444432</v>
      </c>
      <c r="P16" s="286">
        <f t="shared" si="14"/>
        <v>-50.88527777777778</v>
      </c>
      <c r="R16" s="333">
        <f t="shared" si="5"/>
        <v>130000</v>
      </c>
      <c r="S16" s="47">
        <f t="shared" si="6"/>
        <v>0.8</v>
      </c>
      <c r="T16" s="48">
        <f t="shared" si="12"/>
        <v>104000</v>
      </c>
      <c r="U16" s="129">
        <f>U15-$U$7</f>
        <v>3.2000000000000001E-2</v>
      </c>
      <c r="V16" s="49">
        <f t="shared" si="7"/>
        <v>0.03</v>
      </c>
      <c r="W16" s="48">
        <f t="shared" si="8"/>
        <v>570</v>
      </c>
      <c r="X16" s="48">
        <f>W16+Cockpit!$K$9</f>
        <v>630</v>
      </c>
      <c r="Y16" s="48">
        <f>-Cockpit!$K$12-Cockpit!$H$25*(Szenarien!W16-Szenarien!$AL$13)</f>
        <v>-133.9</v>
      </c>
      <c r="Z16" s="48">
        <f>Cockpit!$Q$21-U16*(T16-$T$13)/12-(U16-$U$13)*$T$13/12</f>
        <v>-277.33333333333337</v>
      </c>
      <c r="AA16" s="48">
        <f>Cockpit!$Q$22-V16*(T16-$T$13)/12-(V16-$V$13)*$T$13/12</f>
        <v>-260</v>
      </c>
      <c r="AB16" s="48">
        <f t="shared" si="13"/>
        <v>-41.233333333333348</v>
      </c>
      <c r="AC16" s="48">
        <f>Cockpit!$Q$29</f>
        <v>-90</v>
      </c>
      <c r="AD16" s="48">
        <f>Cockpit!$Q$31-Cockpit!$H$20*Cockpit!$H$21*(1+Cockpit!$D$22)*(R16-$R13)/12</f>
        <v>-162.51305555555555</v>
      </c>
      <c r="AE16" s="48">
        <f>(X16+Z16+AC16+AD16)*Cockpit!$Q$33</f>
        <v>40.061444444444433</v>
      </c>
      <c r="AF16" s="286">
        <f t="shared" si="15"/>
        <v>-81.294777777777782</v>
      </c>
    </row>
    <row r="17" spans="2:48" ht="13.5" thickBot="1">
      <c r="B17" s="326">
        <f>B16-$B$7</f>
        <v>110000</v>
      </c>
      <c r="C17" s="327">
        <f t="shared" si="0"/>
        <v>0.8</v>
      </c>
      <c r="D17" s="328">
        <f t="shared" si="10"/>
        <v>88000</v>
      </c>
      <c r="E17" s="329">
        <f t="shared" si="1"/>
        <v>3.5000000000000003E-2</v>
      </c>
      <c r="F17" s="329">
        <f t="shared" si="2"/>
        <v>0.03</v>
      </c>
      <c r="G17" s="328">
        <f t="shared" si="3"/>
        <v>570</v>
      </c>
      <c r="H17" s="328">
        <f>G17+Cockpit!$K$9</f>
        <v>630</v>
      </c>
      <c r="I17" s="328">
        <f>-Cockpit!$K$12-Cockpit!$H$25*(Szenarien!G17-Szenarien!$AL$13)</f>
        <v>-133.9</v>
      </c>
      <c r="J17" s="328">
        <f>Cockpit!$Q$21-E17*(D17-$D13)/12</f>
        <v>-256.66666666666669</v>
      </c>
      <c r="K17" s="328">
        <f>Cockpit!$Q$22-F17*(D17-$D13)/12</f>
        <v>-220</v>
      </c>
      <c r="L17" s="328">
        <f t="shared" si="11"/>
        <v>19.433333333333337</v>
      </c>
      <c r="M17" s="328">
        <f>Cockpit!$Q$29</f>
        <v>-90</v>
      </c>
      <c r="N17" s="328">
        <f>Cockpit!$Q$31-Cockpit!$H$20*Cockpit!$H$21*(1+Cockpit!$D$22)*(B17-$B13)/12</f>
        <v>-145.87805555555556</v>
      </c>
      <c r="O17" s="328">
        <f>(H17+J17+M17+N17)*Cockpit!$Q$33</f>
        <v>54.982111111111102</v>
      </c>
      <c r="P17" s="288">
        <f t="shared" si="14"/>
        <v>-35.548777777777765</v>
      </c>
      <c r="R17" s="336">
        <f t="shared" si="5"/>
        <v>130000</v>
      </c>
      <c r="S17" s="327">
        <f t="shared" si="6"/>
        <v>0.8</v>
      </c>
      <c r="T17" s="328">
        <f t="shared" si="12"/>
        <v>104000</v>
      </c>
      <c r="U17" s="339">
        <f>U16-$U$7</f>
        <v>3.1E-2</v>
      </c>
      <c r="V17" s="329">
        <f t="shared" si="7"/>
        <v>0.03</v>
      </c>
      <c r="W17" s="328">
        <f t="shared" si="8"/>
        <v>570</v>
      </c>
      <c r="X17" s="328">
        <f>W17+Cockpit!$K$9</f>
        <v>630</v>
      </c>
      <c r="Y17" s="328">
        <f>-Cockpit!$K$12-Cockpit!$H$25*(Szenarien!W17-Szenarien!$AL$13)</f>
        <v>-133.9</v>
      </c>
      <c r="Z17" s="328">
        <f>Cockpit!$Q$21-U17*(T17-$T$13)/12-(U17-$U$13)*$T$13/12</f>
        <v>-268.66666666666669</v>
      </c>
      <c r="AA17" s="328">
        <f>Cockpit!$Q$22-V17*(T17-$T$13)/12-(V17-$V$13)*$T$13/12</f>
        <v>-260</v>
      </c>
      <c r="AB17" s="328">
        <f t="shared" si="13"/>
        <v>-32.566666666666663</v>
      </c>
      <c r="AC17" s="328">
        <f>Cockpit!$Q$29</f>
        <v>-90</v>
      </c>
      <c r="AD17" s="328">
        <f>Cockpit!$Q$31-Cockpit!$H$20*Cockpit!$H$21*(1+Cockpit!$D$22)*(R17-$R13)/12</f>
        <v>-162.51305555555555</v>
      </c>
      <c r="AE17" s="328">
        <f>(X17+Z17+AC17+AD17)*Cockpit!$Q$33</f>
        <v>43.528111111111109</v>
      </c>
      <c r="AF17" s="288">
        <f t="shared" si="15"/>
        <v>-76.094777777777779</v>
      </c>
    </row>
    <row r="20" spans="2:48" ht="13.5" thickBot="1">
      <c r="B20" s="57"/>
      <c r="C20" s="57" t="s">
        <v>284</v>
      </c>
      <c r="R20" s="57"/>
      <c r="S20" s="57"/>
      <c r="U20" s="57"/>
      <c r="V20" s="57" t="s">
        <v>284</v>
      </c>
      <c r="AH20" s="57"/>
      <c r="AI20" s="57"/>
      <c r="AK20" s="57"/>
      <c r="AL20" s="57"/>
      <c r="AM20" s="57" t="s">
        <v>284</v>
      </c>
    </row>
    <row r="21" spans="2:48" ht="12.75" customHeight="1" thickBot="1">
      <c r="B21" s="506" t="s">
        <v>1</v>
      </c>
      <c r="C21" s="357">
        <v>0.05</v>
      </c>
      <c r="D21" s="509" t="s">
        <v>292</v>
      </c>
      <c r="E21" s="504" t="s">
        <v>370</v>
      </c>
      <c r="F21" s="504" t="s">
        <v>371</v>
      </c>
      <c r="G21" s="504" t="s">
        <v>283</v>
      </c>
      <c r="H21" s="504" t="s">
        <v>478</v>
      </c>
      <c r="I21" s="504" t="s">
        <v>79</v>
      </c>
      <c r="J21" s="504" t="s">
        <v>43</v>
      </c>
      <c r="K21" s="504" t="s">
        <v>44</v>
      </c>
      <c r="L21" s="504" t="s">
        <v>287</v>
      </c>
      <c r="M21" s="504" t="s">
        <v>289</v>
      </c>
      <c r="N21" s="504" t="s">
        <v>288</v>
      </c>
      <c r="O21" s="504" t="s">
        <v>101</v>
      </c>
      <c r="P21" s="511" t="s">
        <v>286</v>
      </c>
      <c r="R21" s="515" t="s">
        <v>1</v>
      </c>
      <c r="S21" s="504" t="s">
        <v>369</v>
      </c>
      <c r="T21" s="504" t="s">
        <v>292</v>
      </c>
      <c r="U21" s="514" t="s">
        <v>370</v>
      </c>
      <c r="V21" s="356">
        <v>5.0000000000000001E-3</v>
      </c>
      <c r="W21" s="508" t="s">
        <v>283</v>
      </c>
      <c r="X21" s="513" t="s">
        <v>478</v>
      </c>
      <c r="Y21" s="513" t="s">
        <v>79</v>
      </c>
      <c r="Z21" s="513" t="s">
        <v>43</v>
      </c>
      <c r="AA21" s="513" t="s">
        <v>44</v>
      </c>
      <c r="AB21" s="513" t="s">
        <v>287</v>
      </c>
      <c r="AC21" s="513" t="s">
        <v>289</v>
      </c>
      <c r="AD21" s="513" t="s">
        <v>288</v>
      </c>
      <c r="AE21" s="513" t="s">
        <v>101</v>
      </c>
      <c r="AF21" s="511" t="s">
        <v>286</v>
      </c>
      <c r="AH21" s="515" t="s">
        <v>1</v>
      </c>
      <c r="AI21" s="504" t="s">
        <v>369</v>
      </c>
      <c r="AJ21" s="504" t="s">
        <v>292</v>
      </c>
      <c r="AK21" s="504" t="s">
        <v>370</v>
      </c>
      <c r="AL21" s="514" t="s">
        <v>371</v>
      </c>
      <c r="AM21" s="358">
        <v>20</v>
      </c>
      <c r="AN21" s="509" t="s">
        <v>478</v>
      </c>
      <c r="AO21" s="513" t="s">
        <v>79</v>
      </c>
      <c r="AP21" s="513" t="s">
        <v>43</v>
      </c>
      <c r="AQ21" s="513" t="s">
        <v>44</v>
      </c>
      <c r="AR21" s="513" t="s">
        <v>287</v>
      </c>
      <c r="AS21" s="513" t="s">
        <v>289</v>
      </c>
      <c r="AT21" s="513" t="s">
        <v>288</v>
      </c>
      <c r="AU21" s="513" t="s">
        <v>101</v>
      </c>
      <c r="AV21" s="511" t="s">
        <v>286</v>
      </c>
    </row>
    <row r="22" spans="2:48" ht="15.75" customHeight="1" thickBot="1">
      <c r="B22" s="507"/>
      <c r="C22" s="315" t="s">
        <v>285</v>
      </c>
      <c r="D22" s="510"/>
      <c r="E22" s="505"/>
      <c r="F22" s="505"/>
      <c r="G22" s="505"/>
      <c r="H22" s="505"/>
      <c r="I22" s="505"/>
      <c r="J22" s="505"/>
      <c r="K22" s="505"/>
      <c r="L22" s="505"/>
      <c r="M22" s="505"/>
      <c r="N22" s="505"/>
      <c r="O22" s="505"/>
      <c r="P22" s="512"/>
      <c r="R22" s="507"/>
      <c r="S22" s="505"/>
      <c r="T22" s="505"/>
      <c r="U22" s="505"/>
      <c r="V22" s="315" t="s">
        <v>44</v>
      </c>
      <c r="W22" s="505"/>
      <c r="X22" s="510"/>
      <c r="Y22" s="510"/>
      <c r="Z22" s="510"/>
      <c r="AA22" s="510"/>
      <c r="AB22" s="510"/>
      <c r="AC22" s="510"/>
      <c r="AD22" s="510"/>
      <c r="AE22" s="510"/>
      <c r="AF22" s="512"/>
      <c r="AH22" s="507"/>
      <c r="AI22" s="505"/>
      <c r="AJ22" s="505"/>
      <c r="AK22" s="505"/>
      <c r="AL22" s="505"/>
      <c r="AM22" s="315" t="s">
        <v>283</v>
      </c>
      <c r="AN22" s="510"/>
      <c r="AO22" s="510"/>
      <c r="AP22" s="510"/>
      <c r="AQ22" s="510"/>
      <c r="AR22" s="510"/>
      <c r="AS22" s="510"/>
      <c r="AT22" s="510"/>
      <c r="AU22" s="510"/>
      <c r="AV22" s="512"/>
    </row>
    <row r="23" spans="2:48">
      <c r="B23" s="330">
        <f t="shared" ref="B23:B31" si="16">$AL$9</f>
        <v>130000</v>
      </c>
      <c r="C23" s="331">
        <f>C24+$C$21</f>
        <v>1.0000000000000002</v>
      </c>
      <c r="D23" s="332">
        <f t="shared" ref="D23:D31" si="17">C23*B23</f>
        <v>130000.00000000003</v>
      </c>
      <c r="E23" s="319">
        <f t="shared" ref="E23:E31" si="18">$AL$11</f>
        <v>3.5000000000000003E-2</v>
      </c>
      <c r="F23" s="319">
        <f t="shared" ref="F23:F31" si="19">$AL$12</f>
        <v>0.03</v>
      </c>
      <c r="G23" s="318">
        <f t="shared" ref="G23:G31" si="20">$AL$13</f>
        <v>570</v>
      </c>
      <c r="H23" s="318">
        <f>G23+Cockpit!$K$9</f>
        <v>630</v>
      </c>
      <c r="I23" s="318">
        <f>-Cockpit!$K$12-Cockpit!$H$25*(Szenarien!G23-Szenarien!$AL$13)</f>
        <v>-133.9</v>
      </c>
      <c r="J23" s="318">
        <f>Cockpit!$Q$21-E23*(D23-$D27)/12</f>
        <v>-379.1666666666668</v>
      </c>
      <c r="K23" s="318">
        <f>Cockpit!$Q$22-F23*(D23-$D27)/12</f>
        <v>-325.00000000000006</v>
      </c>
      <c r="L23" s="318">
        <f>H23+I23+J23+K23</f>
        <v>-208.06666666666683</v>
      </c>
      <c r="M23" s="318">
        <f>Cockpit!$Q$29</f>
        <v>-90</v>
      </c>
      <c r="N23" s="318">
        <f>Cockpit!$Q$31-Cockpit!$H$20*Cockpit!$H$21*(1+Cockpit!$D$22)*(B23-$B27)/12</f>
        <v>-162.51305555555555</v>
      </c>
      <c r="O23" s="318">
        <f>(H23+J23+M23+N23)*Cockpit!$Q$33</f>
        <v>-0.67188888888894105</v>
      </c>
      <c r="P23" s="320">
        <f t="shared" ref="P23:P26" si="21">L23-O23</f>
        <v>-207.3947777777779</v>
      </c>
      <c r="R23" s="330">
        <f t="shared" ref="R23:R31" si="22">$AL$9</f>
        <v>130000</v>
      </c>
      <c r="S23" s="317">
        <f t="shared" ref="S23:S31" si="23">$AL$10</f>
        <v>0.8</v>
      </c>
      <c r="T23" s="318">
        <f>R23*S23</f>
        <v>104000</v>
      </c>
      <c r="U23" s="319">
        <f t="shared" ref="U23:U31" si="24">$AL$11</f>
        <v>3.5000000000000003E-2</v>
      </c>
      <c r="V23" s="338">
        <f>V24+$V$21</f>
        <v>4.9999999999999989E-2</v>
      </c>
      <c r="W23" s="318">
        <f t="shared" ref="W23:W31" si="25">$AL$13</f>
        <v>570</v>
      </c>
      <c r="X23" s="318">
        <f>W23+Cockpit!$K$9</f>
        <v>630</v>
      </c>
      <c r="Y23" s="318">
        <f>-Cockpit!$K$12-Cockpit!$H$25*(Szenarien!W23-Szenarien!$AL$13)</f>
        <v>-133.9</v>
      </c>
      <c r="Z23" s="318">
        <f>Cockpit!$Q$21-U23*(T23-$T$13)/12-(U23-$U$13)*$T$13/12</f>
        <v>-303.33333333333337</v>
      </c>
      <c r="AA23" s="318">
        <f>Cockpit!$Q$22-V23*(T23-$T$13)/12-(V23-$V$13)*$T$13/12</f>
        <v>-433.33333333333326</v>
      </c>
      <c r="AB23" s="318">
        <f>X23+Y23+Z23+AA23</f>
        <v>-240.56666666666661</v>
      </c>
      <c r="AC23" s="318">
        <f>Cockpit!$Q$29</f>
        <v>-90</v>
      </c>
      <c r="AD23" s="318">
        <f>Cockpit!$Q$31-Cockpit!$H$20*Cockpit!$H$21*(1+Cockpit!$D$22)*(R23-$R27)/12</f>
        <v>-162.51305555555555</v>
      </c>
      <c r="AE23" s="318">
        <f>(X23+Z23+AC23+AD23)*Cockpit!$Q$33</f>
        <v>29.661444444444431</v>
      </c>
      <c r="AF23" s="320">
        <f t="shared" ref="AF23:AF26" si="26">AB23-AE23</f>
        <v>-270.22811111111105</v>
      </c>
      <c r="AH23" s="330">
        <f t="shared" ref="AH23:AH31" si="27">$AL$9</f>
        <v>130000</v>
      </c>
      <c r="AI23" s="317">
        <f t="shared" ref="AI23:AI31" si="28">$AL$10</f>
        <v>0.8</v>
      </c>
      <c r="AJ23" s="318">
        <f>AH23*AI23</f>
        <v>104000</v>
      </c>
      <c r="AK23" s="319">
        <f t="shared" ref="AK23:AK31" si="29">$AL$11</f>
        <v>3.5000000000000003E-2</v>
      </c>
      <c r="AL23" s="319">
        <f t="shared" ref="AL23:AL31" si="30">$AL$12</f>
        <v>0.03</v>
      </c>
      <c r="AM23" s="340">
        <f>AM24+$AM$21</f>
        <v>650</v>
      </c>
      <c r="AN23" s="318">
        <f>AM23+Cockpit!$K$9</f>
        <v>710</v>
      </c>
      <c r="AO23" s="318">
        <f>-Cockpit!$K$12-Cockpit!$H$25*(Szenarien!AM23-Szenarien!$AL$13)</f>
        <v>-136.30000000000001</v>
      </c>
      <c r="AP23" s="318">
        <f>Cockpit!$Q$21-AK23*(AJ23-$T$13)/12-(AK23-$U$13)*$T$13/12</f>
        <v>-303.33333333333337</v>
      </c>
      <c r="AQ23" s="318">
        <f>Cockpit!$Q$22-AL23*(AJ23-$T$13)/12-(AL23-$V$13)*$T$13/12</f>
        <v>-260</v>
      </c>
      <c r="AR23" s="318">
        <f>AN23+AO23+AP23+AQ23</f>
        <v>10.366666666666674</v>
      </c>
      <c r="AS23" s="318">
        <f>Cockpit!$Q$29</f>
        <v>-90</v>
      </c>
      <c r="AT23" s="318">
        <f>Cockpit!$Q$31-Cockpit!$H$20*Cockpit!$H$21*(1+Cockpit!$D$22)*(AH23-$AH27)/12</f>
        <v>-162.51305555555555</v>
      </c>
      <c r="AU23" s="318">
        <f>(AN23+AP23+AS23+AT23)*Cockpit!$Q$33</f>
        <v>61.661444444444435</v>
      </c>
      <c r="AV23" s="320">
        <f t="shared" ref="AV23:AV26" si="31">AR23-AU23</f>
        <v>-51.29477777777776</v>
      </c>
    </row>
    <row r="24" spans="2:48">
      <c r="B24" s="333">
        <f t="shared" si="16"/>
        <v>130000</v>
      </c>
      <c r="C24" s="126">
        <f>C25+$C$21</f>
        <v>0.95000000000000018</v>
      </c>
      <c r="D24" s="51">
        <f t="shared" si="17"/>
        <v>123500.00000000003</v>
      </c>
      <c r="E24" s="49">
        <f t="shared" si="18"/>
        <v>3.5000000000000003E-2</v>
      </c>
      <c r="F24" s="49">
        <f t="shared" si="19"/>
        <v>0.03</v>
      </c>
      <c r="G24" s="48">
        <f t="shared" si="20"/>
        <v>570</v>
      </c>
      <c r="H24" s="48">
        <f>G24+Cockpit!$K$9</f>
        <v>630</v>
      </c>
      <c r="I24" s="48">
        <f>-Cockpit!$K$12-Cockpit!$H$25*(Szenarien!G24-Szenarien!$AL$13)</f>
        <v>-133.9</v>
      </c>
      <c r="J24" s="48">
        <f>Cockpit!$Q$21-E24*(D24-$D27)/12</f>
        <v>-360.20833333333348</v>
      </c>
      <c r="K24" s="48">
        <f>Cockpit!$Q$22-F24*(D24-$D27)/12</f>
        <v>-308.75000000000006</v>
      </c>
      <c r="L24" s="48">
        <f t="shared" ref="L24:L31" si="32">H24+I24+J24+K24</f>
        <v>-172.85833333333352</v>
      </c>
      <c r="M24" s="48">
        <f>Cockpit!$Q$29</f>
        <v>-90</v>
      </c>
      <c r="N24" s="48">
        <f>Cockpit!$Q$31-Cockpit!$H$20*Cockpit!$H$21*(1+Cockpit!$D$22)*(B24-$B27)/12</f>
        <v>-162.51305555555555</v>
      </c>
      <c r="O24" s="48">
        <f>(H24+J24+M24+N24)*Cockpit!$Q$33</f>
        <v>6.9114444444443848</v>
      </c>
      <c r="P24" s="286">
        <f t="shared" si="21"/>
        <v>-179.7697777777779</v>
      </c>
      <c r="R24" s="333">
        <f t="shared" si="22"/>
        <v>130000</v>
      </c>
      <c r="S24" s="47">
        <f t="shared" si="23"/>
        <v>0.8</v>
      </c>
      <c r="T24" s="48">
        <f t="shared" ref="T24:T31" si="33">R24*S24</f>
        <v>104000</v>
      </c>
      <c r="U24" s="49">
        <f t="shared" si="24"/>
        <v>3.5000000000000003E-2</v>
      </c>
      <c r="V24" s="129">
        <f>V25+$V$21</f>
        <v>4.4999999999999991E-2</v>
      </c>
      <c r="W24" s="48">
        <f t="shared" si="25"/>
        <v>570</v>
      </c>
      <c r="X24" s="48">
        <f>W24+Cockpit!$K$9</f>
        <v>630</v>
      </c>
      <c r="Y24" s="48">
        <f>-Cockpit!$K$12-Cockpit!$H$25*(Szenarien!W24-Szenarien!$AL$13)</f>
        <v>-133.9</v>
      </c>
      <c r="Z24" s="48">
        <f>Cockpit!$Q$21-U24*(T24-$T$13)/12-(U24-$U$13)*$T$13/12</f>
        <v>-303.33333333333337</v>
      </c>
      <c r="AA24" s="48">
        <f>Cockpit!$Q$22-V24*(T24-$T$13)/12-(V24-$V$13)*$T$13/12</f>
        <v>-389.99999999999994</v>
      </c>
      <c r="AB24" s="48">
        <f t="shared" ref="AB24:AB31" si="34">X24+Y24+Z24+AA24</f>
        <v>-197.23333333333329</v>
      </c>
      <c r="AC24" s="48">
        <f>Cockpit!$Q$29</f>
        <v>-90</v>
      </c>
      <c r="AD24" s="48">
        <f>Cockpit!$Q$31-Cockpit!$H$20*Cockpit!$H$21*(1+Cockpit!$D$22)*(R24-$R27)/12</f>
        <v>-162.51305555555555</v>
      </c>
      <c r="AE24" s="48">
        <f>(X24+Z24+AC24+AD24)*Cockpit!$Q$33</f>
        <v>29.661444444444431</v>
      </c>
      <c r="AF24" s="286">
        <f t="shared" si="26"/>
        <v>-226.89477777777773</v>
      </c>
      <c r="AH24" s="333">
        <f t="shared" si="27"/>
        <v>130000</v>
      </c>
      <c r="AI24" s="47">
        <f t="shared" si="28"/>
        <v>0.8</v>
      </c>
      <c r="AJ24" s="48">
        <f t="shared" ref="AJ24:AJ31" si="35">AH24*AI24</f>
        <v>104000</v>
      </c>
      <c r="AK24" s="49">
        <f t="shared" si="29"/>
        <v>3.5000000000000003E-2</v>
      </c>
      <c r="AL24" s="49">
        <f t="shared" si="30"/>
        <v>0.03</v>
      </c>
      <c r="AM24" s="132">
        <f>AM25+$AM$21</f>
        <v>630</v>
      </c>
      <c r="AN24" s="48">
        <f>AM24+Cockpit!$K$9</f>
        <v>690</v>
      </c>
      <c r="AO24" s="48">
        <f>-Cockpit!$K$12-Cockpit!$H$25*(Szenarien!AM24-Szenarien!$AL$13)</f>
        <v>-135.70000000000002</v>
      </c>
      <c r="AP24" s="48">
        <f>Cockpit!$Q$21-AK24*(AJ24-$T$13)/12-(AK24-$U$13)*$T$13/12</f>
        <v>-303.33333333333337</v>
      </c>
      <c r="AQ24" s="48">
        <f>Cockpit!$Q$22-AL24*(AJ24-$T$13)/12-(AL24-$V$13)*$T$13/12</f>
        <v>-260</v>
      </c>
      <c r="AR24" s="48">
        <f t="shared" ref="AR24:AR31" si="36">AN24+AO24+AP24+AQ24</f>
        <v>-9.0333333333334167</v>
      </c>
      <c r="AS24" s="48">
        <f>Cockpit!$Q$29</f>
        <v>-90</v>
      </c>
      <c r="AT24" s="48">
        <f>Cockpit!$Q$31-Cockpit!$H$20*Cockpit!$H$21*(1+Cockpit!$D$22)*(AH24-$AH27)/12</f>
        <v>-162.51305555555555</v>
      </c>
      <c r="AU24" s="48">
        <f>(AN24+AP24+AS24+AT24)*Cockpit!$Q$33</f>
        <v>53.661444444444435</v>
      </c>
      <c r="AV24" s="286">
        <f t="shared" si="31"/>
        <v>-62.694777777777851</v>
      </c>
    </row>
    <row r="25" spans="2:48">
      <c r="B25" s="333">
        <f t="shared" si="16"/>
        <v>130000</v>
      </c>
      <c r="C25" s="126">
        <f>C26+$C$21</f>
        <v>0.90000000000000013</v>
      </c>
      <c r="D25" s="51">
        <f t="shared" si="17"/>
        <v>117000.00000000001</v>
      </c>
      <c r="E25" s="49">
        <f t="shared" si="18"/>
        <v>3.5000000000000003E-2</v>
      </c>
      <c r="F25" s="49">
        <f t="shared" si="19"/>
        <v>0.03</v>
      </c>
      <c r="G25" s="48">
        <f t="shared" si="20"/>
        <v>570</v>
      </c>
      <c r="H25" s="48">
        <f>G25+Cockpit!$K$9</f>
        <v>630</v>
      </c>
      <c r="I25" s="48">
        <f>-Cockpit!$K$12-Cockpit!$H$25*(Szenarien!G25-Szenarien!$AL$13)</f>
        <v>-133.9</v>
      </c>
      <c r="J25" s="48">
        <f>Cockpit!$Q$21-E25*(D25-$D27)/12</f>
        <v>-341.25000000000011</v>
      </c>
      <c r="K25" s="48">
        <f>Cockpit!$Q$22-F25*(D25-$D27)/12</f>
        <v>-292.50000000000006</v>
      </c>
      <c r="L25" s="48">
        <f t="shared" si="32"/>
        <v>-137.65000000000015</v>
      </c>
      <c r="M25" s="48">
        <f>Cockpit!$Q$29</f>
        <v>-90</v>
      </c>
      <c r="N25" s="48">
        <f>Cockpit!$Q$31-Cockpit!$H$20*Cockpit!$H$21*(1+Cockpit!$D$22)*(B25-$B27)/12</f>
        <v>-162.51305555555555</v>
      </c>
      <c r="O25" s="48">
        <f>(H25+J25+M25+N25)*Cockpit!$Q$33</f>
        <v>14.494777777777735</v>
      </c>
      <c r="P25" s="286">
        <f t="shared" si="21"/>
        <v>-152.14477777777788</v>
      </c>
      <c r="R25" s="333">
        <f t="shared" si="22"/>
        <v>130000</v>
      </c>
      <c r="S25" s="47">
        <f t="shared" si="23"/>
        <v>0.8</v>
      </c>
      <c r="T25" s="48">
        <f t="shared" si="33"/>
        <v>104000</v>
      </c>
      <c r="U25" s="49">
        <f t="shared" si="24"/>
        <v>3.5000000000000003E-2</v>
      </c>
      <c r="V25" s="129">
        <f>V26+$V$21</f>
        <v>3.9999999999999994E-2</v>
      </c>
      <c r="W25" s="48">
        <f t="shared" si="25"/>
        <v>570</v>
      </c>
      <c r="X25" s="48">
        <f>W25+Cockpit!$K$9</f>
        <v>630</v>
      </c>
      <c r="Y25" s="48">
        <f>-Cockpit!$K$12-Cockpit!$H$25*(Szenarien!W25-Szenarien!$AL$13)</f>
        <v>-133.9</v>
      </c>
      <c r="Z25" s="48">
        <f>Cockpit!$Q$21-U25*(T25-$T$13)/12-(U25-$U$13)*$T$13/12</f>
        <v>-303.33333333333337</v>
      </c>
      <c r="AA25" s="48">
        <f>Cockpit!$Q$22-V25*(T25-$T$13)/12-(V25-$V$13)*$T$13/12</f>
        <v>-346.66666666666663</v>
      </c>
      <c r="AB25" s="48">
        <f t="shared" si="34"/>
        <v>-153.89999999999998</v>
      </c>
      <c r="AC25" s="48">
        <f>Cockpit!$Q$29</f>
        <v>-90</v>
      </c>
      <c r="AD25" s="48">
        <f>Cockpit!$Q$31-Cockpit!$H$20*Cockpit!$H$21*(1+Cockpit!$D$22)*(R25-$R27)/12</f>
        <v>-162.51305555555555</v>
      </c>
      <c r="AE25" s="48">
        <f>(X25+Z25+AC25+AD25)*Cockpit!$Q$33</f>
        <v>29.661444444444431</v>
      </c>
      <c r="AF25" s="286">
        <f t="shared" si="26"/>
        <v>-183.56144444444442</v>
      </c>
      <c r="AH25" s="333">
        <f t="shared" si="27"/>
        <v>130000</v>
      </c>
      <c r="AI25" s="47">
        <f t="shared" si="28"/>
        <v>0.8</v>
      </c>
      <c r="AJ25" s="48">
        <f t="shared" si="35"/>
        <v>104000</v>
      </c>
      <c r="AK25" s="49">
        <f t="shared" si="29"/>
        <v>3.5000000000000003E-2</v>
      </c>
      <c r="AL25" s="49">
        <f t="shared" si="30"/>
        <v>0.03</v>
      </c>
      <c r="AM25" s="132">
        <f>AM26+$AM$21</f>
        <v>610</v>
      </c>
      <c r="AN25" s="48">
        <f>AM25+Cockpit!$K$9</f>
        <v>670</v>
      </c>
      <c r="AO25" s="48">
        <f>-Cockpit!$K$12-Cockpit!$H$25*(Szenarien!AM25-Szenarien!$AL$13)</f>
        <v>-135.1</v>
      </c>
      <c r="AP25" s="48">
        <f>Cockpit!$Q$21-AK25*(AJ25-$T$13)/12-(AK25-$U$13)*$T$13/12</f>
        <v>-303.33333333333337</v>
      </c>
      <c r="AQ25" s="48">
        <f>Cockpit!$Q$22-AL25*(AJ25-$T$13)/12-(AL25-$V$13)*$T$13/12</f>
        <v>-260</v>
      </c>
      <c r="AR25" s="48">
        <f t="shared" si="36"/>
        <v>-28.433333333333394</v>
      </c>
      <c r="AS25" s="48">
        <f>Cockpit!$Q$29</f>
        <v>-90</v>
      </c>
      <c r="AT25" s="48">
        <f>Cockpit!$Q$31-Cockpit!$H$20*Cockpit!$H$21*(1+Cockpit!$D$22)*(AH25-$AH27)/12</f>
        <v>-162.51305555555555</v>
      </c>
      <c r="AU25" s="48">
        <f>(AN25+AP25+AS25+AT25)*Cockpit!$Q$33</f>
        <v>45.661444444444435</v>
      </c>
      <c r="AV25" s="286">
        <f t="shared" si="31"/>
        <v>-74.094777777777836</v>
      </c>
    </row>
    <row r="26" spans="2:48" ht="13.5" thickBot="1">
      <c r="B26" s="334">
        <f t="shared" si="16"/>
        <v>130000</v>
      </c>
      <c r="C26" s="126">
        <f>C27+$C$21</f>
        <v>0.85000000000000009</v>
      </c>
      <c r="D26" s="51">
        <f t="shared" si="17"/>
        <v>110500.00000000001</v>
      </c>
      <c r="E26" s="52">
        <f t="shared" si="18"/>
        <v>3.5000000000000003E-2</v>
      </c>
      <c r="F26" s="52">
        <f t="shared" si="19"/>
        <v>0.03</v>
      </c>
      <c r="G26" s="51">
        <f t="shared" si="20"/>
        <v>570</v>
      </c>
      <c r="H26" s="51">
        <f>G26+Cockpit!$K$9</f>
        <v>630</v>
      </c>
      <c r="I26" s="51">
        <f>-Cockpit!$K$12-Cockpit!$H$25*(Szenarien!G26-Szenarien!$AL$13)</f>
        <v>-133.9</v>
      </c>
      <c r="J26" s="51">
        <f>Cockpit!$Q$21-E26*(D26-$D27)/12</f>
        <v>-322.29166666666674</v>
      </c>
      <c r="K26" s="51">
        <f>Cockpit!$Q$22-F26*(D26-$D27)/12</f>
        <v>-276.25000000000006</v>
      </c>
      <c r="L26" s="51">
        <f t="shared" si="32"/>
        <v>-102.44166666666678</v>
      </c>
      <c r="M26" s="51">
        <f>Cockpit!$Q$29</f>
        <v>-90</v>
      </c>
      <c r="N26" s="51">
        <f>Cockpit!$Q$31-Cockpit!$H$20*Cockpit!$H$21*(1+Cockpit!$D$22)*(B26-$B27)/12</f>
        <v>-162.51305555555555</v>
      </c>
      <c r="O26" s="51">
        <f>(H26+J26+M26+N26)*Cockpit!$Q$33</f>
        <v>22.078111111111085</v>
      </c>
      <c r="P26" s="323">
        <f t="shared" si="21"/>
        <v>-124.51977777777786</v>
      </c>
      <c r="R26" s="334">
        <f t="shared" si="22"/>
        <v>130000</v>
      </c>
      <c r="S26" s="50">
        <f t="shared" si="23"/>
        <v>0.8</v>
      </c>
      <c r="T26" s="51">
        <f t="shared" si="33"/>
        <v>104000</v>
      </c>
      <c r="U26" s="52">
        <f t="shared" si="24"/>
        <v>3.5000000000000003E-2</v>
      </c>
      <c r="V26" s="130">
        <f>V27+$V$21</f>
        <v>3.4999999999999996E-2</v>
      </c>
      <c r="W26" s="51">
        <f t="shared" si="25"/>
        <v>570</v>
      </c>
      <c r="X26" s="51">
        <f>W26+Cockpit!$K$9</f>
        <v>630</v>
      </c>
      <c r="Y26" s="51">
        <f>-Cockpit!$K$12-Cockpit!$H$25*(Szenarien!W26-Szenarien!$AL$13)</f>
        <v>-133.9</v>
      </c>
      <c r="Z26" s="51">
        <f>Cockpit!$Q$21-U26*(T26-$T$13)/12-(U26-$U$13)*$T$13/12</f>
        <v>-303.33333333333337</v>
      </c>
      <c r="AA26" s="51">
        <f>Cockpit!$Q$22-V26*(T26-$T$13)/12-(V26-$V$13)*$T$13/12</f>
        <v>-303.33333333333331</v>
      </c>
      <c r="AB26" s="51">
        <f t="shared" si="34"/>
        <v>-110.56666666666666</v>
      </c>
      <c r="AC26" s="51">
        <f>Cockpit!$Q$29</f>
        <v>-90</v>
      </c>
      <c r="AD26" s="51">
        <f>Cockpit!$Q$31-Cockpit!$H$20*Cockpit!$H$21*(1+Cockpit!$D$22)*(R26-$R27)/12</f>
        <v>-162.51305555555555</v>
      </c>
      <c r="AE26" s="51">
        <f>(X26+Z26+AC26+AD26)*Cockpit!$Q$33</f>
        <v>29.661444444444431</v>
      </c>
      <c r="AF26" s="323">
        <f t="shared" si="26"/>
        <v>-140.2281111111111</v>
      </c>
      <c r="AH26" s="334">
        <f t="shared" si="27"/>
        <v>130000</v>
      </c>
      <c r="AI26" s="50">
        <f t="shared" si="28"/>
        <v>0.8</v>
      </c>
      <c r="AJ26" s="51">
        <f t="shared" si="35"/>
        <v>104000</v>
      </c>
      <c r="AK26" s="52">
        <f t="shared" si="29"/>
        <v>3.5000000000000003E-2</v>
      </c>
      <c r="AL26" s="52">
        <f t="shared" si="30"/>
        <v>0.03</v>
      </c>
      <c r="AM26" s="133">
        <f>AM27+$AM$21</f>
        <v>590</v>
      </c>
      <c r="AN26" s="51">
        <f>AM26+Cockpit!$K$9</f>
        <v>650</v>
      </c>
      <c r="AO26" s="51">
        <f>-Cockpit!$K$12-Cockpit!$H$25*(Szenarien!AM26-Szenarien!$AL$13)</f>
        <v>-134.5</v>
      </c>
      <c r="AP26" s="51">
        <f>Cockpit!$Q$21-AK26*(AJ26-$T$13)/12-(AK26-$U$13)*$T$13/12</f>
        <v>-303.33333333333337</v>
      </c>
      <c r="AQ26" s="51">
        <f>Cockpit!$Q$22-AL26*(AJ26-$T$13)/12-(AL26-$V$13)*$T$13/12</f>
        <v>-260</v>
      </c>
      <c r="AR26" s="51">
        <f t="shared" si="36"/>
        <v>-47.833333333333371</v>
      </c>
      <c r="AS26" s="51">
        <f>Cockpit!$Q$29</f>
        <v>-90</v>
      </c>
      <c r="AT26" s="51">
        <f>Cockpit!$Q$31-Cockpit!$H$20*Cockpit!$H$21*(1+Cockpit!$D$22)*(AH26-$AH27)/12</f>
        <v>-162.51305555555555</v>
      </c>
      <c r="AU26" s="51">
        <f>(AN26+AP26+AS26+AT26)*Cockpit!$Q$33</f>
        <v>37.661444444444435</v>
      </c>
      <c r="AV26" s="323">
        <f t="shared" si="31"/>
        <v>-85.494777777777813</v>
      </c>
    </row>
    <row r="27" spans="2:48" ht="13.5" thickBot="1">
      <c r="B27" s="347">
        <f t="shared" si="16"/>
        <v>130000</v>
      </c>
      <c r="C27" s="350">
        <f>$AL$10</f>
        <v>0.8</v>
      </c>
      <c r="D27" s="344">
        <f t="shared" si="17"/>
        <v>104000</v>
      </c>
      <c r="E27" s="345">
        <f t="shared" si="18"/>
        <v>3.5000000000000003E-2</v>
      </c>
      <c r="F27" s="345">
        <f t="shared" si="19"/>
        <v>0.03</v>
      </c>
      <c r="G27" s="344">
        <f t="shared" si="20"/>
        <v>570</v>
      </c>
      <c r="H27" s="344">
        <f>G27+Cockpit!$K$9</f>
        <v>630</v>
      </c>
      <c r="I27" s="344">
        <f>-Cockpit!$K$12-Cockpit!$H$25*(Szenarien!G27-Szenarien!$AL$13)</f>
        <v>-133.9</v>
      </c>
      <c r="J27" s="344">
        <f>Cockpit!$Q$21-E27*(D27-$D27)/12</f>
        <v>-303.33333333333337</v>
      </c>
      <c r="K27" s="344">
        <f>Cockpit!$Q$22-F27*(D27-$D27)/12</f>
        <v>-260</v>
      </c>
      <c r="L27" s="344">
        <f t="shared" si="32"/>
        <v>-67.233333333333348</v>
      </c>
      <c r="M27" s="344">
        <f>Cockpit!$Q$29</f>
        <v>-90</v>
      </c>
      <c r="N27" s="344">
        <f>Cockpit!$Q$31-Cockpit!$H$20*Cockpit!$H$21*(1+Cockpit!$D$22)*(B27-$B27)/12</f>
        <v>-162.51305555555555</v>
      </c>
      <c r="O27" s="344">
        <f>(H27+J27+M27+N27)*Cockpit!$Q$33</f>
        <v>29.661444444444431</v>
      </c>
      <c r="P27" s="346">
        <f>L27-O27</f>
        <v>-96.894777777777776</v>
      </c>
      <c r="R27" s="347">
        <f t="shared" si="22"/>
        <v>130000</v>
      </c>
      <c r="S27" s="343">
        <f t="shared" si="23"/>
        <v>0.8</v>
      </c>
      <c r="T27" s="344">
        <f t="shared" si="33"/>
        <v>104000</v>
      </c>
      <c r="U27" s="345">
        <f t="shared" si="24"/>
        <v>3.5000000000000003E-2</v>
      </c>
      <c r="V27" s="348">
        <f>$AL$12</f>
        <v>0.03</v>
      </c>
      <c r="W27" s="344">
        <f t="shared" si="25"/>
        <v>570</v>
      </c>
      <c r="X27" s="344">
        <f>W27+Cockpit!$K$9</f>
        <v>630</v>
      </c>
      <c r="Y27" s="344">
        <f>-Cockpit!$K$12-Cockpit!$H$25*(Szenarien!W27-Szenarien!$AL$13)</f>
        <v>-133.9</v>
      </c>
      <c r="Z27" s="344">
        <f>Cockpit!$Q$21-U27*(T27-$T$13)/12-(U27-$U$13)*$T$13/12</f>
        <v>-303.33333333333337</v>
      </c>
      <c r="AA27" s="344">
        <f>Cockpit!$Q$22-V27*(T27-$T$13)/12-(V27-$V$13)*$T$13/12</f>
        <v>-260</v>
      </c>
      <c r="AB27" s="344">
        <f t="shared" si="34"/>
        <v>-67.233333333333348</v>
      </c>
      <c r="AC27" s="344">
        <f>Cockpit!$Q$29</f>
        <v>-90</v>
      </c>
      <c r="AD27" s="344">
        <f>Cockpit!$Q$31-Cockpit!$H$20*Cockpit!$H$21*(1+Cockpit!$D$22)*(R27-$R27)/12</f>
        <v>-162.51305555555555</v>
      </c>
      <c r="AE27" s="344">
        <f>(X27+Z27+AC27+AD27)*Cockpit!$Q$33</f>
        <v>29.661444444444431</v>
      </c>
      <c r="AF27" s="346">
        <f>AB27-AE27</f>
        <v>-96.894777777777776</v>
      </c>
      <c r="AH27" s="347">
        <f t="shared" si="27"/>
        <v>130000</v>
      </c>
      <c r="AI27" s="343">
        <f t="shared" si="28"/>
        <v>0.8</v>
      </c>
      <c r="AJ27" s="344">
        <f t="shared" si="35"/>
        <v>104000</v>
      </c>
      <c r="AK27" s="345">
        <f t="shared" si="29"/>
        <v>3.5000000000000003E-2</v>
      </c>
      <c r="AL27" s="345">
        <f t="shared" si="30"/>
        <v>0.03</v>
      </c>
      <c r="AM27" s="349">
        <f>$AL$13</f>
        <v>570</v>
      </c>
      <c r="AN27" s="344">
        <f>AM27+Cockpit!$K$9</f>
        <v>630</v>
      </c>
      <c r="AO27" s="344">
        <f>-Cockpit!$K$12-Cockpit!$H$25*(Szenarien!AM27-Szenarien!$AL$13)</f>
        <v>-133.9</v>
      </c>
      <c r="AP27" s="344">
        <f>Cockpit!$Q$21-AK27*(AJ27-$T$13)/12-(AK27-$U$13)*$T$13/12</f>
        <v>-303.33333333333337</v>
      </c>
      <c r="AQ27" s="344">
        <f>Cockpit!$Q$22-AL27*(AJ27-$T$13)/12-(AL27-$V$13)*$T$13/12</f>
        <v>-260</v>
      </c>
      <c r="AR27" s="344">
        <f t="shared" si="36"/>
        <v>-67.233333333333348</v>
      </c>
      <c r="AS27" s="344">
        <f>Cockpit!$Q$29</f>
        <v>-90</v>
      </c>
      <c r="AT27" s="344">
        <f>Cockpit!$Q$31-Cockpit!$H$20*Cockpit!$H$21*(1+Cockpit!$D$22)*(AH27-$AH27)/12</f>
        <v>-162.51305555555555</v>
      </c>
      <c r="AU27" s="344">
        <f>(AN27+AP27+AS27+AT27)*Cockpit!$Q$33</f>
        <v>29.661444444444431</v>
      </c>
      <c r="AV27" s="346">
        <f>AR27-AU27</f>
        <v>-96.894777777777776</v>
      </c>
    </row>
    <row r="28" spans="2:48">
      <c r="B28" s="335">
        <f t="shared" si="16"/>
        <v>130000</v>
      </c>
      <c r="C28" s="127">
        <f>C27-$C$21</f>
        <v>0.75</v>
      </c>
      <c r="D28" s="314">
        <f t="shared" si="17"/>
        <v>97500</v>
      </c>
      <c r="E28" s="56">
        <f t="shared" si="18"/>
        <v>3.5000000000000003E-2</v>
      </c>
      <c r="F28" s="56">
        <f t="shared" si="19"/>
        <v>0.03</v>
      </c>
      <c r="G28" s="55">
        <f t="shared" si="20"/>
        <v>570</v>
      </c>
      <c r="H28" s="55">
        <f>G28+Cockpit!$K$9</f>
        <v>630</v>
      </c>
      <c r="I28" s="55">
        <f>-Cockpit!$K$12-Cockpit!$H$25*(Szenarien!G28-Szenarien!$AL$13)</f>
        <v>-133.9</v>
      </c>
      <c r="J28" s="55">
        <f>Cockpit!$Q$21-E28*(D28-$D27)/12</f>
        <v>-284.37500000000006</v>
      </c>
      <c r="K28" s="55">
        <f>Cockpit!$Q$22-F28*(D28-$D27)/12</f>
        <v>-243.75</v>
      </c>
      <c r="L28" s="55">
        <f t="shared" si="32"/>
        <v>-32.025000000000034</v>
      </c>
      <c r="M28" s="55">
        <f>Cockpit!$Q$29</f>
        <v>-90</v>
      </c>
      <c r="N28" s="55">
        <f>Cockpit!$Q$31-Cockpit!$H$20*Cockpit!$H$21*(1+Cockpit!$D$22)*(B28-$B27)/12</f>
        <v>-162.51305555555555</v>
      </c>
      <c r="O28" s="55">
        <f>(H28+J28+M28+N28)*Cockpit!$Q$33</f>
        <v>37.244777777777756</v>
      </c>
      <c r="P28" s="325">
        <f t="shared" ref="P28:P31" si="37">L28-O28</f>
        <v>-69.26977777777779</v>
      </c>
      <c r="R28" s="335">
        <f t="shared" si="22"/>
        <v>130000</v>
      </c>
      <c r="S28" s="54">
        <f t="shared" si="23"/>
        <v>0.8</v>
      </c>
      <c r="T28" s="55">
        <f t="shared" si="33"/>
        <v>104000</v>
      </c>
      <c r="U28" s="56">
        <f t="shared" si="24"/>
        <v>3.5000000000000003E-2</v>
      </c>
      <c r="V28" s="131">
        <f>V27-$V$21</f>
        <v>2.4999999999999998E-2</v>
      </c>
      <c r="W28" s="55">
        <f t="shared" si="25"/>
        <v>570</v>
      </c>
      <c r="X28" s="55">
        <f>W28+Cockpit!$K$9</f>
        <v>630</v>
      </c>
      <c r="Y28" s="55">
        <f>-Cockpit!$K$12-Cockpit!$H$25*(Szenarien!W28-Szenarien!$AL$13)</f>
        <v>-133.9</v>
      </c>
      <c r="Z28" s="55">
        <f>Cockpit!$Q$21-U28*(T28-$T$13)/12-(U28-$U$13)*$T$13/12</f>
        <v>-303.33333333333337</v>
      </c>
      <c r="AA28" s="55">
        <f>Cockpit!$Q$22-V28*(T28-$T$13)/12-(V28-$V$13)*$T$13/12</f>
        <v>-216.66666666666666</v>
      </c>
      <c r="AB28" s="55">
        <f t="shared" si="34"/>
        <v>-23.900000000000006</v>
      </c>
      <c r="AC28" s="55">
        <f>Cockpit!$Q$29</f>
        <v>-90</v>
      </c>
      <c r="AD28" s="55">
        <f>Cockpit!$Q$31-Cockpit!$H$20*Cockpit!$H$21*(1+Cockpit!$D$22)*(R28-$R27)/12</f>
        <v>-162.51305555555555</v>
      </c>
      <c r="AE28" s="55">
        <f>(X28+Z28+AC28+AD28)*Cockpit!$Q$33</f>
        <v>29.661444444444431</v>
      </c>
      <c r="AF28" s="325">
        <f t="shared" ref="AF28:AF31" si="38">AB28-AE28</f>
        <v>-53.561444444444433</v>
      </c>
      <c r="AH28" s="335">
        <f t="shared" si="27"/>
        <v>130000</v>
      </c>
      <c r="AI28" s="54">
        <f t="shared" si="28"/>
        <v>0.8</v>
      </c>
      <c r="AJ28" s="55">
        <f t="shared" si="35"/>
        <v>104000</v>
      </c>
      <c r="AK28" s="56">
        <f t="shared" si="29"/>
        <v>3.5000000000000003E-2</v>
      </c>
      <c r="AL28" s="56">
        <f t="shared" si="30"/>
        <v>0.03</v>
      </c>
      <c r="AM28" s="134">
        <f>AM27-$AM$21</f>
        <v>550</v>
      </c>
      <c r="AN28" s="55">
        <f>AM28+Cockpit!$K$9</f>
        <v>610</v>
      </c>
      <c r="AO28" s="55">
        <f>-Cockpit!$K$12-Cockpit!$H$25*(Szenarien!AM28-Szenarien!$AL$13)</f>
        <v>-133.30000000000001</v>
      </c>
      <c r="AP28" s="55">
        <f>Cockpit!$Q$21-AK28*(AJ28-$T$13)/12-(AK28-$U$13)*$T$13/12</f>
        <v>-303.33333333333337</v>
      </c>
      <c r="AQ28" s="55">
        <f>Cockpit!$Q$22-AL28*(AJ28-$T$13)/12-(AL28-$V$13)*$T$13/12</f>
        <v>-260</v>
      </c>
      <c r="AR28" s="55">
        <f t="shared" si="36"/>
        <v>-86.633333333333383</v>
      </c>
      <c r="AS28" s="55">
        <f>Cockpit!$Q$29</f>
        <v>-90</v>
      </c>
      <c r="AT28" s="55">
        <f>Cockpit!$Q$31-Cockpit!$H$20*Cockpit!$H$21*(1+Cockpit!$D$22)*(AH28-$AH27)/12</f>
        <v>-162.51305555555555</v>
      </c>
      <c r="AU28" s="55">
        <f>(AN28+AP28+AS28+AT28)*Cockpit!$Q$33</f>
        <v>21.661444444444431</v>
      </c>
      <c r="AV28" s="325">
        <f t="shared" ref="AV28:AV31" si="39">AR28-AU28</f>
        <v>-108.29477777777781</v>
      </c>
    </row>
    <row r="29" spans="2:48">
      <c r="B29" s="333">
        <f t="shared" si="16"/>
        <v>130000</v>
      </c>
      <c r="C29" s="128">
        <f>C28-$C$21</f>
        <v>0.7</v>
      </c>
      <c r="D29" s="51">
        <f t="shared" si="17"/>
        <v>91000</v>
      </c>
      <c r="E29" s="49">
        <f t="shared" si="18"/>
        <v>3.5000000000000003E-2</v>
      </c>
      <c r="F29" s="49">
        <f t="shared" si="19"/>
        <v>0.03</v>
      </c>
      <c r="G29" s="48">
        <f t="shared" si="20"/>
        <v>570</v>
      </c>
      <c r="H29" s="48">
        <f>G29+Cockpit!$K$9</f>
        <v>630</v>
      </c>
      <c r="I29" s="48">
        <f>-Cockpit!$K$12-Cockpit!$H$25*(Szenarien!G29-Szenarien!$AL$13)</f>
        <v>-133.9</v>
      </c>
      <c r="J29" s="48">
        <f>Cockpit!$Q$21-E29*(D29-$D27)/12</f>
        <v>-265.41666666666669</v>
      </c>
      <c r="K29" s="48">
        <f>Cockpit!$Q$22-F29*(D29-$D27)/12</f>
        <v>-227.5</v>
      </c>
      <c r="L29" s="48">
        <f t="shared" si="32"/>
        <v>3.1833333333333371</v>
      </c>
      <c r="M29" s="48">
        <f>Cockpit!$Q$29</f>
        <v>-90</v>
      </c>
      <c r="N29" s="48">
        <f>Cockpit!$Q$31-Cockpit!$H$20*Cockpit!$H$21*(1+Cockpit!$D$22)*(B29-$B27)/12</f>
        <v>-162.51305555555555</v>
      </c>
      <c r="O29" s="48">
        <f>(H29+J29+M29+N29)*Cockpit!$Q$33</f>
        <v>44.828111111111106</v>
      </c>
      <c r="P29" s="286">
        <f t="shared" si="37"/>
        <v>-41.644777777777769</v>
      </c>
      <c r="R29" s="333">
        <f t="shared" si="22"/>
        <v>130000</v>
      </c>
      <c r="S29" s="47">
        <f t="shared" si="23"/>
        <v>0.8</v>
      </c>
      <c r="T29" s="48">
        <f t="shared" si="33"/>
        <v>104000</v>
      </c>
      <c r="U29" s="49">
        <f t="shared" si="24"/>
        <v>3.5000000000000003E-2</v>
      </c>
      <c r="V29" s="129">
        <f>V28-$V$21</f>
        <v>1.9999999999999997E-2</v>
      </c>
      <c r="W29" s="48">
        <f t="shared" si="25"/>
        <v>570</v>
      </c>
      <c r="X29" s="48">
        <f>W29+Cockpit!$K$9</f>
        <v>630</v>
      </c>
      <c r="Y29" s="48">
        <f>-Cockpit!$K$12-Cockpit!$H$25*(Szenarien!W29-Szenarien!$AL$13)</f>
        <v>-133.9</v>
      </c>
      <c r="Z29" s="48">
        <f>Cockpit!$Q$21-U29*(T29-$T$13)/12-(U29-$U$13)*$T$13/12</f>
        <v>-303.33333333333337</v>
      </c>
      <c r="AA29" s="48">
        <f>Cockpit!$Q$22-V29*(T29-$T$13)/12-(V29-$V$13)*$T$13/12</f>
        <v>-173.33333333333331</v>
      </c>
      <c r="AB29" s="48">
        <f t="shared" si="34"/>
        <v>19.433333333333337</v>
      </c>
      <c r="AC29" s="48">
        <f>Cockpit!$Q$29</f>
        <v>-90</v>
      </c>
      <c r="AD29" s="48">
        <f>Cockpit!$Q$31-Cockpit!$H$20*Cockpit!$H$21*(1+Cockpit!$D$22)*(R29-$R27)/12</f>
        <v>-162.51305555555555</v>
      </c>
      <c r="AE29" s="48">
        <f>(X29+Z29+AC29+AD29)*Cockpit!$Q$33</f>
        <v>29.661444444444431</v>
      </c>
      <c r="AF29" s="286">
        <f t="shared" si="38"/>
        <v>-10.228111111111094</v>
      </c>
      <c r="AH29" s="333">
        <f t="shared" si="27"/>
        <v>130000</v>
      </c>
      <c r="AI29" s="47">
        <f t="shared" si="28"/>
        <v>0.8</v>
      </c>
      <c r="AJ29" s="48">
        <f t="shared" si="35"/>
        <v>104000</v>
      </c>
      <c r="AK29" s="49">
        <f t="shared" si="29"/>
        <v>3.5000000000000003E-2</v>
      </c>
      <c r="AL29" s="49">
        <f t="shared" si="30"/>
        <v>0.03</v>
      </c>
      <c r="AM29" s="132">
        <f>AM28-$AM$21</f>
        <v>530</v>
      </c>
      <c r="AN29" s="48">
        <f>AM29+Cockpit!$K$9</f>
        <v>590</v>
      </c>
      <c r="AO29" s="48">
        <f>-Cockpit!$K$12-Cockpit!$H$25*(Szenarien!AM29-Szenarien!$AL$13)</f>
        <v>-132.70000000000002</v>
      </c>
      <c r="AP29" s="48">
        <f>Cockpit!$Q$21-AK29*(AJ29-$T$13)/12-(AK29-$U$13)*$T$13/12</f>
        <v>-303.33333333333337</v>
      </c>
      <c r="AQ29" s="48">
        <f>Cockpit!$Q$22-AL29*(AJ29-$T$13)/12-(AL29-$V$13)*$T$13/12</f>
        <v>-260</v>
      </c>
      <c r="AR29" s="48">
        <f t="shared" si="36"/>
        <v>-106.03333333333342</v>
      </c>
      <c r="AS29" s="48">
        <f>Cockpit!$Q$29</f>
        <v>-90</v>
      </c>
      <c r="AT29" s="48">
        <f>Cockpit!$Q$31-Cockpit!$H$20*Cockpit!$H$21*(1+Cockpit!$D$22)*(AH29-$AH27)/12</f>
        <v>-162.51305555555555</v>
      </c>
      <c r="AU29" s="48">
        <f>(AN29+AP29+AS29+AT29)*Cockpit!$Q$33</f>
        <v>13.661444444444431</v>
      </c>
      <c r="AV29" s="286">
        <f t="shared" si="39"/>
        <v>-119.69477777777784</v>
      </c>
    </row>
    <row r="30" spans="2:48">
      <c r="B30" s="333">
        <f t="shared" si="16"/>
        <v>130000</v>
      </c>
      <c r="C30" s="128">
        <f>C29-$C$21</f>
        <v>0.64999999999999991</v>
      </c>
      <c r="D30" s="51">
        <f t="shared" si="17"/>
        <v>84499.999999999985</v>
      </c>
      <c r="E30" s="49">
        <f t="shared" si="18"/>
        <v>3.5000000000000003E-2</v>
      </c>
      <c r="F30" s="49">
        <f t="shared" si="19"/>
        <v>0.03</v>
      </c>
      <c r="G30" s="48">
        <f t="shared" si="20"/>
        <v>570</v>
      </c>
      <c r="H30" s="48">
        <f>G30+Cockpit!$K$9</f>
        <v>630</v>
      </c>
      <c r="I30" s="48">
        <f>-Cockpit!$K$12-Cockpit!$H$25*(Szenarien!G30-Szenarien!$AL$13)</f>
        <v>-133.9</v>
      </c>
      <c r="J30" s="48">
        <f>Cockpit!$Q$21-E30*(D30-$D27)/12</f>
        <v>-246.45833333333331</v>
      </c>
      <c r="K30" s="48">
        <f>Cockpit!$Q$22-F30*(D30-$D27)/12</f>
        <v>-211.24999999999997</v>
      </c>
      <c r="L30" s="48">
        <f t="shared" si="32"/>
        <v>38.391666666666737</v>
      </c>
      <c r="M30" s="48">
        <f>Cockpit!$Q$29</f>
        <v>-90</v>
      </c>
      <c r="N30" s="48">
        <f>Cockpit!$Q$31-Cockpit!$H$20*Cockpit!$H$21*(1+Cockpit!$D$22)*(B30-$B27)/12</f>
        <v>-162.51305555555555</v>
      </c>
      <c r="O30" s="48">
        <f>(H30+J30+M30+N30)*Cockpit!$Q$33</f>
        <v>52.411444444444456</v>
      </c>
      <c r="P30" s="286">
        <f t="shared" si="37"/>
        <v>-14.019777777777719</v>
      </c>
      <c r="R30" s="333">
        <f t="shared" si="22"/>
        <v>130000</v>
      </c>
      <c r="S30" s="47">
        <f t="shared" si="23"/>
        <v>0.8</v>
      </c>
      <c r="T30" s="48">
        <f t="shared" si="33"/>
        <v>104000</v>
      </c>
      <c r="U30" s="49">
        <f t="shared" si="24"/>
        <v>3.5000000000000003E-2</v>
      </c>
      <c r="V30" s="129">
        <f>V29-$V$21</f>
        <v>1.4999999999999996E-2</v>
      </c>
      <c r="W30" s="48">
        <f t="shared" si="25"/>
        <v>570</v>
      </c>
      <c r="X30" s="48">
        <f>W30+Cockpit!$K$9</f>
        <v>630</v>
      </c>
      <c r="Y30" s="48">
        <f>-Cockpit!$K$12-Cockpit!$H$25*(Szenarien!W30-Szenarien!$AL$13)</f>
        <v>-133.9</v>
      </c>
      <c r="Z30" s="48">
        <f>Cockpit!$Q$21-U30*(T30-$T$13)/12-(U30-$U$13)*$T$13/12</f>
        <v>-303.33333333333337</v>
      </c>
      <c r="AA30" s="48">
        <f>Cockpit!$Q$22-V30*(T30-$T$13)/12-(V30-$V$13)*$T$13/12</f>
        <v>-129.99999999999997</v>
      </c>
      <c r="AB30" s="48">
        <f t="shared" si="34"/>
        <v>62.76666666666668</v>
      </c>
      <c r="AC30" s="48">
        <f>Cockpit!$Q$29</f>
        <v>-90</v>
      </c>
      <c r="AD30" s="48">
        <f>Cockpit!$Q$31-Cockpit!$H$20*Cockpit!$H$21*(1+Cockpit!$D$22)*(R30-$R27)/12</f>
        <v>-162.51305555555555</v>
      </c>
      <c r="AE30" s="48">
        <f>(X30+Z30+AC30+AD30)*Cockpit!$Q$33</f>
        <v>29.661444444444431</v>
      </c>
      <c r="AF30" s="286">
        <f t="shared" si="38"/>
        <v>33.105222222222253</v>
      </c>
      <c r="AH30" s="333">
        <f t="shared" si="27"/>
        <v>130000</v>
      </c>
      <c r="AI30" s="47">
        <f t="shared" si="28"/>
        <v>0.8</v>
      </c>
      <c r="AJ30" s="48">
        <f t="shared" si="35"/>
        <v>104000</v>
      </c>
      <c r="AK30" s="49">
        <f t="shared" si="29"/>
        <v>3.5000000000000003E-2</v>
      </c>
      <c r="AL30" s="49">
        <f t="shared" si="30"/>
        <v>0.03</v>
      </c>
      <c r="AM30" s="132">
        <f>AM29-$AM$21</f>
        <v>510</v>
      </c>
      <c r="AN30" s="48">
        <f>AM30+Cockpit!$K$9</f>
        <v>570</v>
      </c>
      <c r="AO30" s="48">
        <f>-Cockpit!$K$12-Cockpit!$H$25*(Szenarien!AM30-Szenarien!$AL$13)</f>
        <v>-132.1</v>
      </c>
      <c r="AP30" s="48">
        <f>Cockpit!$Q$21-AK30*(AJ30-$T$13)/12-(AK30-$U$13)*$T$13/12</f>
        <v>-303.33333333333337</v>
      </c>
      <c r="AQ30" s="48">
        <f>Cockpit!$Q$22-AL30*(AJ30-$T$13)/12-(AL30-$V$13)*$T$13/12</f>
        <v>-260</v>
      </c>
      <c r="AR30" s="48">
        <f t="shared" si="36"/>
        <v>-125.43333333333339</v>
      </c>
      <c r="AS30" s="48">
        <f>Cockpit!$Q$29</f>
        <v>-90</v>
      </c>
      <c r="AT30" s="48">
        <f>Cockpit!$Q$31-Cockpit!$H$20*Cockpit!$H$21*(1+Cockpit!$D$22)*(AH30-$AH27)/12</f>
        <v>-162.51305555555555</v>
      </c>
      <c r="AU30" s="48">
        <f>(AN30+AP30+AS30+AT30)*Cockpit!$Q$33</f>
        <v>5.661444444444431</v>
      </c>
      <c r="AV30" s="286">
        <f t="shared" si="39"/>
        <v>-131.09477777777784</v>
      </c>
    </row>
    <row r="31" spans="2:48" ht="13.5" thickBot="1">
      <c r="B31" s="336">
        <f t="shared" si="16"/>
        <v>130000</v>
      </c>
      <c r="C31" s="337">
        <f>C30-$C$21</f>
        <v>0.59999999999999987</v>
      </c>
      <c r="D31" s="328">
        <f t="shared" si="17"/>
        <v>77999.999999999985</v>
      </c>
      <c r="E31" s="329">
        <f t="shared" si="18"/>
        <v>3.5000000000000003E-2</v>
      </c>
      <c r="F31" s="329">
        <f t="shared" si="19"/>
        <v>0.03</v>
      </c>
      <c r="G31" s="328">
        <f t="shared" si="20"/>
        <v>570</v>
      </c>
      <c r="H31" s="328">
        <f>G31+Cockpit!$K$9</f>
        <v>630</v>
      </c>
      <c r="I31" s="328">
        <f>-Cockpit!$K$12-Cockpit!$H$25*(Szenarien!G31-Szenarien!$AL$13)</f>
        <v>-133.9</v>
      </c>
      <c r="J31" s="328">
        <f>Cockpit!$Q$21-E31*(D31-$D27)/12</f>
        <v>-227.5</v>
      </c>
      <c r="K31" s="328">
        <f>Cockpit!$Q$22-F31*(D31-$D27)/12</f>
        <v>-194.99999999999994</v>
      </c>
      <c r="L31" s="328">
        <f t="shared" si="32"/>
        <v>73.60000000000008</v>
      </c>
      <c r="M31" s="328">
        <f>Cockpit!$Q$29</f>
        <v>-90</v>
      </c>
      <c r="N31" s="328">
        <f>Cockpit!$Q$31-Cockpit!$H$20*Cockpit!$H$21*(1+Cockpit!$D$22)*(B31-$B27)/12</f>
        <v>-162.51305555555555</v>
      </c>
      <c r="O31" s="328">
        <f>(H31+J31+M31+N31)*Cockpit!$Q$33</f>
        <v>59.994777777777784</v>
      </c>
      <c r="P31" s="288">
        <f t="shared" si="37"/>
        <v>13.605222222222295</v>
      </c>
      <c r="R31" s="336">
        <f t="shared" si="22"/>
        <v>130000</v>
      </c>
      <c r="S31" s="327">
        <f t="shared" si="23"/>
        <v>0.8</v>
      </c>
      <c r="T31" s="328">
        <f t="shared" si="33"/>
        <v>104000</v>
      </c>
      <c r="U31" s="329">
        <f t="shared" si="24"/>
        <v>3.5000000000000003E-2</v>
      </c>
      <c r="V31" s="339">
        <f>V30-$V$21</f>
        <v>9.999999999999995E-3</v>
      </c>
      <c r="W31" s="328">
        <f t="shared" si="25"/>
        <v>570</v>
      </c>
      <c r="X31" s="328">
        <f>W31+Cockpit!$K$9</f>
        <v>630</v>
      </c>
      <c r="Y31" s="328">
        <f>-Cockpit!$K$12-Cockpit!$H$25*(Szenarien!W31-Szenarien!$AL$13)</f>
        <v>-133.9</v>
      </c>
      <c r="Z31" s="328">
        <f>Cockpit!$Q$21-U31*(T31-$T$13)/12-(U31-$U$13)*$T$13/12</f>
        <v>-303.33333333333337</v>
      </c>
      <c r="AA31" s="328">
        <f>Cockpit!$Q$22-V31*(T31-$T$13)/12-(V31-$V$13)*$T$13/12</f>
        <v>-86.666666666666629</v>
      </c>
      <c r="AB31" s="328">
        <f t="shared" si="34"/>
        <v>106.10000000000002</v>
      </c>
      <c r="AC31" s="328">
        <f>Cockpit!$Q$29</f>
        <v>-90</v>
      </c>
      <c r="AD31" s="328">
        <f>Cockpit!$Q$31-Cockpit!$H$20*Cockpit!$H$21*(1+Cockpit!$D$22)*(R31-$R27)/12</f>
        <v>-162.51305555555555</v>
      </c>
      <c r="AE31" s="328">
        <f>(X31+Z31+AC31+AD31)*Cockpit!$Q$33</f>
        <v>29.661444444444431</v>
      </c>
      <c r="AF31" s="288">
        <f t="shared" si="38"/>
        <v>76.438555555555595</v>
      </c>
      <c r="AH31" s="336">
        <f t="shared" si="27"/>
        <v>130000</v>
      </c>
      <c r="AI31" s="327">
        <f t="shared" si="28"/>
        <v>0.8</v>
      </c>
      <c r="AJ31" s="328">
        <f t="shared" si="35"/>
        <v>104000</v>
      </c>
      <c r="AK31" s="329">
        <f t="shared" si="29"/>
        <v>3.5000000000000003E-2</v>
      </c>
      <c r="AL31" s="329">
        <f t="shared" si="30"/>
        <v>0.03</v>
      </c>
      <c r="AM31" s="341">
        <f>AM30-$AM$21</f>
        <v>490</v>
      </c>
      <c r="AN31" s="328">
        <f>AM31+Cockpit!$K$9</f>
        <v>550</v>
      </c>
      <c r="AO31" s="328">
        <f>-Cockpit!$K$12-Cockpit!$H$25*(Szenarien!AM31-Szenarien!$AL$13)</f>
        <v>-131.5</v>
      </c>
      <c r="AP31" s="328">
        <f>Cockpit!$Q$21-AK31*(AJ31-$T$13)/12-(AK31-$U$13)*$T$13/12</f>
        <v>-303.33333333333337</v>
      </c>
      <c r="AQ31" s="328">
        <f>Cockpit!$Q$22-AL31*(AJ31-$T$13)/12-(AL31-$V$13)*$T$13/12</f>
        <v>-260</v>
      </c>
      <c r="AR31" s="328">
        <f t="shared" si="36"/>
        <v>-144.83333333333337</v>
      </c>
      <c r="AS31" s="328">
        <f>Cockpit!$Q$29</f>
        <v>-90</v>
      </c>
      <c r="AT31" s="328">
        <f>Cockpit!$Q$31-Cockpit!$H$20*Cockpit!$H$21*(1+Cockpit!$D$22)*(AH31-$AH27)/12</f>
        <v>-162.51305555555555</v>
      </c>
      <c r="AU31" s="328">
        <f>(AN31+AP31+AS31+AT31)*Cockpit!$Q$33</f>
        <v>-2.3385555555555699</v>
      </c>
      <c r="AV31" s="288">
        <f t="shared" si="39"/>
        <v>-142.49477777777781</v>
      </c>
    </row>
    <row r="33" spans="2:2">
      <c r="B33" s="135" t="s">
        <v>372</v>
      </c>
    </row>
  </sheetData>
  <sheetProtection algorithmName="SHA-512" hashValue="mWtVLLLoH/oeLQeoAQqmrIjSqBQT+YM6LIAxN3IfiTNzwperFQkYIVm5lWKEEoMF6eIeS5oU0KYG0CzjXNeeOg==" saltValue="awfmO84EZSDbAfEK9eLzyw==" spinCount="100000" sheet="1" objects="1" scenarios="1" formatCells="0" formatColumns="0"/>
  <mergeCells count="81">
    <mergeCell ref="AH13:AK13"/>
    <mergeCell ref="C1:G3"/>
    <mergeCell ref="P1:S3"/>
    <mergeCell ref="AH7:AL8"/>
    <mergeCell ref="AH9:AK9"/>
    <mergeCell ref="AH10:AK10"/>
    <mergeCell ref="AH11:AK11"/>
    <mergeCell ref="AH12:AK12"/>
    <mergeCell ref="W7:W8"/>
    <mergeCell ref="X7:X8"/>
    <mergeCell ref="Y7:Y8"/>
    <mergeCell ref="Z7:Z8"/>
    <mergeCell ref="Z1:Z3"/>
    <mergeCell ref="AA1:AA3"/>
    <mergeCell ref="W1:X3"/>
    <mergeCell ref="S7:S8"/>
    <mergeCell ref="AL21:AL22"/>
    <mergeCell ref="AF7:AF8"/>
    <mergeCell ref="R7:R8"/>
    <mergeCell ref="R21:R22"/>
    <mergeCell ref="S21:S22"/>
    <mergeCell ref="T21:T22"/>
    <mergeCell ref="AD21:AD22"/>
    <mergeCell ref="AE21:AE22"/>
    <mergeCell ref="AF21:AF22"/>
    <mergeCell ref="AA7:AA8"/>
    <mergeCell ref="AB7:AB8"/>
    <mergeCell ref="AC7:AC8"/>
    <mergeCell ref="AD7:AD8"/>
    <mergeCell ref="AE7:AE8"/>
    <mergeCell ref="V7:V8"/>
    <mergeCell ref="T7:T8"/>
    <mergeCell ref="AR21:AR22"/>
    <mergeCell ref="AS21:AS22"/>
    <mergeCell ref="AT21:AT22"/>
    <mergeCell ref="AU21:AU22"/>
    <mergeCell ref="AV21:AV22"/>
    <mergeCell ref="AN21:AN22"/>
    <mergeCell ref="AO21:AO22"/>
    <mergeCell ref="AP21:AP22"/>
    <mergeCell ref="AQ21:AQ22"/>
    <mergeCell ref="U21:U22"/>
    <mergeCell ref="AH21:AH22"/>
    <mergeCell ref="AI21:AI22"/>
    <mergeCell ref="AJ21:AJ22"/>
    <mergeCell ref="AK21:AK22"/>
    <mergeCell ref="W21:W22"/>
    <mergeCell ref="X21:X22"/>
    <mergeCell ref="Y21:Y22"/>
    <mergeCell ref="Z21:Z22"/>
    <mergeCell ref="AA21:AA22"/>
    <mergeCell ref="AB21:AB22"/>
    <mergeCell ref="AC21:AC22"/>
    <mergeCell ref="M21:M22"/>
    <mergeCell ref="N21:N22"/>
    <mergeCell ref="O21:O22"/>
    <mergeCell ref="P21:P22"/>
    <mergeCell ref="P7:P8"/>
    <mergeCell ref="N7:N8"/>
    <mergeCell ref="O7:O8"/>
    <mergeCell ref="M7:M8"/>
    <mergeCell ref="H21:H22"/>
    <mergeCell ref="I21:I22"/>
    <mergeCell ref="J21:J22"/>
    <mergeCell ref="K21:K22"/>
    <mergeCell ref="L21:L22"/>
    <mergeCell ref="B21:B22"/>
    <mergeCell ref="D7:D8"/>
    <mergeCell ref="E7:E8"/>
    <mergeCell ref="F7:F8"/>
    <mergeCell ref="G7:G8"/>
    <mergeCell ref="C7:C8"/>
    <mergeCell ref="D21:D22"/>
    <mergeCell ref="E21:E22"/>
    <mergeCell ref="F21:F22"/>
    <mergeCell ref="G21:G22"/>
    <mergeCell ref="H7:H8"/>
    <mergeCell ref="I7:I8"/>
    <mergeCell ref="J7:J8"/>
    <mergeCell ref="K7:K8"/>
    <mergeCell ref="L7:L8"/>
  </mergeCells>
  <dataValidations count="12">
    <dataValidation type="decimal" operator="greaterThanOrEqual" allowBlank="1" showInputMessage="1" showErrorMessage="1" errorTitle="Kaufpreis-Sprünge" error="Bitte gib den Kaufpreis-Sprung in Euro ein, bspw. 5000. Der Wert darf nicht negativ sein." promptTitle="Kaufpreis-Sprünge" prompt="Gib hier ein, um wie viel tausend Euro der Kaufpreis von Szenario zu Szenario erhöht bzw. vermindert werden soll._x000a__x000a_Format: Kaufpreis-Sprung in Euro, bspw. 5000." sqref="B7" xr:uid="{00000000-0002-0000-0500-000000000000}">
      <formula1>0</formula1>
    </dataValidation>
    <dataValidation type="decimal" operator="greaterThanOrEqual" allowBlank="1" showInputMessage="1" showErrorMessage="1" errorTitle="Kaltmiete-Sprünge" error="Bitte gib den Kaltmiete-Sprung in Euro ein, bspw. 20. Der Wert darf nicht negativ sein." promptTitle="Kaltmiete-Sprünge" prompt="Gib hier ein, um wie viel Euro die Kaltmiete von Szenario zu Szenario springen soll._x000a__x000a_Format: Kaltmiete-Sprung in Euro, bspw. 20." sqref="AM21" xr:uid="{00000000-0002-0000-0500-000001000000}">
      <formula1>0</formula1>
    </dataValidation>
    <dataValidation type="decimal" operator="greaterThanOrEqual" allowBlank="1" showInputMessage="1" showErrorMessage="1" errorTitle="Darlehenssumme-Sprünge" error="Bitte gib den Darlehenssummen-Sprung in % des Kaufpreises ein, bspw. 5%. Der Wert darf nicht negativ sein." promptTitle="Darlehenssumme-Sprünge" prompt="Gib hier ein, um wie viel % des Kaufpreises die Darlehenssumme des Darlehens I von Szenario zu Szenario springen soll._x000a__x000a_Format: Darlehens-Sprung in % des Kaufpreises, bspw. 5%." sqref="C21" xr:uid="{00000000-0002-0000-0500-000002000000}">
      <formula1>0</formula1>
    </dataValidation>
    <dataValidation type="decimal" operator="greaterThanOrEqual" allowBlank="1" showInputMessage="1" showErrorMessage="1" errorTitle="Tilgungs-Sprünge" error="Bitte gib den Tilgungs-Sprung in % ein, bspw. 0,50%. Der Wert darf nicht negativ sein." promptTitle="Tilgungs-Sprünge" prompt="Gib hier ein, um wie viel % die Tilgung des Darlehens I von Szenario zu Szenario springen soll._x000a__x000a_Format: Tilgungs-Sprung in %, bspw. 0,50%." sqref="V21" xr:uid="{00000000-0002-0000-0500-000003000000}">
      <formula1>0</formula1>
    </dataValidation>
    <dataValidation type="decimal" operator="greaterThanOrEqual" allowBlank="1" showInputMessage="1" showErrorMessage="1" errorTitle="Zinssatz-Sprünge" error="Bitte gib den Zinssatz-Sprung in % ein, bspw. 0,10%. Der Wert darf nicht negativ sein." promptTitle="Zinssatz-Sprünge" prompt="Gib hier ein, um wie viel % der Zinssatz des Darlehens I von Szenario zu Szenario springen soll._x000a__x000a_Format: Zinssatz-Sprung in %, bspw. 0,10%." sqref="U7" xr:uid="{00000000-0002-0000-0500-000004000000}">
      <formula1>0</formula1>
    </dataValidation>
    <dataValidation allowBlank="1" showInputMessage="1" showErrorMessage="1" promptTitle="Kaufpreis" prompt="In dieser Spalte steht der Kaufpreis, mit dem das jeweilige Szenario gerechnet wird." sqref="H21:O22 B8 X7:AE8 R21:R22 B21:B22 R7:R8 D7:D8 AH21:AH22 H7:O8" xr:uid="{00000000-0002-0000-0500-000005000000}"/>
    <dataValidation allowBlank="1" showInputMessage="1" showErrorMessage="1" promptTitle="Darlehen I % Kaufpreis" prompt="In dieser Spalte steht die Darlehenssumme des Darlehens I (in % des Kaufpreises), mit dem das jeweilige Szenario gerechnet wird." sqref="C7:C8 C22 S21:S22 S7:S8 AI21:AI22" xr:uid="{00000000-0002-0000-0500-000006000000}"/>
    <dataValidation allowBlank="1" showInputMessage="1" showErrorMessage="1" promptTitle="Tilgung" prompt="In dieser Spalte steht die anfängliche Tilgung des Darlehens I, mit dem das jeweilige Szenario gerechnet wird." sqref="F7:F8 F21:F22 V7:V8 V22 AL21:AL22" xr:uid="{00000000-0002-0000-0500-000007000000}"/>
    <dataValidation allowBlank="1" showInputMessage="1" showErrorMessage="1" promptTitle="Zinssatz" prompt="In dieser Spalte steht der Zinssatz des Darlehens I, mit dem das jeweilige Szenario gerechnet wird." sqref="E21:E22 U21:U22 U8 E7:E8 AK21:AK22" xr:uid="{00000000-0002-0000-0500-000008000000}"/>
    <dataValidation allowBlank="1" showInputMessage="1" showErrorMessage="1" promptTitle="Kaltmiete" prompt="In dieser Spalte steht die Kaltmiete, mit dem das jeweilige Szenario gerechnet wird." sqref="AM22 W21:W22 W7:W8 G7:G8 G21:G22" xr:uid="{00000000-0002-0000-0500-000009000000}"/>
    <dataValidation allowBlank="1" showInputMessage="1" showErrorMessage="1" promptTitle="Ausgangsdaten" prompt="Hier findest du die Ausgangsdaten für das Basis-Szenario. Diese Daten stammen aus den Eingaben auf dem Tabellenblatt &quot;Cockpit&quot;." sqref="AH7:AL8" xr:uid="{00000000-0002-0000-0500-00000A000000}"/>
    <dataValidation allowBlank="1" showInputMessage="1" showErrorMessage="1" promptTitle="Cashflow nach Steuern" prompt="In dieser Spalte steht der Cashflow nach Steuern, der sich für das jeweilige Szenario ergibt. Die Farbskala ist die gleiche, wie auf dem Tabellenblatt &quot;Cockpit&quot;. Sie kann dort über das Zahnrad am oberen Bildschirmrad angepasst werden." sqref="P7:P8 P21:P22 AF21:AF22 AF7:AF8 AV21:AV22" xr:uid="{00000000-0002-0000-0500-00000B000000}"/>
  </dataValidations>
  <hyperlinks>
    <hyperlink ref="C1:C3" location="Rendite!A1" display="Zurück zum Cockpit" xr:uid="{00000000-0004-0000-0500-000000000000}"/>
    <hyperlink ref="C1:G3" location="Cockpit!A1" display="zurück zum Cockpit" xr:uid="{00000000-0004-0000-0500-000001000000}"/>
    <hyperlink ref="B33" location="Deckblatt!A1" display="Keine Gewähr für die Richtigkeit der Angaben. Dieses Tool ersetzt keine fundierte Rechts-, Steuer- oder Finanzberatung. Mehr Details hier." xr:uid="{00000000-0004-0000-0500-000002000000}"/>
  </hyperlinks>
  <pageMargins left="0.23622047244094491" right="0.23622047244094491" top="0.74803149606299213" bottom="0.74803149606299213" header="0.31496062992125984" footer="0.31496062992125984"/>
  <pageSetup paperSize="9" scale="64"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5" id="{9502DCF2-5C4B-4B22-B839-DF9147FA8863}">
            <x14:colorScale>
              <x14:cfvo type="num">
                <xm:f>Konfiguration!$E$12</xm:f>
              </x14:cfvo>
              <x14:cfvo type="num">
                <xm:f>Konfiguration!$D$12</xm:f>
              </x14:cfvo>
              <x14:cfvo type="num">
                <xm:f>Konfiguration!$C$12</xm:f>
              </x14:cfvo>
              <x14:color rgb="FFF8696B"/>
              <x14:color rgb="FFFFEB84"/>
              <x14:color rgb="FF63BE7B"/>
            </x14:colorScale>
          </x14:cfRule>
          <xm:sqref>P9:P17</xm:sqref>
        </x14:conditionalFormatting>
        <x14:conditionalFormatting xmlns:xm="http://schemas.microsoft.com/office/excel/2006/main">
          <x14:cfRule type="colorScale" priority="4" id="{A316ADF3-6D09-49AF-A153-FE9A395680AB}">
            <x14:colorScale>
              <x14:cfvo type="num">
                <xm:f>Konfiguration!$E$12</xm:f>
              </x14:cfvo>
              <x14:cfvo type="num">
                <xm:f>Konfiguration!$D$12</xm:f>
              </x14:cfvo>
              <x14:cfvo type="num">
                <xm:f>Konfiguration!$C$12</xm:f>
              </x14:cfvo>
              <x14:color rgb="FFF8696B"/>
              <x14:color rgb="FFFFEB84"/>
              <x14:color rgb="FF63BE7B"/>
            </x14:colorScale>
          </x14:cfRule>
          <xm:sqref>P23:P31</xm:sqref>
        </x14:conditionalFormatting>
        <x14:conditionalFormatting xmlns:xm="http://schemas.microsoft.com/office/excel/2006/main">
          <x14:cfRule type="colorScale" priority="3" id="{6B4858B9-3686-4469-A424-479404D05534}">
            <x14:colorScale>
              <x14:cfvo type="num">
                <xm:f>Konfiguration!$E$12</xm:f>
              </x14:cfvo>
              <x14:cfvo type="num">
                <xm:f>Konfiguration!$D$12</xm:f>
              </x14:cfvo>
              <x14:cfvo type="num">
                <xm:f>Konfiguration!$C$12</xm:f>
              </x14:cfvo>
              <x14:color rgb="FFF8696B"/>
              <x14:color rgb="FFFFEB84"/>
              <x14:color rgb="FF63BE7B"/>
            </x14:colorScale>
          </x14:cfRule>
          <xm:sqref>AF9:AF17</xm:sqref>
        </x14:conditionalFormatting>
        <x14:conditionalFormatting xmlns:xm="http://schemas.microsoft.com/office/excel/2006/main">
          <x14:cfRule type="colorScale" priority="2" id="{B4024F41-9991-4EB5-A6AE-EC0A86C9E1A3}">
            <x14:colorScale>
              <x14:cfvo type="num">
                <xm:f>Konfiguration!$E$12</xm:f>
              </x14:cfvo>
              <x14:cfvo type="num">
                <xm:f>Konfiguration!$D$12</xm:f>
              </x14:cfvo>
              <x14:cfvo type="num">
                <xm:f>Konfiguration!$C$12</xm:f>
              </x14:cfvo>
              <x14:color rgb="FFF8696B"/>
              <x14:color rgb="FFFFEB84"/>
              <x14:color rgb="FF63BE7B"/>
            </x14:colorScale>
          </x14:cfRule>
          <xm:sqref>AF23:AF31</xm:sqref>
        </x14:conditionalFormatting>
        <x14:conditionalFormatting xmlns:xm="http://schemas.microsoft.com/office/excel/2006/main">
          <x14:cfRule type="colorScale" priority="1" id="{9E3466A9-2963-4180-8A02-8B1AC1FF44D7}">
            <x14:colorScale>
              <x14:cfvo type="num">
                <xm:f>Konfiguration!$E$12</xm:f>
              </x14:cfvo>
              <x14:cfvo type="num">
                <xm:f>Konfiguration!$D$12</xm:f>
              </x14:cfvo>
              <x14:cfvo type="num">
                <xm:f>Konfiguration!$C$12</xm:f>
              </x14:cfvo>
              <x14:color rgb="FFF8696B"/>
              <x14:color rgb="FFFFEB84"/>
              <x14:color rgb="FF63BE7B"/>
            </x14:colorScale>
          </x14:cfRule>
          <xm:sqref>AV23:AV31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3"/>
    <pageSetUpPr fitToPage="1"/>
  </sheetPr>
  <dimension ref="B1:R107"/>
  <sheetViews>
    <sheetView showGridLines="0" showRowColHeaders="0" zoomScaleNormal="100" workbookViewId="0">
      <pane ySplit="4" topLeftCell="A5" activePane="bottomLeft" state="frozen"/>
      <selection pane="bottomLeft" activeCell="L10" sqref="L10"/>
    </sheetView>
  </sheetViews>
  <sheetFormatPr baseColWidth="10" defaultColWidth="11.42578125" defaultRowHeight="15"/>
  <cols>
    <col min="1" max="1" width="11.42578125" style="6"/>
    <col min="2" max="2" width="11.42578125" style="6" customWidth="1"/>
    <col min="3" max="8" width="11.42578125" style="6"/>
    <col min="9" max="9" width="11.42578125" style="6" customWidth="1"/>
    <col min="10" max="11" width="11.42578125" style="6"/>
    <col min="12" max="12" width="22.42578125" style="6" customWidth="1"/>
    <col min="13" max="17" width="11.42578125" style="6"/>
    <col min="18" max="18" width="6" style="6" customWidth="1"/>
    <col min="19" max="16384" width="11.42578125" style="6"/>
  </cols>
  <sheetData>
    <row r="1" spans="2:18" s="150" customFormat="1" ht="12.75" customHeight="1">
      <c r="B1" s="532" t="s">
        <v>351</v>
      </c>
      <c r="C1" s="532"/>
      <c r="D1" s="532"/>
      <c r="E1" s="491" t="s">
        <v>114</v>
      </c>
      <c r="F1" s="491"/>
      <c r="G1" s="491"/>
      <c r="N1" s="471"/>
      <c r="O1" s="471"/>
    </row>
    <row r="2" spans="2:18" s="150" customFormat="1" ht="15" customHeight="1">
      <c r="B2" s="532"/>
      <c r="C2" s="532"/>
      <c r="D2" s="532"/>
      <c r="E2" s="491"/>
      <c r="F2" s="491"/>
      <c r="G2" s="491"/>
      <c r="N2" s="471"/>
      <c r="O2" s="471"/>
    </row>
    <row r="3" spans="2:18" s="150" customFormat="1" ht="12.75" customHeight="1">
      <c r="B3" s="532"/>
      <c r="C3" s="532"/>
      <c r="D3" s="532"/>
      <c r="E3" s="491"/>
      <c r="F3" s="491"/>
      <c r="G3" s="491"/>
      <c r="N3" s="471"/>
      <c r="O3" s="471"/>
    </row>
    <row r="4" spans="2:18" ht="18.75" customHeight="1">
      <c r="N4" s="5"/>
      <c r="O4" s="5"/>
      <c r="P4" s="5"/>
      <c r="Q4" s="5"/>
    </row>
    <row r="5" spans="2:18" ht="9" customHeight="1">
      <c r="N5" s="5"/>
      <c r="O5" s="5"/>
      <c r="P5" s="5"/>
      <c r="Q5" s="5"/>
    </row>
    <row r="6" spans="2:18" ht="28.5" customHeight="1">
      <c r="B6" s="531" t="str">
        <f>Cockpit!C9</f>
        <v>Musterstr. 11, 1234 Musterstadt</v>
      </c>
      <c r="C6" s="531"/>
      <c r="D6" s="531"/>
      <c r="E6" s="531"/>
      <c r="F6" s="531"/>
      <c r="G6" s="531"/>
      <c r="H6" s="531"/>
      <c r="I6" s="531"/>
      <c r="J6" s="531"/>
      <c r="K6" s="531"/>
      <c r="L6" s="531"/>
      <c r="M6" s="531"/>
      <c r="N6" s="531"/>
      <c r="O6" s="531"/>
      <c r="P6" s="531"/>
      <c r="Q6" s="531"/>
      <c r="R6" s="531"/>
    </row>
    <row r="9" spans="2:18">
      <c r="M9" s="6" t="s">
        <v>62</v>
      </c>
      <c r="N9" s="6" t="s">
        <v>63</v>
      </c>
    </row>
    <row r="10" spans="2:18">
      <c r="C10" s="6" t="s">
        <v>1</v>
      </c>
      <c r="D10" s="7">
        <f>Cockpit!D14</f>
        <v>130000</v>
      </c>
      <c r="H10" s="6" t="s">
        <v>361</v>
      </c>
      <c r="I10" s="7">
        <f>IF((Cockpit!N17)=0,#N/A,Cockpit!N17)</f>
        <v>104000</v>
      </c>
      <c r="L10" s="6" t="s">
        <v>478</v>
      </c>
      <c r="M10" s="6">
        <f>Cockpit!Q19</f>
        <v>630</v>
      </c>
    </row>
    <row r="11" spans="2:18">
      <c r="C11" s="6" t="s">
        <v>367</v>
      </c>
      <c r="D11" s="7">
        <f>IF(Cockpit!E22=0,#N/A,Cockpit!E22)</f>
        <v>13858</v>
      </c>
      <c r="H11" s="6" t="s">
        <v>247</v>
      </c>
      <c r="I11" s="7" t="e">
        <f>IF((Cockpit!N9-Cockpit!N17)=0,#N/A,Cockpit!N9-Cockpit!N17)</f>
        <v>#N/A</v>
      </c>
      <c r="L11" s="6" t="s">
        <v>79</v>
      </c>
      <c r="N11" s="8">
        <f>-Cockpit!Q20</f>
        <v>133.9</v>
      </c>
    </row>
    <row r="12" spans="2:18">
      <c r="C12" s="6" t="s">
        <v>368</v>
      </c>
      <c r="D12" s="7">
        <f>IF(Cockpit!C30=0,#N/A,Cockpit!C30)</f>
        <v>10000</v>
      </c>
      <c r="H12" s="6" t="s">
        <v>26</v>
      </c>
      <c r="I12" s="7">
        <f>Cockpit!N10</f>
        <v>49858</v>
      </c>
      <c r="L12" s="6" t="s">
        <v>43</v>
      </c>
      <c r="N12" s="8">
        <f>-Cockpit!Q21</f>
        <v>303.33333333333337</v>
      </c>
    </row>
    <row r="13" spans="2:18">
      <c r="L13" s="6" t="s">
        <v>44</v>
      </c>
      <c r="N13" s="8">
        <f>-Cockpit!Q22</f>
        <v>260</v>
      </c>
    </row>
    <row r="14" spans="2:18">
      <c r="L14" s="6" t="s">
        <v>101</v>
      </c>
      <c r="N14" s="8">
        <f>-Cockpit!Q24</f>
        <v>29.661444444444431</v>
      </c>
    </row>
    <row r="15" spans="2:18">
      <c r="N15" s="8"/>
    </row>
    <row r="18" spans="14:14">
      <c r="N18" s="8"/>
    </row>
    <row r="52" ht="5.25" customHeight="1"/>
    <row r="53" ht="5.25" customHeight="1"/>
    <row r="54" ht="5.25" customHeight="1"/>
    <row r="107" spans="2:2">
      <c r="B107" s="135" t="s">
        <v>372</v>
      </c>
    </row>
  </sheetData>
  <sheetProtection algorithmName="SHA-512" hashValue="/GxB4t/a4JiCJJwpYSWc1/3Cw0ayxFj2Rz2HtJXE49U7NbnlBfCfosMRe6QfRIGqHFBLJw1qWOPAyfFDv/Q1bg==" saltValue="kWSbWzrleVIqWpVNkhnn+g==" spinCount="100000" sheet="1" objects="1" scenarios="1" formatCells="0" formatColumns="0"/>
  <mergeCells count="4">
    <mergeCell ref="B6:R6"/>
    <mergeCell ref="B1:D3"/>
    <mergeCell ref="E1:G3"/>
    <mergeCell ref="N1:O3"/>
  </mergeCells>
  <hyperlinks>
    <hyperlink ref="B1:B3" location="Rendite!A1" display="Zurück zum Cockpit" xr:uid="{00000000-0004-0000-0600-000000000000}"/>
    <hyperlink ref="B1:D3" location="Cockpit!A1" display="zurück zum Cockpit" xr:uid="{00000000-0004-0000-0600-000001000000}"/>
    <hyperlink ref="B107" location="Deckblatt!A1" display="Keine Gewähr für die Richtigkeit der Angaben. Dieses Tool ersetzt keine fundierte Rechts-, Steuer- oder Finanzberatung. Mehr Details hier." xr:uid="{00000000-0004-0000-06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B225"/>
  <sheetViews>
    <sheetView showGridLines="0" showRowColHeaders="0" zoomScaleNormal="100" workbookViewId="0">
      <pane xSplit="4" ySplit="4" topLeftCell="E5" activePane="bottomRight" state="frozen"/>
      <selection pane="topRight" activeCell="D1" sqref="D1"/>
      <selection pane="bottomLeft" activeCell="A7" sqref="A7"/>
      <selection pane="bottomRight" activeCell="B7" sqref="B7"/>
    </sheetView>
  </sheetViews>
  <sheetFormatPr baseColWidth="10" defaultColWidth="9.140625" defaultRowHeight="15"/>
  <cols>
    <col min="1" max="1" width="2.85546875" style="6" customWidth="1"/>
    <col min="2" max="2" width="31.140625" style="6" customWidth="1"/>
    <col min="3" max="3" width="9" style="6" customWidth="1"/>
    <col min="4" max="4" width="0.42578125" style="6" customWidth="1"/>
    <col min="5" max="9" width="9.42578125" style="6" customWidth="1"/>
    <col min="10" max="13" width="9.42578125" style="5" customWidth="1"/>
    <col min="14" max="14" width="9.42578125" style="6" customWidth="1"/>
    <col min="15" max="15" width="9.5703125" style="6" customWidth="1"/>
    <col min="16" max="16" width="8.85546875" style="6" customWidth="1"/>
    <col min="17" max="17" width="9.140625" style="6"/>
    <col min="18" max="18" width="8" style="6" customWidth="1"/>
    <col min="19" max="19" width="8.85546875" style="6" customWidth="1"/>
    <col min="20" max="21" width="9.140625" style="6"/>
    <col min="22" max="22" width="9.7109375" style="6" customWidth="1"/>
    <col min="23" max="16384" width="9.140625" style="6"/>
  </cols>
  <sheetData>
    <row r="1" spans="1:54" s="150" customFormat="1" ht="12.75" customHeight="1">
      <c r="B1" s="471" t="s">
        <v>351</v>
      </c>
      <c r="C1" s="471"/>
      <c r="D1" s="471"/>
      <c r="F1" s="491" t="s">
        <v>352</v>
      </c>
      <c r="G1" s="491"/>
      <c r="H1" s="491"/>
      <c r="I1" s="491"/>
      <c r="J1" s="491"/>
      <c r="K1" s="491"/>
      <c r="L1" s="491"/>
      <c r="N1" s="471"/>
      <c r="O1" s="471"/>
      <c r="Q1" s="471"/>
      <c r="R1" s="471"/>
      <c r="S1" s="471"/>
      <c r="U1" s="471"/>
      <c r="V1" s="471"/>
    </row>
    <row r="2" spans="1:54" s="150" customFormat="1" ht="15" customHeight="1">
      <c r="B2" s="471"/>
      <c r="C2" s="471"/>
      <c r="D2" s="471"/>
      <c r="F2" s="491"/>
      <c r="G2" s="491"/>
      <c r="H2" s="491"/>
      <c r="I2" s="491"/>
      <c r="J2" s="491"/>
      <c r="K2" s="491"/>
      <c r="L2" s="491"/>
      <c r="N2" s="471"/>
      <c r="O2" s="471"/>
      <c r="Q2" s="471"/>
      <c r="R2" s="471"/>
      <c r="S2" s="471"/>
      <c r="U2" s="471"/>
      <c r="V2" s="471"/>
    </row>
    <row r="3" spans="1:54" s="150" customFormat="1" ht="12.75" customHeight="1">
      <c r="B3" s="471"/>
      <c r="C3" s="471"/>
      <c r="D3" s="471"/>
      <c r="F3" s="491"/>
      <c r="G3" s="491"/>
      <c r="H3" s="491"/>
      <c r="I3" s="491"/>
      <c r="J3" s="491"/>
      <c r="K3" s="491"/>
      <c r="L3" s="491"/>
      <c r="N3" s="471"/>
      <c r="O3" s="471"/>
      <c r="Q3" s="471"/>
      <c r="R3" s="471"/>
      <c r="S3" s="471"/>
      <c r="U3" s="471"/>
      <c r="V3" s="471"/>
    </row>
    <row r="4" spans="1:54" ht="18.75" customHeight="1">
      <c r="J4" s="6"/>
      <c r="K4" s="6"/>
      <c r="L4" s="6"/>
      <c r="M4" s="6"/>
      <c r="N4" s="5"/>
      <c r="O4" s="5"/>
      <c r="P4" s="5"/>
      <c r="Q4" s="5"/>
    </row>
    <row r="5" spans="1:54" s="5" customFormat="1" ht="9" customHeight="1" thickBot="1"/>
    <row r="6" spans="1:54" s="5" customFormat="1" ht="13.5" thickBot="1">
      <c r="A6" s="19"/>
      <c r="B6" s="359" t="s">
        <v>328</v>
      </c>
      <c r="C6" s="370" t="s">
        <v>345</v>
      </c>
      <c r="D6" s="19"/>
      <c r="E6" s="20" t="str">
        <f>IF(C6="Aus","Achtung: Die Mieten von diesem Tabellenblatt werden derzeit nicht im Rest des Tools berücksichtigt. Hierzu bitte links auf 'Ein' schalten.","")</f>
        <v>Achtung: Die Mieten von diesem Tabellenblatt werden derzeit nicht im Rest des Tools berücksichtigt. Hierzu bitte links auf 'Ein' schalten.</v>
      </c>
    </row>
    <row r="7" spans="1:54" s="5" customFormat="1" ht="21" customHeight="1" thickBot="1"/>
    <row r="8" spans="1:54" ht="18" thickBot="1">
      <c r="A8"/>
      <c r="B8" s="538" t="s">
        <v>326</v>
      </c>
      <c r="C8" s="539"/>
      <c r="D8" s="32"/>
      <c r="E8" s="362" t="str">
        <f>IF(ROUND(C9,0)&lt;&gt;ROUND(Cockpit!C11,0),"Achtung: Wohnfläche der Einheiten entspricht nicht der Gesamt-Wohnfläche des Hauses (Reiter 'Cockpit')","")</f>
        <v>Achtung: Wohnfläche der Einheiten entspricht nicht der Gesamt-Wohnfläche des Hauses (Reiter 'Cockpit')</v>
      </c>
      <c r="J8" s="6"/>
      <c r="K8" s="6"/>
      <c r="L8" s="6"/>
      <c r="M8" s="6"/>
    </row>
    <row r="9" spans="1:54" ht="15.75" thickBot="1">
      <c r="B9" s="360" t="s">
        <v>11</v>
      </c>
      <c r="C9" s="361">
        <f>C16+C23+C30+C37+C44+C51+C58+C65+C72+C79+C86+C93+C100+C107+C114+C121+C128+C135+C142+C149+C156+C163+C170+C177+C184+C191+C198+C205+C212+C219</f>
        <v>100</v>
      </c>
      <c r="D9" s="363"/>
      <c r="E9" s="278">
        <f>'Wert, AfA, Darlehen'!D7</f>
        <v>2024</v>
      </c>
      <c r="F9" s="279">
        <f>'Wert, AfA, Darlehen'!E7</f>
        <v>2025</v>
      </c>
      <c r="G9" s="279">
        <f>'Wert, AfA, Darlehen'!F7</f>
        <v>2026</v>
      </c>
      <c r="H9" s="279">
        <f>'Wert, AfA, Darlehen'!G7</f>
        <v>2027</v>
      </c>
      <c r="I9" s="279">
        <f>'Wert, AfA, Darlehen'!H7</f>
        <v>2028</v>
      </c>
      <c r="J9" s="279">
        <f>'Wert, AfA, Darlehen'!I7</f>
        <v>2029</v>
      </c>
      <c r="K9" s="279">
        <f>'Wert, AfA, Darlehen'!J7</f>
        <v>2030</v>
      </c>
      <c r="L9" s="279">
        <f>'Wert, AfA, Darlehen'!K7</f>
        <v>2031</v>
      </c>
      <c r="M9" s="279">
        <f>'Wert, AfA, Darlehen'!L7</f>
        <v>2032</v>
      </c>
      <c r="N9" s="279">
        <f>'Wert, AfA, Darlehen'!M7</f>
        <v>2033</v>
      </c>
      <c r="O9" s="279">
        <f>'Wert, AfA, Darlehen'!N7</f>
        <v>2034</v>
      </c>
      <c r="P9" s="279">
        <f>'Wert, AfA, Darlehen'!O7</f>
        <v>2035</v>
      </c>
      <c r="Q9" s="279">
        <f>'Wert, AfA, Darlehen'!P7</f>
        <v>2036</v>
      </c>
      <c r="R9" s="279">
        <f>'Wert, AfA, Darlehen'!Q7</f>
        <v>2037</v>
      </c>
      <c r="S9" s="279">
        <f>'Wert, AfA, Darlehen'!R7</f>
        <v>2038</v>
      </c>
      <c r="T9" s="279">
        <f>'Wert, AfA, Darlehen'!S7</f>
        <v>2039</v>
      </c>
      <c r="U9" s="279">
        <f>'Wert, AfA, Darlehen'!T7</f>
        <v>2040</v>
      </c>
      <c r="V9" s="279">
        <f>'Wert, AfA, Darlehen'!U7</f>
        <v>2041</v>
      </c>
      <c r="W9" s="279">
        <f>'Wert, AfA, Darlehen'!V7</f>
        <v>2042</v>
      </c>
      <c r="X9" s="279">
        <f>'Wert, AfA, Darlehen'!W7</f>
        <v>2043</v>
      </c>
      <c r="Y9" s="279">
        <f>'Wert, AfA, Darlehen'!X7</f>
        <v>2044</v>
      </c>
      <c r="Z9" s="279">
        <f>'Wert, AfA, Darlehen'!Y7</f>
        <v>2045</v>
      </c>
      <c r="AA9" s="279">
        <f>'Wert, AfA, Darlehen'!Z7</f>
        <v>2046</v>
      </c>
      <c r="AB9" s="279">
        <f>'Wert, AfA, Darlehen'!AA7</f>
        <v>2047</v>
      </c>
      <c r="AC9" s="279">
        <f>'Wert, AfA, Darlehen'!AB7</f>
        <v>2048</v>
      </c>
      <c r="AD9" s="279">
        <f>'Wert, AfA, Darlehen'!AC7</f>
        <v>2049</v>
      </c>
      <c r="AE9" s="279">
        <f>'Wert, AfA, Darlehen'!AD7</f>
        <v>2050</v>
      </c>
      <c r="AF9" s="279">
        <f>'Wert, AfA, Darlehen'!AE7</f>
        <v>2051</v>
      </c>
      <c r="AG9" s="279">
        <f>'Wert, AfA, Darlehen'!AF7</f>
        <v>2052</v>
      </c>
      <c r="AH9" s="279">
        <f>'Wert, AfA, Darlehen'!AG7</f>
        <v>2053</v>
      </c>
      <c r="AI9" s="279">
        <f>'Wert, AfA, Darlehen'!AH7</f>
        <v>2054</v>
      </c>
      <c r="AJ9" s="279">
        <f>'Wert, AfA, Darlehen'!AI7</f>
        <v>2055</v>
      </c>
      <c r="AK9" s="279">
        <f>'Wert, AfA, Darlehen'!AJ7</f>
        <v>2056</v>
      </c>
      <c r="AL9" s="279">
        <f>'Wert, AfA, Darlehen'!AK7</f>
        <v>2057</v>
      </c>
      <c r="AM9" s="279">
        <f>'Wert, AfA, Darlehen'!AL7</f>
        <v>2058</v>
      </c>
      <c r="AN9" s="279">
        <f>'Wert, AfA, Darlehen'!AM7</f>
        <v>2059</v>
      </c>
      <c r="AO9" s="279">
        <f>'Wert, AfA, Darlehen'!AN7</f>
        <v>2060</v>
      </c>
      <c r="AP9" s="279">
        <f>'Wert, AfA, Darlehen'!AO7</f>
        <v>2061</v>
      </c>
      <c r="AQ9" s="279">
        <f>'Wert, AfA, Darlehen'!AP7</f>
        <v>2062</v>
      </c>
      <c r="AR9" s="279">
        <f>'Wert, AfA, Darlehen'!AQ7</f>
        <v>2063</v>
      </c>
      <c r="AS9" s="279">
        <f>'Wert, AfA, Darlehen'!AR7</f>
        <v>2064</v>
      </c>
      <c r="AT9" s="279">
        <f>'Wert, AfA, Darlehen'!AS7</f>
        <v>2065</v>
      </c>
      <c r="AU9" s="279">
        <f>'Wert, AfA, Darlehen'!AT7</f>
        <v>2066</v>
      </c>
      <c r="AV9" s="279">
        <f>'Wert, AfA, Darlehen'!AU7</f>
        <v>2067</v>
      </c>
      <c r="AW9" s="279">
        <f>'Wert, AfA, Darlehen'!AV7</f>
        <v>2068</v>
      </c>
      <c r="AX9" s="279">
        <f>'Wert, AfA, Darlehen'!AW7</f>
        <v>2069</v>
      </c>
      <c r="AY9" s="279">
        <f>'Wert, AfA, Darlehen'!AX7</f>
        <v>2070</v>
      </c>
      <c r="AZ9" s="279">
        <f>'Wert, AfA, Darlehen'!AY7</f>
        <v>2071</v>
      </c>
      <c r="BA9" s="279">
        <f>'Wert, AfA, Darlehen'!AZ7</f>
        <v>2072</v>
      </c>
      <c r="BB9" s="280">
        <f>'Wert, AfA, Darlehen'!BA7</f>
        <v>2073</v>
      </c>
    </row>
    <row r="10" spans="1:54">
      <c r="A10"/>
      <c r="B10" s="485" t="s">
        <v>261</v>
      </c>
      <c r="C10" s="535"/>
      <c r="D10" s="486"/>
      <c r="E10" s="281">
        <f>E17+E24+E31+E38+E45+E52+E59+E66+E73+E80+E87+E94+E101+E108+E115+E122+E129+E136+E143+E150+E157+E164+E171+E178+E185+E192+E199+E206+E213+E220</f>
        <v>1250</v>
      </c>
      <c r="F10" s="281">
        <f t="shared" ref="F10:BB10" si="0">F17+F24+F31+F38+F45+F52+F59+F66+F73+F80+F87+F94+F101+F108+F115+F122+F129+F136+F143+F150+F157+F164+F171+F178+F185+F192+F199+F206+F213+F220</f>
        <v>1287.5</v>
      </c>
      <c r="G10" s="281">
        <f t="shared" si="0"/>
        <v>1326.125</v>
      </c>
      <c r="H10" s="281">
        <f t="shared" si="0"/>
        <v>1365.9087500000001</v>
      </c>
      <c r="I10" s="281">
        <f t="shared" si="0"/>
        <v>1406.8860125000001</v>
      </c>
      <c r="J10" s="281">
        <f t="shared" si="0"/>
        <v>1449.0925928749998</v>
      </c>
      <c r="K10" s="281">
        <f t="shared" si="0"/>
        <v>1492.56537066125</v>
      </c>
      <c r="L10" s="281">
        <f t="shared" si="0"/>
        <v>1537.3423317810875</v>
      </c>
      <c r="M10" s="281">
        <f t="shared" si="0"/>
        <v>1583.4626017345199</v>
      </c>
      <c r="N10" s="281">
        <f t="shared" si="0"/>
        <v>1630.9664797865557</v>
      </c>
      <c r="O10" s="281">
        <f t="shared" si="0"/>
        <v>1679.8954741801526</v>
      </c>
      <c r="P10" s="281">
        <f t="shared" si="0"/>
        <v>1730.2923384055571</v>
      </c>
      <c r="Q10" s="281">
        <f t="shared" si="0"/>
        <v>1782.201108557724</v>
      </c>
      <c r="R10" s="281">
        <f t="shared" si="0"/>
        <v>1835.6671418144556</v>
      </c>
      <c r="S10" s="281">
        <f t="shared" si="0"/>
        <v>1890.7371560688894</v>
      </c>
      <c r="T10" s="281">
        <f t="shared" si="0"/>
        <v>1947.4592707509562</v>
      </c>
      <c r="U10" s="281">
        <f t="shared" si="0"/>
        <v>2005.8830488734848</v>
      </c>
      <c r="V10" s="281">
        <f t="shared" si="0"/>
        <v>2066.0595403396896</v>
      </c>
      <c r="W10" s="281">
        <f t="shared" si="0"/>
        <v>2128.0413265498801</v>
      </c>
      <c r="X10" s="281">
        <f t="shared" si="0"/>
        <v>2191.8825663463767</v>
      </c>
      <c r="Y10" s="281">
        <f t="shared" si="0"/>
        <v>2257.6390433367678</v>
      </c>
      <c r="Z10" s="281">
        <f t="shared" si="0"/>
        <v>2325.3682146368706</v>
      </c>
      <c r="AA10" s="281">
        <f t="shared" si="0"/>
        <v>2395.129261075977</v>
      </c>
      <c r="AB10" s="281">
        <f t="shared" si="0"/>
        <v>2466.9831389082565</v>
      </c>
      <c r="AC10" s="281">
        <f t="shared" si="0"/>
        <v>2540.9926330755043</v>
      </c>
      <c r="AD10" s="281">
        <f t="shared" si="0"/>
        <v>2617.2224120677697</v>
      </c>
      <c r="AE10" s="281">
        <f t="shared" si="0"/>
        <v>2695.7390844298025</v>
      </c>
      <c r="AF10" s="281">
        <f t="shared" si="0"/>
        <v>2776.6112569626966</v>
      </c>
      <c r="AG10" s="281">
        <f t="shared" si="0"/>
        <v>2859.9095946715775</v>
      </c>
      <c r="AH10" s="281">
        <f t="shared" si="0"/>
        <v>2945.7068825117253</v>
      </c>
      <c r="AI10" s="281">
        <f t="shared" si="0"/>
        <v>3034.0780889870766</v>
      </c>
      <c r="AJ10" s="281">
        <f t="shared" si="0"/>
        <v>3125.1004316566896</v>
      </c>
      <c r="AK10" s="281">
        <f t="shared" si="0"/>
        <v>3218.85344460639</v>
      </c>
      <c r="AL10" s="281">
        <f t="shared" si="0"/>
        <v>3315.4190479445824</v>
      </c>
      <c r="AM10" s="281">
        <f t="shared" si="0"/>
        <v>3414.8816193829193</v>
      </c>
      <c r="AN10" s="281">
        <f t="shared" si="0"/>
        <v>3517.3280679644072</v>
      </c>
      <c r="AO10" s="281">
        <f t="shared" si="0"/>
        <v>3622.8479100033392</v>
      </c>
      <c r="AP10" s="281">
        <f t="shared" si="0"/>
        <v>3731.5333473034398</v>
      </c>
      <c r="AQ10" s="281">
        <f t="shared" si="0"/>
        <v>3843.479347722543</v>
      </c>
      <c r="AR10" s="281">
        <f t="shared" si="0"/>
        <v>3958.7837281542197</v>
      </c>
      <c r="AS10" s="281">
        <f t="shared" si="0"/>
        <v>4077.5472399988457</v>
      </c>
      <c r="AT10" s="281">
        <f t="shared" si="0"/>
        <v>4199.8736571988111</v>
      </c>
      <c r="AU10" s="281">
        <f t="shared" si="0"/>
        <v>4325.8698669147752</v>
      </c>
      <c r="AV10" s="281">
        <f t="shared" si="0"/>
        <v>4455.645962922219</v>
      </c>
      <c r="AW10" s="281">
        <f t="shared" si="0"/>
        <v>4589.3153418098855</v>
      </c>
      <c r="AX10" s="281">
        <f t="shared" si="0"/>
        <v>4726.9948020641823</v>
      </c>
      <c r="AY10" s="281">
        <f t="shared" si="0"/>
        <v>4868.8046461261074</v>
      </c>
      <c r="AZ10" s="281">
        <f t="shared" si="0"/>
        <v>5014.8687855098924</v>
      </c>
      <c r="BA10" s="281">
        <f t="shared" si="0"/>
        <v>5165.3148490751892</v>
      </c>
      <c r="BB10" s="282">
        <f t="shared" si="0"/>
        <v>5320.2742945474447</v>
      </c>
    </row>
    <row r="11" spans="1:54">
      <c r="A11"/>
      <c r="B11" s="479" t="s">
        <v>99</v>
      </c>
      <c r="C11" s="536"/>
      <c r="D11" s="480"/>
      <c r="E11" s="18">
        <f>E12/E10-1</f>
        <v>3.0000000000000027E-2</v>
      </c>
      <c r="F11" s="18">
        <f t="shared" ref="F11:BB11" si="1">F12/F10-1</f>
        <v>3.0000000000000027E-2</v>
      </c>
      <c r="G11" s="18">
        <f t="shared" si="1"/>
        <v>3.0000000000000027E-2</v>
      </c>
      <c r="H11" s="18">
        <f t="shared" si="1"/>
        <v>3.0000000000000027E-2</v>
      </c>
      <c r="I11" s="18">
        <f t="shared" si="1"/>
        <v>2.9999999999999805E-2</v>
      </c>
      <c r="J11" s="18">
        <f t="shared" si="1"/>
        <v>3.0000000000000027E-2</v>
      </c>
      <c r="K11" s="18">
        <f t="shared" si="1"/>
        <v>3.0000000000000027E-2</v>
      </c>
      <c r="L11" s="18">
        <f t="shared" si="1"/>
        <v>2.9999999999999805E-2</v>
      </c>
      <c r="M11" s="18">
        <f t="shared" si="1"/>
        <v>3.0000000000000249E-2</v>
      </c>
      <c r="N11" s="18">
        <f t="shared" si="1"/>
        <v>3.0000000000000027E-2</v>
      </c>
      <c r="O11" s="18">
        <f t="shared" si="1"/>
        <v>3.0000000000000027E-2</v>
      </c>
      <c r="P11" s="18">
        <f t="shared" si="1"/>
        <v>3.0000000000000027E-2</v>
      </c>
      <c r="Q11" s="18">
        <f t="shared" si="1"/>
        <v>3.0000000000000027E-2</v>
      </c>
      <c r="R11" s="18">
        <f t="shared" si="1"/>
        <v>3.0000000000000027E-2</v>
      </c>
      <c r="S11" s="18">
        <f t="shared" si="1"/>
        <v>3.0000000000000027E-2</v>
      </c>
      <c r="T11" s="18">
        <f t="shared" si="1"/>
        <v>3.0000000000000027E-2</v>
      </c>
      <c r="U11" s="18">
        <f t="shared" si="1"/>
        <v>3.0000000000000249E-2</v>
      </c>
      <c r="V11" s="18">
        <f t="shared" si="1"/>
        <v>2.9999999999999805E-2</v>
      </c>
      <c r="W11" s="18">
        <f t="shared" si="1"/>
        <v>3.0000000000000027E-2</v>
      </c>
      <c r="X11" s="18">
        <f t="shared" si="1"/>
        <v>2.9999999999999805E-2</v>
      </c>
      <c r="Y11" s="18">
        <f t="shared" si="1"/>
        <v>2.9999999999999805E-2</v>
      </c>
      <c r="Z11" s="18">
        <f t="shared" si="1"/>
        <v>3.0000000000000027E-2</v>
      </c>
      <c r="AA11" s="18">
        <f t="shared" si="1"/>
        <v>3.0000000000000027E-2</v>
      </c>
      <c r="AB11" s="18">
        <f t="shared" si="1"/>
        <v>3.0000000000000027E-2</v>
      </c>
      <c r="AC11" s="18">
        <f t="shared" si="1"/>
        <v>3.0000000000000027E-2</v>
      </c>
      <c r="AD11" s="18">
        <f t="shared" si="1"/>
        <v>2.9999999999999805E-2</v>
      </c>
      <c r="AE11" s="18">
        <f t="shared" si="1"/>
        <v>3.0000000000000027E-2</v>
      </c>
      <c r="AF11" s="18">
        <f t="shared" si="1"/>
        <v>3.0000000000000027E-2</v>
      </c>
      <c r="AG11" s="18">
        <f t="shared" si="1"/>
        <v>3.0000000000000249E-2</v>
      </c>
      <c r="AH11" s="18">
        <f t="shared" si="1"/>
        <v>2.9999999999999805E-2</v>
      </c>
      <c r="AI11" s="18">
        <f t="shared" si="1"/>
        <v>3.0000000000000249E-2</v>
      </c>
      <c r="AJ11" s="18">
        <f t="shared" si="1"/>
        <v>2.9999999999999805E-2</v>
      </c>
      <c r="AK11" s="18">
        <f t="shared" si="1"/>
        <v>3.0000000000000249E-2</v>
      </c>
      <c r="AL11" s="18">
        <f t="shared" si="1"/>
        <v>2.9999999999999805E-2</v>
      </c>
      <c r="AM11" s="18">
        <f t="shared" si="1"/>
        <v>3.0000000000000027E-2</v>
      </c>
      <c r="AN11" s="18">
        <f t="shared" si="1"/>
        <v>3.0000000000000027E-2</v>
      </c>
      <c r="AO11" s="18">
        <f t="shared" si="1"/>
        <v>3.0000000000000027E-2</v>
      </c>
      <c r="AP11" s="18">
        <f t="shared" si="1"/>
        <v>3.0000000000000027E-2</v>
      </c>
      <c r="AQ11" s="18">
        <f t="shared" si="1"/>
        <v>3.0000000000000027E-2</v>
      </c>
      <c r="AR11" s="18">
        <f t="shared" si="1"/>
        <v>2.9999999999999805E-2</v>
      </c>
      <c r="AS11" s="18">
        <f t="shared" si="1"/>
        <v>3.0000000000000027E-2</v>
      </c>
      <c r="AT11" s="18">
        <f t="shared" si="1"/>
        <v>3.0000000000000027E-2</v>
      </c>
      <c r="AU11" s="18">
        <f t="shared" si="1"/>
        <v>3.0000000000000027E-2</v>
      </c>
      <c r="AV11" s="18">
        <f t="shared" si="1"/>
        <v>3.0000000000000027E-2</v>
      </c>
      <c r="AW11" s="18">
        <f t="shared" si="1"/>
        <v>3.0000000000000027E-2</v>
      </c>
      <c r="AX11" s="18">
        <f t="shared" si="1"/>
        <v>3.0000000000000027E-2</v>
      </c>
      <c r="AY11" s="18">
        <f t="shared" si="1"/>
        <v>3.0000000000000471E-2</v>
      </c>
      <c r="AZ11" s="18">
        <f t="shared" si="1"/>
        <v>3.0000000000000027E-2</v>
      </c>
      <c r="BA11" s="18">
        <f t="shared" si="1"/>
        <v>3.0000000000000027E-2</v>
      </c>
      <c r="BB11" s="366">
        <f t="shared" si="1"/>
        <v>3.0000000000000027E-2</v>
      </c>
    </row>
    <row r="12" spans="1:54">
      <c r="B12" s="479" t="s">
        <v>67</v>
      </c>
      <c r="C12" s="536"/>
      <c r="D12" s="480"/>
      <c r="E12" s="10">
        <f>E19+E26+E33+E40+E47+E54+E61+E68+E75+E82+E89+E96+E103+E110+E117+E124+E131+E138+E145+E152+E159+E166+E173+E180+E187+E194+E201+E208+E215+E222</f>
        <v>1287.5</v>
      </c>
      <c r="F12" s="10">
        <f t="shared" ref="F12:BB12" si="2">F19+F26+F33+F40+F47+F54+F61+F68+F75+F82+F89+F96+F103+F110+F117+F124+F131+F138+F145+F152+F159+F166+F173+F180+F187+F194+F201+F208+F215+F222</f>
        <v>1326.125</v>
      </c>
      <c r="G12" s="10">
        <f t="shared" si="2"/>
        <v>1365.9087500000001</v>
      </c>
      <c r="H12" s="10">
        <f t="shared" si="2"/>
        <v>1406.8860125000001</v>
      </c>
      <c r="I12" s="10">
        <f t="shared" si="2"/>
        <v>1449.0925928749998</v>
      </c>
      <c r="J12" s="10">
        <f t="shared" si="2"/>
        <v>1492.56537066125</v>
      </c>
      <c r="K12" s="10">
        <f t="shared" si="2"/>
        <v>1537.3423317810875</v>
      </c>
      <c r="L12" s="10">
        <f t="shared" si="2"/>
        <v>1583.4626017345199</v>
      </c>
      <c r="M12" s="10">
        <f t="shared" si="2"/>
        <v>1630.9664797865557</v>
      </c>
      <c r="N12" s="10">
        <f t="shared" si="2"/>
        <v>1679.8954741801526</v>
      </c>
      <c r="O12" s="10">
        <f t="shared" si="2"/>
        <v>1730.2923384055571</v>
      </c>
      <c r="P12" s="10">
        <f t="shared" si="2"/>
        <v>1782.201108557724</v>
      </c>
      <c r="Q12" s="10">
        <f t="shared" si="2"/>
        <v>1835.6671418144556</v>
      </c>
      <c r="R12" s="10">
        <f t="shared" si="2"/>
        <v>1890.7371560688894</v>
      </c>
      <c r="S12" s="10">
        <f t="shared" si="2"/>
        <v>1947.4592707509562</v>
      </c>
      <c r="T12" s="10">
        <f t="shared" si="2"/>
        <v>2005.8830488734848</v>
      </c>
      <c r="U12" s="10">
        <f t="shared" si="2"/>
        <v>2066.0595403396896</v>
      </c>
      <c r="V12" s="10">
        <f t="shared" si="2"/>
        <v>2128.0413265498801</v>
      </c>
      <c r="W12" s="10">
        <f t="shared" si="2"/>
        <v>2191.8825663463767</v>
      </c>
      <c r="X12" s="10">
        <f t="shared" si="2"/>
        <v>2257.6390433367678</v>
      </c>
      <c r="Y12" s="10">
        <f t="shared" si="2"/>
        <v>2325.3682146368706</v>
      </c>
      <c r="Z12" s="10">
        <f t="shared" si="2"/>
        <v>2395.129261075977</v>
      </c>
      <c r="AA12" s="10">
        <f t="shared" si="2"/>
        <v>2466.9831389082565</v>
      </c>
      <c r="AB12" s="10">
        <f t="shared" si="2"/>
        <v>2540.9926330755043</v>
      </c>
      <c r="AC12" s="10">
        <f t="shared" si="2"/>
        <v>2617.2224120677697</v>
      </c>
      <c r="AD12" s="10">
        <f t="shared" si="2"/>
        <v>2695.7390844298025</v>
      </c>
      <c r="AE12" s="10">
        <f t="shared" si="2"/>
        <v>2776.6112569626966</v>
      </c>
      <c r="AF12" s="10">
        <f t="shared" si="2"/>
        <v>2859.9095946715775</v>
      </c>
      <c r="AG12" s="10">
        <f t="shared" si="2"/>
        <v>2945.7068825117253</v>
      </c>
      <c r="AH12" s="10">
        <f t="shared" si="2"/>
        <v>3034.0780889870766</v>
      </c>
      <c r="AI12" s="10">
        <f t="shared" si="2"/>
        <v>3125.1004316566896</v>
      </c>
      <c r="AJ12" s="10">
        <f t="shared" si="2"/>
        <v>3218.85344460639</v>
      </c>
      <c r="AK12" s="10">
        <f t="shared" si="2"/>
        <v>3315.4190479445824</v>
      </c>
      <c r="AL12" s="10">
        <f t="shared" si="2"/>
        <v>3414.8816193829193</v>
      </c>
      <c r="AM12" s="10">
        <f t="shared" si="2"/>
        <v>3517.3280679644072</v>
      </c>
      <c r="AN12" s="10">
        <f t="shared" si="2"/>
        <v>3622.8479100033392</v>
      </c>
      <c r="AO12" s="10">
        <f t="shared" si="2"/>
        <v>3731.5333473034398</v>
      </c>
      <c r="AP12" s="10">
        <f t="shared" si="2"/>
        <v>3843.479347722543</v>
      </c>
      <c r="AQ12" s="10">
        <f t="shared" si="2"/>
        <v>3958.7837281542197</v>
      </c>
      <c r="AR12" s="10">
        <f t="shared" si="2"/>
        <v>4077.5472399988457</v>
      </c>
      <c r="AS12" s="10">
        <f t="shared" si="2"/>
        <v>4199.8736571988111</v>
      </c>
      <c r="AT12" s="10">
        <f t="shared" si="2"/>
        <v>4325.8698669147752</v>
      </c>
      <c r="AU12" s="10">
        <f t="shared" si="2"/>
        <v>4455.645962922219</v>
      </c>
      <c r="AV12" s="10">
        <f t="shared" si="2"/>
        <v>4589.3153418098855</v>
      </c>
      <c r="AW12" s="10">
        <f t="shared" si="2"/>
        <v>4726.9948020641823</v>
      </c>
      <c r="AX12" s="10">
        <f t="shared" si="2"/>
        <v>4868.8046461261074</v>
      </c>
      <c r="AY12" s="10">
        <f t="shared" si="2"/>
        <v>5014.8687855098924</v>
      </c>
      <c r="AZ12" s="10">
        <f t="shared" si="2"/>
        <v>5165.3148490751892</v>
      </c>
      <c r="BA12" s="10">
        <f t="shared" si="2"/>
        <v>5320.2742945474447</v>
      </c>
      <c r="BB12" s="283">
        <f t="shared" si="2"/>
        <v>5479.8825233838679</v>
      </c>
    </row>
    <row r="13" spans="1:54" ht="15.75" thickBot="1">
      <c r="B13" s="492" t="s">
        <v>301</v>
      </c>
      <c r="C13" s="537"/>
      <c r="D13" s="493"/>
      <c r="E13" s="367">
        <f>E12/$C9</f>
        <v>12.875</v>
      </c>
      <c r="F13" s="367">
        <f t="shared" ref="F13" si="3">F12/$C9</f>
        <v>13.26125</v>
      </c>
      <c r="G13" s="367">
        <f t="shared" ref="G13" si="4">G12/$C9</f>
        <v>13.6590875</v>
      </c>
      <c r="H13" s="367">
        <f t="shared" ref="H13" si="5">H12/$C9</f>
        <v>14.068860125</v>
      </c>
      <c r="I13" s="367">
        <f t="shared" ref="I13" si="6">I12/$C9</f>
        <v>14.490925928749999</v>
      </c>
      <c r="J13" s="367">
        <f t="shared" ref="J13" si="7">J12/$C9</f>
        <v>14.925653706612501</v>
      </c>
      <c r="K13" s="367">
        <f t="shared" ref="K13" si="8">K12/$C9</f>
        <v>15.373423317810875</v>
      </c>
      <c r="L13" s="367">
        <f t="shared" ref="L13" si="9">L12/$C9</f>
        <v>15.834626017345199</v>
      </c>
      <c r="M13" s="367">
        <f t="shared" ref="M13" si="10">M12/$C9</f>
        <v>16.309664797865558</v>
      </c>
      <c r="N13" s="367">
        <f t="shared" ref="N13" si="11">N12/$C9</f>
        <v>16.798954741801527</v>
      </c>
      <c r="O13" s="367">
        <f t="shared" ref="O13" si="12">O12/$C9</f>
        <v>17.302923384055571</v>
      </c>
      <c r="P13" s="367">
        <f t="shared" ref="P13" si="13">P12/$C9</f>
        <v>17.822011085577241</v>
      </c>
      <c r="Q13" s="367">
        <f t="shared" ref="Q13" si="14">Q12/$C9</f>
        <v>18.356671418144558</v>
      </c>
      <c r="R13" s="367">
        <f t="shared" ref="R13" si="15">R12/$C9</f>
        <v>18.907371560688894</v>
      </c>
      <c r="S13" s="367">
        <f t="shared" ref="S13" si="16">S12/$C9</f>
        <v>19.474592707509562</v>
      </c>
      <c r="T13" s="367">
        <f t="shared" ref="T13" si="17">T12/$C9</f>
        <v>20.058830488734849</v>
      </c>
      <c r="U13" s="367">
        <f t="shared" ref="U13" si="18">U12/$C9</f>
        <v>20.660595403396897</v>
      </c>
      <c r="V13" s="367">
        <f t="shared" ref="V13" si="19">V12/$C9</f>
        <v>21.280413265498801</v>
      </c>
      <c r="W13" s="367">
        <f t="shared" ref="W13" si="20">W12/$C9</f>
        <v>21.918825663463767</v>
      </c>
      <c r="X13" s="367">
        <f t="shared" ref="X13" si="21">X12/$C9</f>
        <v>22.576390433367678</v>
      </c>
      <c r="Y13" s="367">
        <f t="shared" ref="Y13" si="22">Y12/$C9</f>
        <v>23.253682146368707</v>
      </c>
      <c r="Z13" s="367">
        <f t="shared" ref="Z13" si="23">Z12/$C9</f>
        <v>23.951292610759769</v>
      </c>
      <c r="AA13" s="367">
        <f t="shared" ref="AA13" si="24">AA12/$C9</f>
        <v>24.669831389082564</v>
      </c>
      <c r="AB13" s="367">
        <f t="shared" ref="AB13" si="25">AB12/$C9</f>
        <v>25.409926330755042</v>
      </c>
      <c r="AC13" s="367">
        <f t="shared" ref="AC13" si="26">AC12/$C9</f>
        <v>26.172224120677697</v>
      </c>
      <c r="AD13" s="367">
        <f t="shared" ref="AD13" si="27">AD12/$C9</f>
        <v>26.957390844298025</v>
      </c>
      <c r="AE13" s="367">
        <f t="shared" ref="AE13" si="28">AE12/$C9</f>
        <v>27.766112569626966</v>
      </c>
      <c r="AF13" s="367">
        <f t="shared" ref="AF13" si="29">AF12/$C9</f>
        <v>28.599095946715774</v>
      </c>
      <c r="AG13" s="367">
        <f t="shared" ref="AG13" si="30">AG12/$C9</f>
        <v>29.457068825117254</v>
      </c>
      <c r="AH13" s="367">
        <f t="shared" ref="AH13" si="31">AH12/$C9</f>
        <v>30.340780889870768</v>
      </c>
      <c r="AI13" s="367">
        <f t="shared" ref="AI13" si="32">AI12/$C9</f>
        <v>31.251004316566895</v>
      </c>
      <c r="AJ13" s="367">
        <f t="shared" ref="AJ13" si="33">AJ12/$C9</f>
        <v>32.188534446063898</v>
      </c>
      <c r="AK13" s="367">
        <f t="shared" ref="AK13" si="34">AK12/$C9</f>
        <v>33.154190479445823</v>
      </c>
      <c r="AL13" s="367">
        <f t="shared" ref="AL13" si="35">AL12/$C9</f>
        <v>34.148816193829191</v>
      </c>
      <c r="AM13" s="367">
        <f t="shared" ref="AM13" si="36">AM12/$C9</f>
        <v>35.173280679644073</v>
      </c>
      <c r="AN13" s="367">
        <f t="shared" ref="AN13" si="37">AN12/$C9</f>
        <v>36.22847910003339</v>
      </c>
      <c r="AO13" s="367">
        <f t="shared" ref="AO13" si="38">AO12/$C9</f>
        <v>37.3153334730344</v>
      </c>
      <c r="AP13" s="367">
        <f t="shared" ref="AP13" si="39">AP12/$C9</f>
        <v>38.434793477225433</v>
      </c>
      <c r="AQ13" s="367">
        <f t="shared" ref="AQ13" si="40">AQ12/$C9</f>
        <v>39.5878372815422</v>
      </c>
      <c r="AR13" s="367">
        <f t="shared" ref="AR13" si="41">AR12/$C9</f>
        <v>40.775472399988459</v>
      </c>
      <c r="AS13" s="367">
        <f t="shared" ref="AS13" si="42">AS12/$C9</f>
        <v>41.998736571988111</v>
      </c>
      <c r="AT13" s="367">
        <f t="shared" ref="AT13" si="43">AT12/$C9</f>
        <v>43.258698669147755</v>
      </c>
      <c r="AU13" s="367">
        <f t="shared" ref="AU13" si="44">AU12/$C9</f>
        <v>44.556459629222189</v>
      </c>
      <c r="AV13" s="367">
        <f t="shared" ref="AV13" si="45">AV12/$C9</f>
        <v>45.893153418098855</v>
      </c>
      <c r="AW13" s="367">
        <f t="shared" ref="AW13" si="46">AW12/$C9</f>
        <v>47.26994802064182</v>
      </c>
      <c r="AX13" s="367">
        <f t="shared" ref="AX13" si="47">AX12/$C9</f>
        <v>48.688046461261074</v>
      </c>
      <c r="AY13" s="367">
        <f t="shared" ref="AY13" si="48">AY12/$C9</f>
        <v>50.148687855098927</v>
      </c>
      <c r="AZ13" s="367">
        <f t="shared" ref="AZ13" si="49">AZ12/$C9</f>
        <v>51.653148490751889</v>
      </c>
      <c r="BA13" s="367">
        <f t="shared" ref="BA13" si="50">BA12/$C9</f>
        <v>53.202742945474448</v>
      </c>
      <c r="BB13" s="368">
        <f t="shared" ref="BB13" si="51">BB12/$C9</f>
        <v>54.798825233838677</v>
      </c>
    </row>
    <row r="14" spans="1:54" ht="9" customHeight="1" thickBot="1">
      <c r="J14" s="6"/>
      <c r="K14" s="6"/>
      <c r="L14" s="6"/>
      <c r="M14" s="6"/>
      <c r="O14" s="5"/>
      <c r="P14" s="5"/>
      <c r="Q14" s="5"/>
      <c r="R14" s="5"/>
    </row>
    <row r="15" spans="1:54" ht="18" thickBot="1">
      <c r="A15"/>
      <c r="B15" s="533" t="s">
        <v>302</v>
      </c>
      <c r="C15" s="534"/>
      <c r="D15" s="32"/>
      <c r="E15" s="275"/>
      <c r="J15" s="6"/>
      <c r="K15" s="6"/>
      <c r="L15" s="6"/>
      <c r="M15" s="6"/>
    </row>
    <row r="16" spans="1:54" ht="15.75" thickBot="1">
      <c r="B16" s="360" t="s">
        <v>11</v>
      </c>
      <c r="C16" s="369">
        <v>40</v>
      </c>
      <c r="D16" s="364"/>
      <c r="E16" s="365">
        <f t="shared" ref="E16:AJ16" si="52">E$9</f>
        <v>2024</v>
      </c>
      <c r="F16" s="279">
        <f t="shared" si="52"/>
        <v>2025</v>
      </c>
      <c r="G16" s="279">
        <f t="shared" si="52"/>
        <v>2026</v>
      </c>
      <c r="H16" s="279">
        <f t="shared" si="52"/>
        <v>2027</v>
      </c>
      <c r="I16" s="279">
        <f t="shared" si="52"/>
        <v>2028</v>
      </c>
      <c r="J16" s="279">
        <f t="shared" si="52"/>
        <v>2029</v>
      </c>
      <c r="K16" s="279">
        <f t="shared" si="52"/>
        <v>2030</v>
      </c>
      <c r="L16" s="279">
        <f t="shared" si="52"/>
        <v>2031</v>
      </c>
      <c r="M16" s="279">
        <f t="shared" si="52"/>
        <v>2032</v>
      </c>
      <c r="N16" s="279">
        <f t="shared" si="52"/>
        <v>2033</v>
      </c>
      <c r="O16" s="279">
        <f t="shared" si="52"/>
        <v>2034</v>
      </c>
      <c r="P16" s="279">
        <f t="shared" si="52"/>
        <v>2035</v>
      </c>
      <c r="Q16" s="279">
        <f t="shared" si="52"/>
        <v>2036</v>
      </c>
      <c r="R16" s="279">
        <f t="shared" si="52"/>
        <v>2037</v>
      </c>
      <c r="S16" s="279">
        <f t="shared" si="52"/>
        <v>2038</v>
      </c>
      <c r="T16" s="279">
        <f t="shared" si="52"/>
        <v>2039</v>
      </c>
      <c r="U16" s="279">
        <f t="shared" si="52"/>
        <v>2040</v>
      </c>
      <c r="V16" s="279">
        <f t="shared" si="52"/>
        <v>2041</v>
      </c>
      <c r="W16" s="279">
        <f t="shared" si="52"/>
        <v>2042</v>
      </c>
      <c r="X16" s="279">
        <f t="shared" si="52"/>
        <v>2043</v>
      </c>
      <c r="Y16" s="279">
        <f t="shared" si="52"/>
        <v>2044</v>
      </c>
      <c r="Z16" s="279">
        <f t="shared" si="52"/>
        <v>2045</v>
      </c>
      <c r="AA16" s="279">
        <f t="shared" si="52"/>
        <v>2046</v>
      </c>
      <c r="AB16" s="279">
        <f t="shared" si="52"/>
        <v>2047</v>
      </c>
      <c r="AC16" s="279">
        <f t="shared" si="52"/>
        <v>2048</v>
      </c>
      <c r="AD16" s="279">
        <f t="shared" si="52"/>
        <v>2049</v>
      </c>
      <c r="AE16" s="279">
        <f t="shared" si="52"/>
        <v>2050</v>
      </c>
      <c r="AF16" s="279">
        <f t="shared" si="52"/>
        <v>2051</v>
      </c>
      <c r="AG16" s="279">
        <f t="shared" si="52"/>
        <v>2052</v>
      </c>
      <c r="AH16" s="279">
        <f t="shared" si="52"/>
        <v>2053</v>
      </c>
      <c r="AI16" s="279">
        <f t="shared" si="52"/>
        <v>2054</v>
      </c>
      <c r="AJ16" s="279">
        <f t="shared" si="52"/>
        <v>2055</v>
      </c>
      <c r="AK16" s="279">
        <f t="shared" ref="AK16:BB16" si="53">AK$9</f>
        <v>2056</v>
      </c>
      <c r="AL16" s="279">
        <f t="shared" si="53"/>
        <v>2057</v>
      </c>
      <c r="AM16" s="279">
        <f t="shared" si="53"/>
        <v>2058</v>
      </c>
      <c r="AN16" s="279">
        <f t="shared" si="53"/>
        <v>2059</v>
      </c>
      <c r="AO16" s="279">
        <f t="shared" si="53"/>
        <v>2060</v>
      </c>
      <c r="AP16" s="279">
        <f t="shared" si="53"/>
        <v>2061</v>
      </c>
      <c r="AQ16" s="279">
        <f t="shared" si="53"/>
        <v>2062</v>
      </c>
      <c r="AR16" s="279">
        <f t="shared" si="53"/>
        <v>2063</v>
      </c>
      <c r="AS16" s="279">
        <f t="shared" si="53"/>
        <v>2064</v>
      </c>
      <c r="AT16" s="279">
        <f t="shared" si="53"/>
        <v>2065</v>
      </c>
      <c r="AU16" s="279">
        <f t="shared" si="53"/>
        <v>2066</v>
      </c>
      <c r="AV16" s="279">
        <f t="shared" si="53"/>
        <v>2067</v>
      </c>
      <c r="AW16" s="279">
        <f t="shared" si="53"/>
        <v>2068</v>
      </c>
      <c r="AX16" s="279">
        <f t="shared" si="53"/>
        <v>2069</v>
      </c>
      <c r="AY16" s="279">
        <f t="shared" si="53"/>
        <v>2070</v>
      </c>
      <c r="AZ16" s="279">
        <f t="shared" si="53"/>
        <v>2071</v>
      </c>
      <c r="BA16" s="279">
        <f t="shared" si="53"/>
        <v>2072</v>
      </c>
      <c r="BB16" s="280">
        <f t="shared" si="53"/>
        <v>2073</v>
      </c>
    </row>
    <row r="17" spans="1:54">
      <c r="A17"/>
      <c r="B17" s="485" t="s">
        <v>261</v>
      </c>
      <c r="C17" s="535"/>
      <c r="D17" s="486"/>
      <c r="E17" s="307">
        <v>300</v>
      </c>
      <c r="F17" s="281">
        <f>E19</f>
        <v>309</v>
      </c>
      <c r="G17" s="281">
        <f t="shared" ref="G17:BB17" si="54">F19</f>
        <v>318.27</v>
      </c>
      <c r="H17" s="281">
        <f t="shared" si="54"/>
        <v>327.81810000000002</v>
      </c>
      <c r="I17" s="281">
        <f t="shared" si="54"/>
        <v>337.65264300000001</v>
      </c>
      <c r="J17" s="281">
        <f t="shared" si="54"/>
        <v>347.78222228999999</v>
      </c>
      <c r="K17" s="281">
        <f t="shared" si="54"/>
        <v>358.21568895870001</v>
      </c>
      <c r="L17" s="281">
        <f t="shared" si="54"/>
        <v>368.96215962746101</v>
      </c>
      <c r="M17" s="281">
        <f t="shared" si="54"/>
        <v>380.03102441628482</v>
      </c>
      <c r="N17" s="281">
        <f t="shared" si="54"/>
        <v>391.4319551487734</v>
      </c>
      <c r="O17" s="281">
        <f t="shared" si="54"/>
        <v>403.17491380323662</v>
      </c>
      <c r="P17" s="281">
        <f t="shared" si="54"/>
        <v>415.27016121733374</v>
      </c>
      <c r="Q17" s="281">
        <f t="shared" si="54"/>
        <v>427.72826605385376</v>
      </c>
      <c r="R17" s="281">
        <f t="shared" si="54"/>
        <v>440.56011403546938</v>
      </c>
      <c r="S17" s="281">
        <f t="shared" si="54"/>
        <v>453.77691745653345</v>
      </c>
      <c r="T17" s="281">
        <f t="shared" si="54"/>
        <v>467.39022498022945</v>
      </c>
      <c r="U17" s="281">
        <f t="shared" si="54"/>
        <v>481.41193172963636</v>
      </c>
      <c r="V17" s="281">
        <f t="shared" si="54"/>
        <v>495.85428968152547</v>
      </c>
      <c r="W17" s="281">
        <f t="shared" si="54"/>
        <v>510.72991837197122</v>
      </c>
      <c r="X17" s="281">
        <f t="shared" si="54"/>
        <v>526.05181592313033</v>
      </c>
      <c r="Y17" s="281">
        <f t="shared" si="54"/>
        <v>541.83337040082426</v>
      </c>
      <c r="Z17" s="281">
        <f t="shared" si="54"/>
        <v>558.08837151284899</v>
      </c>
      <c r="AA17" s="281">
        <f t="shared" si="54"/>
        <v>574.83102265823447</v>
      </c>
      <c r="AB17" s="281">
        <f t="shared" si="54"/>
        <v>592.07595333798156</v>
      </c>
      <c r="AC17" s="281">
        <f t="shared" si="54"/>
        <v>609.838231938121</v>
      </c>
      <c r="AD17" s="281">
        <f t="shared" si="54"/>
        <v>628.13337889626462</v>
      </c>
      <c r="AE17" s="281">
        <f t="shared" si="54"/>
        <v>646.97738026315255</v>
      </c>
      <c r="AF17" s="281">
        <f t="shared" si="54"/>
        <v>666.38670167104715</v>
      </c>
      <c r="AG17" s="281">
        <f t="shared" si="54"/>
        <v>686.37830272117856</v>
      </c>
      <c r="AH17" s="281">
        <f t="shared" si="54"/>
        <v>706.96965180281393</v>
      </c>
      <c r="AI17" s="281">
        <f t="shared" si="54"/>
        <v>728.1787413568984</v>
      </c>
      <c r="AJ17" s="281">
        <f t="shared" si="54"/>
        <v>750.0241035976054</v>
      </c>
      <c r="AK17" s="281">
        <f t="shared" si="54"/>
        <v>772.52482670553354</v>
      </c>
      <c r="AL17" s="281">
        <f t="shared" si="54"/>
        <v>795.70057150669959</v>
      </c>
      <c r="AM17" s="281">
        <f t="shared" si="54"/>
        <v>819.57158865190058</v>
      </c>
      <c r="AN17" s="281">
        <f t="shared" si="54"/>
        <v>844.15873631145757</v>
      </c>
      <c r="AO17" s="281">
        <f t="shared" si="54"/>
        <v>869.4834984008013</v>
      </c>
      <c r="AP17" s="281">
        <f t="shared" si="54"/>
        <v>895.56800335282537</v>
      </c>
      <c r="AQ17" s="281">
        <f t="shared" si="54"/>
        <v>922.43504345341012</v>
      </c>
      <c r="AR17" s="281">
        <f t="shared" si="54"/>
        <v>950.1080947570124</v>
      </c>
      <c r="AS17" s="281">
        <f t="shared" si="54"/>
        <v>978.61133759972279</v>
      </c>
      <c r="AT17" s="281">
        <f t="shared" si="54"/>
        <v>1007.9696777277145</v>
      </c>
      <c r="AU17" s="281">
        <f t="shared" si="54"/>
        <v>1038.2087680595459</v>
      </c>
      <c r="AV17" s="281">
        <f t="shared" si="54"/>
        <v>1069.3550311013323</v>
      </c>
      <c r="AW17" s="281">
        <f t="shared" si="54"/>
        <v>1101.4356820343723</v>
      </c>
      <c r="AX17" s="281">
        <f t="shared" si="54"/>
        <v>1134.4787524954036</v>
      </c>
      <c r="AY17" s="281">
        <f t="shared" si="54"/>
        <v>1168.5131150702657</v>
      </c>
      <c r="AZ17" s="281">
        <f t="shared" si="54"/>
        <v>1203.5685085223738</v>
      </c>
      <c r="BA17" s="281">
        <f t="shared" si="54"/>
        <v>1239.675563778045</v>
      </c>
      <c r="BB17" s="282">
        <f t="shared" si="54"/>
        <v>1276.8658306913865</v>
      </c>
    </row>
    <row r="18" spans="1:54">
      <c r="A18"/>
      <c r="B18" s="479" t="s">
        <v>99</v>
      </c>
      <c r="C18" s="536"/>
      <c r="D18" s="480"/>
      <c r="E18" s="289">
        <f>Cockpit!$H$31</f>
        <v>0.03</v>
      </c>
      <c r="F18" s="289">
        <f>Cockpit!$H$31</f>
        <v>0.03</v>
      </c>
      <c r="G18" s="289">
        <f>Cockpit!$H$31</f>
        <v>0.03</v>
      </c>
      <c r="H18" s="289">
        <f>Cockpit!$H$31</f>
        <v>0.03</v>
      </c>
      <c r="I18" s="289">
        <f>Cockpit!$H$31</f>
        <v>0.03</v>
      </c>
      <c r="J18" s="289">
        <f>Cockpit!$H$31</f>
        <v>0.03</v>
      </c>
      <c r="K18" s="289">
        <f>Cockpit!$H$31</f>
        <v>0.03</v>
      </c>
      <c r="L18" s="289">
        <f>Cockpit!$H$31</f>
        <v>0.03</v>
      </c>
      <c r="M18" s="289">
        <f>Cockpit!$H$31</f>
        <v>0.03</v>
      </c>
      <c r="N18" s="289">
        <f>Cockpit!$H$31</f>
        <v>0.03</v>
      </c>
      <c r="O18" s="289">
        <f>Cockpit!$H$31</f>
        <v>0.03</v>
      </c>
      <c r="P18" s="289">
        <f>Cockpit!$H$31</f>
        <v>0.03</v>
      </c>
      <c r="Q18" s="289">
        <f>Cockpit!$H$31</f>
        <v>0.03</v>
      </c>
      <c r="R18" s="289">
        <f>Cockpit!$H$31</f>
        <v>0.03</v>
      </c>
      <c r="S18" s="289">
        <f>Cockpit!$H$31</f>
        <v>0.03</v>
      </c>
      <c r="T18" s="289">
        <f>Cockpit!$H$31</f>
        <v>0.03</v>
      </c>
      <c r="U18" s="289">
        <f>Cockpit!$H$31</f>
        <v>0.03</v>
      </c>
      <c r="V18" s="289">
        <f>Cockpit!$H$31</f>
        <v>0.03</v>
      </c>
      <c r="W18" s="289">
        <f>Cockpit!$H$31</f>
        <v>0.03</v>
      </c>
      <c r="X18" s="289">
        <f>Cockpit!$H$31</f>
        <v>0.03</v>
      </c>
      <c r="Y18" s="289">
        <f>Cockpit!$H$31</f>
        <v>0.03</v>
      </c>
      <c r="Z18" s="289">
        <f>Cockpit!$H$31</f>
        <v>0.03</v>
      </c>
      <c r="AA18" s="289">
        <f>Cockpit!$H$31</f>
        <v>0.03</v>
      </c>
      <c r="AB18" s="289">
        <f>Cockpit!$H$31</f>
        <v>0.03</v>
      </c>
      <c r="AC18" s="289">
        <f>Cockpit!$H$31</f>
        <v>0.03</v>
      </c>
      <c r="AD18" s="289">
        <f>Cockpit!$H$31</f>
        <v>0.03</v>
      </c>
      <c r="AE18" s="289">
        <f>Cockpit!$H$31</f>
        <v>0.03</v>
      </c>
      <c r="AF18" s="289">
        <f>Cockpit!$H$31</f>
        <v>0.03</v>
      </c>
      <c r="AG18" s="289">
        <f>Cockpit!$H$31</f>
        <v>0.03</v>
      </c>
      <c r="AH18" s="289">
        <f>Cockpit!$H$31</f>
        <v>0.03</v>
      </c>
      <c r="AI18" s="289">
        <f>Cockpit!$H$31</f>
        <v>0.03</v>
      </c>
      <c r="AJ18" s="289">
        <f>Cockpit!$H$31</f>
        <v>0.03</v>
      </c>
      <c r="AK18" s="289">
        <f>Cockpit!$H$31</f>
        <v>0.03</v>
      </c>
      <c r="AL18" s="289">
        <f>Cockpit!$H$31</f>
        <v>0.03</v>
      </c>
      <c r="AM18" s="289">
        <f>Cockpit!$H$31</f>
        <v>0.03</v>
      </c>
      <c r="AN18" s="289">
        <f>Cockpit!$H$31</f>
        <v>0.03</v>
      </c>
      <c r="AO18" s="289">
        <f>Cockpit!$H$31</f>
        <v>0.03</v>
      </c>
      <c r="AP18" s="289">
        <f>Cockpit!$H$31</f>
        <v>0.03</v>
      </c>
      <c r="AQ18" s="289">
        <f>Cockpit!$H$31</f>
        <v>0.03</v>
      </c>
      <c r="AR18" s="289">
        <f>Cockpit!$H$31</f>
        <v>0.03</v>
      </c>
      <c r="AS18" s="289">
        <f>Cockpit!$H$31</f>
        <v>0.03</v>
      </c>
      <c r="AT18" s="289">
        <f>Cockpit!$H$31</f>
        <v>0.03</v>
      </c>
      <c r="AU18" s="289">
        <f>Cockpit!$H$31</f>
        <v>0.03</v>
      </c>
      <c r="AV18" s="289">
        <f>Cockpit!$H$31</f>
        <v>0.03</v>
      </c>
      <c r="AW18" s="289">
        <f>Cockpit!$H$31</f>
        <v>0.03</v>
      </c>
      <c r="AX18" s="289">
        <f>Cockpit!$H$31</f>
        <v>0.03</v>
      </c>
      <c r="AY18" s="289">
        <f>Cockpit!$H$31</f>
        <v>0.03</v>
      </c>
      <c r="AZ18" s="289">
        <f>Cockpit!$H$31</f>
        <v>0.03</v>
      </c>
      <c r="BA18" s="289">
        <f>Cockpit!$H$31</f>
        <v>0.03</v>
      </c>
      <c r="BB18" s="290">
        <f>Cockpit!$H$31</f>
        <v>0.03</v>
      </c>
    </row>
    <row r="19" spans="1:54">
      <c r="B19" s="479" t="s">
        <v>67</v>
      </c>
      <c r="C19" s="536"/>
      <c r="D19" s="480"/>
      <c r="E19" s="10">
        <f t="shared" ref="E19:BB19" si="55">E17*(1+E18)</f>
        <v>309</v>
      </c>
      <c r="F19" s="10">
        <f t="shared" si="55"/>
        <v>318.27</v>
      </c>
      <c r="G19" s="10">
        <f t="shared" si="55"/>
        <v>327.81810000000002</v>
      </c>
      <c r="H19" s="10">
        <f t="shared" si="55"/>
        <v>337.65264300000001</v>
      </c>
      <c r="I19" s="10">
        <f t="shared" si="55"/>
        <v>347.78222228999999</v>
      </c>
      <c r="J19" s="10">
        <f t="shared" si="55"/>
        <v>358.21568895870001</v>
      </c>
      <c r="K19" s="10">
        <f t="shared" si="55"/>
        <v>368.96215962746101</v>
      </c>
      <c r="L19" s="10">
        <f t="shared" si="55"/>
        <v>380.03102441628482</v>
      </c>
      <c r="M19" s="10">
        <f t="shared" si="55"/>
        <v>391.4319551487734</v>
      </c>
      <c r="N19" s="10">
        <f t="shared" si="55"/>
        <v>403.17491380323662</v>
      </c>
      <c r="O19" s="10">
        <f t="shared" si="55"/>
        <v>415.27016121733374</v>
      </c>
      <c r="P19" s="10">
        <f t="shared" si="55"/>
        <v>427.72826605385376</v>
      </c>
      <c r="Q19" s="10">
        <f t="shared" si="55"/>
        <v>440.56011403546938</v>
      </c>
      <c r="R19" s="10">
        <f t="shared" si="55"/>
        <v>453.77691745653345</v>
      </c>
      <c r="S19" s="10">
        <f t="shared" si="55"/>
        <v>467.39022498022945</v>
      </c>
      <c r="T19" s="10">
        <f t="shared" si="55"/>
        <v>481.41193172963636</v>
      </c>
      <c r="U19" s="10">
        <f t="shared" si="55"/>
        <v>495.85428968152547</v>
      </c>
      <c r="V19" s="10">
        <f t="shared" si="55"/>
        <v>510.72991837197122</v>
      </c>
      <c r="W19" s="10">
        <f t="shared" si="55"/>
        <v>526.05181592313033</v>
      </c>
      <c r="X19" s="10">
        <f t="shared" si="55"/>
        <v>541.83337040082426</v>
      </c>
      <c r="Y19" s="10">
        <f t="shared" si="55"/>
        <v>558.08837151284899</v>
      </c>
      <c r="Z19" s="10">
        <f t="shared" si="55"/>
        <v>574.83102265823447</v>
      </c>
      <c r="AA19" s="10">
        <f t="shared" si="55"/>
        <v>592.07595333798156</v>
      </c>
      <c r="AB19" s="10">
        <f t="shared" si="55"/>
        <v>609.838231938121</v>
      </c>
      <c r="AC19" s="10">
        <f t="shared" si="55"/>
        <v>628.13337889626462</v>
      </c>
      <c r="AD19" s="10">
        <f t="shared" si="55"/>
        <v>646.97738026315255</v>
      </c>
      <c r="AE19" s="10">
        <f t="shared" si="55"/>
        <v>666.38670167104715</v>
      </c>
      <c r="AF19" s="10">
        <f t="shared" si="55"/>
        <v>686.37830272117856</v>
      </c>
      <c r="AG19" s="10">
        <f t="shared" si="55"/>
        <v>706.96965180281393</v>
      </c>
      <c r="AH19" s="10">
        <f t="shared" si="55"/>
        <v>728.1787413568984</v>
      </c>
      <c r="AI19" s="10">
        <f t="shared" si="55"/>
        <v>750.0241035976054</v>
      </c>
      <c r="AJ19" s="10">
        <f t="shared" si="55"/>
        <v>772.52482670553354</v>
      </c>
      <c r="AK19" s="10">
        <f t="shared" si="55"/>
        <v>795.70057150669959</v>
      </c>
      <c r="AL19" s="10">
        <f t="shared" si="55"/>
        <v>819.57158865190058</v>
      </c>
      <c r="AM19" s="10">
        <f t="shared" si="55"/>
        <v>844.15873631145757</v>
      </c>
      <c r="AN19" s="10">
        <f t="shared" si="55"/>
        <v>869.4834984008013</v>
      </c>
      <c r="AO19" s="10">
        <f t="shared" si="55"/>
        <v>895.56800335282537</v>
      </c>
      <c r="AP19" s="10">
        <f t="shared" si="55"/>
        <v>922.43504345341012</v>
      </c>
      <c r="AQ19" s="10">
        <f t="shared" si="55"/>
        <v>950.1080947570124</v>
      </c>
      <c r="AR19" s="10">
        <f t="shared" si="55"/>
        <v>978.61133759972279</v>
      </c>
      <c r="AS19" s="10">
        <f t="shared" si="55"/>
        <v>1007.9696777277145</v>
      </c>
      <c r="AT19" s="10">
        <f t="shared" si="55"/>
        <v>1038.2087680595459</v>
      </c>
      <c r="AU19" s="10">
        <f t="shared" si="55"/>
        <v>1069.3550311013323</v>
      </c>
      <c r="AV19" s="10">
        <f t="shared" si="55"/>
        <v>1101.4356820343723</v>
      </c>
      <c r="AW19" s="10">
        <f t="shared" si="55"/>
        <v>1134.4787524954036</v>
      </c>
      <c r="AX19" s="10">
        <f t="shared" si="55"/>
        <v>1168.5131150702657</v>
      </c>
      <c r="AY19" s="10">
        <f t="shared" si="55"/>
        <v>1203.5685085223738</v>
      </c>
      <c r="AZ19" s="10">
        <f t="shared" si="55"/>
        <v>1239.675563778045</v>
      </c>
      <c r="BA19" s="10">
        <f t="shared" si="55"/>
        <v>1276.8658306913865</v>
      </c>
      <c r="BB19" s="283">
        <f t="shared" si="55"/>
        <v>1315.1718056121281</v>
      </c>
    </row>
    <row r="20" spans="1:54" ht="15.75" thickBot="1">
      <c r="B20" s="492" t="s">
        <v>301</v>
      </c>
      <c r="C20" s="537"/>
      <c r="D20" s="493"/>
      <c r="E20" s="367">
        <f>E19/$C16</f>
        <v>7.7249999999999996</v>
      </c>
      <c r="F20" s="367">
        <f t="shared" ref="F20:BB20" si="56">F19/$C16</f>
        <v>7.9567499999999995</v>
      </c>
      <c r="G20" s="367">
        <f t="shared" si="56"/>
        <v>8.1954525</v>
      </c>
      <c r="H20" s="367">
        <f t="shared" si="56"/>
        <v>8.4413160749999996</v>
      </c>
      <c r="I20" s="367">
        <f t="shared" si="56"/>
        <v>8.6945555572500002</v>
      </c>
      <c r="J20" s="367">
        <f t="shared" si="56"/>
        <v>8.9553922239675003</v>
      </c>
      <c r="K20" s="367">
        <f t="shared" si="56"/>
        <v>9.2240539906865244</v>
      </c>
      <c r="L20" s="367">
        <f t="shared" si="56"/>
        <v>9.5007756104071213</v>
      </c>
      <c r="M20" s="367">
        <f t="shared" si="56"/>
        <v>9.7857988787193353</v>
      </c>
      <c r="N20" s="367">
        <f t="shared" si="56"/>
        <v>10.079372845080915</v>
      </c>
      <c r="O20" s="367">
        <f t="shared" si="56"/>
        <v>10.381754030433344</v>
      </c>
      <c r="P20" s="367">
        <f t="shared" si="56"/>
        <v>10.693206651346344</v>
      </c>
      <c r="Q20" s="367">
        <f t="shared" si="56"/>
        <v>11.014002850886735</v>
      </c>
      <c r="R20" s="367">
        <f t="shared" si="56"/>
        <v>11.344422936413336</v>
      </c>
      <c r="S20" s="367">
        <f t="shared" si="56"/>
        <v>11.684755624505737</v>
      </c>
      <c r="T20" s="367">
        <f t="shared" si="56"/>
        <v>12.03529829324091</v>
      </c>
      <c r="U20" s="367">
        <f t="shared" si="56"/>
        <v>12.396357242038137</v>
      </c>
      <c r="V20" s="367">
        <f t="shared" si="56"/>
        <v>12.768247959299281</v>
      </c>
      <c r="W20" s="367">
        <f t="shared" si="56"/>
        <v>13.151295398078258</v>
      </c>
      <c r="X20" s="367">
        <f t="shared" si="56"/>
        <v>13.545834260020607</v>
      </c>
      <c r="Y20" s="367">
        <f t="shared" si="56"/>
        <v>13.952209287821224</v>
      </c>
      <c r="Z20" s="367">
        <f t="shared" si="56"/>
        <v>14.370775566455862</v>
      </c>
      <c r="AA20" s="367">
        <f t="shared" si="56"/>
        <v>14.801898833449538</v>
      </c>
      <c r="AB20" s="367">
        <f t="shared" si="56"/>
        <v>15.245955798453025</v>
      </c>
      <c r="AC20" s="367">
        <f t="shared" si="56"/>
        <v>15.703334472406615</v>
      </c>
      <c r="AD20" s="367">
        <f t="shared" si="56"/>
        <v>16.174434506578812</v>
      </c>
      <c r="AE20" s="367">
        <f t="shared" si="56"/>
        <v>16.65966754177618</v>
      </c>
      <c r="AF20" s="367">
        <f t="shared" si="56"/>
        <v>17.159457568029463</v>
      </c>
      <c r="AG20" s="367">
        <f t="shared" si="56"/>
        <v>17.674241295070349</v>
      </c>
      <c r="AH20" s="367">
        <f t="shared" si="56"/>
        <v>18.204468533922459</v>
      </c>
      <c r="AI20" s="367">
        <f t="shared" si="56"/>
        <v>18.750602589940137</v>
      </c>
      <c r="AJ20" s="367">
        <f t="shared" si="56"/>
        <v>19.313120667638337</v>
      </c>
      <c r="AK20" s="367">
        <f t="shared" si="56"/>
        <v>19.892514287667488</v>
      </c>
      <c r="AL20" s="367">
        <f t="shared" si="56"/>
        <v>20.489289716297513</v>
      </c>
      <c r="AM20" s="367">
        <f t="shared" si="56"/>
        <v>21.103968407786439</v>
      </c>
      <c r="AN20" s="367">
        <f t="shared" si="56"/>
        <v>21.737087460020032</v>
      </c>
      <c r="AO20" s="367">
        <f t="shared" si="56"/>
        <v>22.389200083820633</v>
      </c>
      <c r="AP20" s="367">
        <f t="shared" si="56"/>
        <v>23.060876086335252</v>
      </c>
      <c r="AQ20" s="367">
        <f t="shared" si="56"/>
        <v>23.752702368925309</v>
      </c>
      <c r="AR20" s="367">
        <f t="shared" si="56"/>
        <v>24.465283439993069</v>
      </c>
      <c r="AS20" s="367">
        <f t="shared" si="56"/>
        <v>25.199241943192863</v>
      </c>
      <c r="AT20" s="367">
        <f t="shared" si="56"/>
        <v>25.955219201488649</v>
      </c>
      <c r="AU20" s="367">
        <f t="shared" si="56"/>
        <v>26.733875777533306</v>
      </c>
      <c r="AV20" s="367">
        <f t="shared" si="56"/>
        <v>27.53589205085931</v>
      </c>
      <c r="AW20" s="367">
        <f t="shared" si="56"/>
        <v>28.36196881238509</v>
      </c>
      <c r="AX20" s="367">
        <f t="shared" si="56"/>
        <v>29.212827876756641</v>
      </c>
      <c r="AY20" s="367">
        <f t="shared" si="56"/>
        <v>30.089212713059347</v>
      </c>
      <c r="AZ20" s="367">
        <f t="shared" si="56"/>
        <v>30.991889094451125</v>
      </c>
      <c r="BA20" s="367">
        <f t="shared" si="56"/>
        <v>31.921645767284662</v>
      </c>
      <c r="BB20" s="368">
        <f t="shared" si="56"/>
        <v>32.879295140303199</v>
      </c>
    </row>
    <row r="21" spans="1:54" ht="17.25" customHeight="1" thickBot="1">
      <c r="J21" s="6"/>
      <c r="K21" s="6"/>
      <c r="L21" s="6"/>
      <c r="M21" s="6"/>
      <c r="O21" s="5"/>
      <c r="P21" s="5"/>
      <c r="Q21" s="5"/>
      <c r="R21" s="5"/>
    </row>
    <row r="22" spans="1:54" ht="18" thickBot="1">
      <c r="A22"/>
      <c r="B22" s="533" t="s">
        <v>303</v>
      </c>
      <c r="C22" s="534"/>
      <c r="D22" s="32"/>
      <c r="E22" s="275"/>
      <c r="J22" s="6"/>
      <c r="K22" s="6"/>
      <c r="L22" s="6"/>
      <c r="M22" s="6"/>
    </row>
    <row r="23" spans="1:54" ht="15.75" thickBot="1">
      <c r="B23" s="360" t="s">
        <v>11</v>
      </c>
      <c r="C23" s="369">
        <v>20</v>
      </c>
      <c r="D23" s="364">
        <v>25</v>
      </c>
      <c r="E23" s="365">
        <f t="shared" ref="E23:AJ23" si="57">E$9</f>
        <v>2024</v>
      </c>
      <c r="F23" s="279">
        <f t="shared" si="57"/>
        <v>2025</v>
      </c>
      <c r="G23" s="279">
        <f t="shared" si="57"/>
        <v>2026</v>
      </c>
      <c r="H23" s="279">
        <f t="shared" si="57"/>
        <v>2027</v>
      </c>
      <c r="I23" s="279">
        <f t="shared" si="57"/>
        <v>2028</v>
      </c>
      <c r="J23" s="279">
        <f t="shared" si="57"/>
        <v>2029</v>
      </c>
      <c r="K23" s="279">
        <f t="shared" si="57"/>
        <v>2030</v>
      </c>
      <c r="L23" s="279">
        <f t="shared" si="57"/>
        <v>2031</v>
      </c>
      <c r="M23" s="279">
        <f t="shared" si="57"/>
        <v>2032</v>
      </c>
      <c r="N23" s="279">
        <f t="shared" si="57"/>
        <v>2033</v>
      </c>
      <c r="O23" s="279">
        <f t="shared" si="57"/>
        <v>2034</v>
      </c>
      <c r="P23" s="279">
        <f t="shared" si="57"/>
        <v>2035</v>
      </c>
      <c r="Q23" s="279">
        <f t="shared" si="57"/>
        <v>2036</v>
      </c>
      <c r="R23" s="279">
        <f t="shared" si="57"/>
        <v>2037</v>
      </c>
      <c r="S23" s="279">
        <f t="shared" si="57"/>
        <v>2038</v>
      </c>
      <c r="T23" s="279">
        <f t="shared" si="57"/>
        <v>2039</v>
      </c>
      <c r="U23" s="279">
        <f t="shared" si="57"/>
        <v>2040</v>
      </c>
      <c r="V23" s="279">
        <f t="shared" si="57"/>
        <v>2041</v>
      </c>
      <c r="W23" s="279">
        <f t="shared" si="57"/>
        <v>2042</v>
      </c>
      <c r="X23" s="279">
        <f t="shared" si="57"/>
        <v>2043</v>
      </c>
      <c r="Y23" s="279">
        <f t="shared" si="57"/>
        <v>2044</v>
      </c>
      <c r="Z23" s="279">
        <f t="shared" si="57"/>
        <v>2045</v>
      </c>
      <c r="AA23" s="279">
        <f t="shared" si="57"/>
        <v>2046</v>
      </c>
      <c r="AB23" s="279">
        <f t="shared" si="57"/>
        <v>2047</v>
      </c>
      <c r="AC23" s="279">
        <f t="shared" si="57"/>
        <v>2048</v>
      </c>
      <c r="AD23" s="279">
        <f t="shared" si="57"/>
        <v>2049</v>
      </c>
      <c r="AE23" s="279">
        <f t="shared" si="57"/>
        <v>2050</v>
      </c>
      <c r="AF23" s="279">
        <f t="shared" si="57"/>
        <v>2051</v>
      </c>
      <c r="AG23" s="279">
        <f t="shared" si="57"/>
        <v>2052</v>
      </c>
      <c r="AH23" s="279">
        <f t="shared" si="57"/>
        <v>2053</v>
      </c>
      <c r="AI23" s="279">
        <f t="shared" si="57"/>
        <v>2054</v>
      </c>
      <c r="AJ23" s="279">
        <f t="shared" si="57"/>
        <v>2055</v>
      </c>
      <c r="AK23" s="279">
        <f t="shared" ref="AK23:BB23" si="58">AK$9</f>
        <v>2056</v>
      </c>
      <c r="AL23" s="279">
        <f t="shared" si="58"/>
        <v>2057</v>
      </c>
      <c r="AM23" s="279">
        <f t="shared" si="58"/>
        <v>2058</v>
      </c>
      <c r="AN23" s="279">
        <f t="shared" si="58"/>
        <v>2059</v>
      </c>
      <c r="AO23" s="279">
        <f t="shared" si="58"/>
        <v>2060</v>
      </c>
      <c r="AP23" s="279">
        <f t="shared" si="58"/>
        <v>2061</v>
      </c>
      <c r="AQ23" s="279">
        <f t="shared" si="58"/>
        <v>2062</v>
      </c>
      <c r="AR23" s="279">
        <f t="shared" si="58"/>
        <v>2063</v>
      </c>
      <c r="AS23" s="279">
        <f t="shared" si="58"/>
        <v>2064</v>
      </c>
      <c r="AT23" s="279">
        <f t="shared" si="58"/>
        <v>2065</v>
      </c>
      <c r="AU23" s="279">
        <f t="shared" si="58"/>
        <v>2066</v>
      </c>
      <c r="AV23" s="279">
        <f t="shared" si="58"/>
        <v>2067</v>
      </c>
      <c r="AW23" s="279">
        <f t="shared" si="58"/>
        <v>2068</v>
      </c>
      <c r="AX23" s="279">
        <f t="shared" si="58"/>
        <v>2069</v>
      </c>
      <c r="AY23" s="279">
        <f t="shared" si="58"/>
        <v>2070</v>
      </c>
      <c r="AZ23" s="279">
        <f t="shared" si="58"/>
        <v>2071</v>
      </c>
      <c r="BA23" s="279">
        <f t="shared" si="58"/>
        <v>2072</v>
      </c>
      <c r="BB23" s="280">
        <f t="shared" si="58"/>
        <v>2073</v>
      </c>
    </row>
    <row r="24" spans="1:54">
      <c r="A24"/>
      <c r="B24" s="485" t="s">
        <v>261</v>
      </c>
      <c r="C24" s="535"/>
      <c r="D24" s="486"/>
      <c r="E24" s="307">
        <v>350</v>
      </c>
      <c r="F24" s="281">
        <f>E26</f>
        <v>360.5</v>
      </c>
      <c r="G24" s="281">
        <f t="shared" ref="G24" si="59">F26</f>
        <v>371.315</v>
      </c>
      <c r="H24" s="281">
        <f t="shared" ref="H24" si="60">G26</f>
        <v>382.45445000000001</v>
      </c>
      <c r="I24" s="281">
        <f t="shared" ref="I24" si="61">H26</f>
        <v>393.92808350000001</v>
      </c>
      <c r="J24" s="281">
        <f t="shared" ref="J24" si="62">I26</f>
        <v>405.745926005</v>
      </c>
      <c r="K24" s="281">
        <f t="shared" ref="K24" si="63">J26</f>
        <v>417.91830378514999</v>
      </c>
      <c r="L24" s="281">
        <f t="shared" ref="L24" si="64">K26</f>
        <v>430.45585289870451</v>
      </c>
      <c r="M24" s="281">
        <f t="shared" ref="M24" si="65">L26</f>
        <v>443.36952848566563</v>
      </c>
      <c r="N24" s="281">
        <f t="shared" ref="N24" si="66">M26</f>
        <v>456.6706143402356</v>
      </c>
      <c r="O24" s="281">
        <f t="shared" ref="O24" si="67">N26</f>
        <v>470.37073277044266</v>
      </c>
      <c r="P24" s="281">
        <f t="shared" ref="P24" si="68">O26</f>
        <v>484.48185475355592</v>
      </c>
      <c r="Q24" s="281">
        <f t="shared" ref="Q24" si="69">P26</f>
        <v>499.01631039616262</v>
      </c>
      <c r="R24" s="281">
        <f t="shared" ref="R24" si="70">Q26</f>
        <v>513.98679970804756</v>
      </c>
      <c r="S24" s="281">
        <f t="shared" ref="S24" si="71">R26</f>
        <v>529.40640369928894</v>
      </c>
      <c r="T24" s="281">
        <f t="shared" ref="T24" si="72">S26</f>
        <v>545.28859581026768</v>
      </c>
      <c r="U24" s="281">
        <f t="shared" ref="U24" si="73">T26</f>
        <v>561.64725368457573</v>
      </c>
      <c r="V24" s="281">
        <f t="shared" ref="V24" si="74">U26</f>
        <v>578.49667129511306</v>
      </c>
      <c r="W24" s="281">
        <f t="shared" ref="W24" si="75">V26</f>
        <v>595.85157143396646</v>
      </c>
      <c r="X24" s="281">
        <f t="shared" ref="X24" si="76">W26</f>
        <v>613.7271185769855</v>
      </c>
      <c r="Y24" s="281">
        <f t="shared" ref="Y24" si="77">X26</f>
        <v>632.13893213429503</v>
      </c>
      <c r="Z24" s="281">
        <f t="shared" ref="Z24" si="78">Y26</f>
        <v>651.10310009832392</v>
      </c>
      <c r="AA24" s="281">
        <f t="shared" ref="AA24" si="79">Z26</f>
        <v>670.63619310127365</v>
      </c>
      <c r="AB24" s="281">
        <f t="shared" ref="AB24" si="80">AA26</f>
        <v>690.75527889431191</v>
      </c>
      <c r="AC24" s="281">
        <f t="shared" ref="AC24" si="81">AB26</f>
        <v>711.47793726114128</v>
      </c>
      <c r="AD24" s="281">
        <f t="shared" ref="AD24" si="82">AC26</f>
        <v>732.82227537897552</v>
      </c>
      <c r="AE24" s="281">
        <f t="shared" ref="AE24" si="83">AD26</f>
        <v>754.8069436403448</v>
      </c>
      <c r="AF24" s="281">
        <f t="shared" ref="AF24" si="84">AE26</f>
        <v>777.4511519495552</v>
      </c>
      <c r="AG24" s="281">
        <f t="shared" ref="AG24" si="85">AF26</f>
        <v>800.7746865080419</v>
      </c>
      <c r="AH24" s="281">
        <f t="shared" ref="AH24" si="86">AG26</f>
        <v>824.7979271032832</v>
      </c>
      <c r="AI24" s="281">
        <f t="shared" ref="AI24" si="87">AH26</f>
        <v>849.54186491638177</v>
      </c>
      <c r="AJ24" s="281">
        <f t="shared" ref="AJ24" si="88">AI26</f>
        <v>875.02812086387326</v>
      </c>
      <c r="AK24" s="281">
        <f t="shared" ref="AK24" si="89">AJ26</f>
        <v>901.27896448978947</v>
      </c>
      <c r="AL24" s="281">
        <f t="shared" ref="AL24" si="90">AK26</f>
        <v>928.31733342448319</v>
      </c>
      <c r="AM24" s="281">
        <f t="shared" ref="AM24" si="91">AL26</f>
        <v>956.16685342721769</v>
      </c>
      <c r="AN24" s="281">
        <f t="shared" ref="AN24" si="92">AM26</f>
        <v>984.85185903003423</v>
      </c>
      <c r="AO24" s="281">
        <f t="shared" ref="AO24" si="93">AN26</f>
        <v>1014.3974148009353</v>
      </c>
      <c r="AP24" s="281">
        <f t="shared" ref="AP24" si="94">AO26</f>
        <v>1044.8293372449634</v>
      </c>
      <c r="AQ24" s="281">
        <f t="shared" ref="AQ24" si="95">AP26</f>
        <v>1076.1742173623124</v>
      </c>
      <c r="AR24" s="281">
        <f t="shared" ref="AR24" si="96">AQ26</f>
        <v>1108.4594438831818</v>
      </c>
      <c r="AS24" s="281">
        <f t="shared" ref="AS24" si="97">AR26</f>
        <v>1141.7132271996772</v>
      </c>
      <c r="AT24" s="281">
        <f t="shared" ref="AT24" si="98">AS26</f>
        <v>1175.9646240156676</v>
      </c>
      <c r="AU24" s="281">
        <f t="shared" ref="AU24" si="99">AT26</f>
        <v>1211.2435627361376</v>
      </c>
      <c r="AV24" s="281">
        <f t="shared" ref="AV24" si="100">AU26</f>
        <v>1247.5808696182219</v>
      </c>
      <c r="AW24" s="281">
        <f t="shared" ref="AW24" si="101">AV26</f>
        <v>1285.0082957067686</v>
      </c>
      <c r="AX24" s="281">
        <f t="shared" ref="AX24" si="102">AW26</f>
        <v>1323.5585445779718</v>
      </c>
      <c r="AY24" s="281">
        <f t="shared" ref="AY24" si="103">AX26</f>
        <v>1363.2653009153109</v>
      </c>
      <c r="AZ24" s="281">
        <f t="shared" ref="AZ24" si="104">AY26</f>
        <v>1404.1632599427703</v>
      </c>
      <c r="BA24" s="281">
        <f t="shared" ref="BA24" si="105">AZ26</f>
        <v>1446.2881577410535</v>
      </c>
      <c r="BB24" s="282">
        <f t="shared" ref="BB24" si="106">BA26</f>
        <v>1489.6768024732851</v>
      </c>
    </row>
    <row r="25" spans="1:54">
      <c r="A25"/>
      <c r="B25" s="479" t="s">
        <v>99</v>
      </c>
      <c r="C25" s="536"/>
      <c r="D25" s="480"/>
      <c r="E25" s="289">
        <f>Cockpit!$H$31</f>
        <v>0.03</v>
      </c>
      <c r="F25" s="289">
        <f>Cockpit!$H$31</f>
        <v>0.03</v>
      </c>
      <c r="G25" s="289">
        <f>Cockpit!$H$31</f>
        <v>0.03</v>
      </c>
      <c r="H25" s="289">
        <f>Cockpit!$H$31</f>
        <v>0.03</v>
      </c>
      <c r="I25" s="289">
        <f>Cockpit!$H$31</f>
        <v>0.03</v>
      </c>
      <c r="J25" s="289">
        <f>Cockpit!$H$31</f>
        <v>0.03</v>
      </c>
      <c r="K25" s="289">
        <f>Cockpit!$H$31</f>
        <v>0.03</v>
      </c>
      <c r="L25" s="289">
        <f>Cockpit!$H$31</f>
        <v>0.03</v>
      </c>
      <c r="M25" s="289">
        <f>Cockpit!$H$31</f>
        <v>0.03</v>
      </c>
      <c r="N25" s="289">
        <f>Cockpit!$H$31</f>
        <v>0.03</v>
      </c>
      <c r="O25" s="289">
        <f>Cockpit!$H$31</f>
        <v>0.03</v>
      </c>
      <c r="P25" s="289">
        <f>Cockpit!$H$31</f>
        <v>0.03</v>
      </c>
      <c r="Q25" s="289">
        <f>Cockpit!$H$31</f>
        <v>0.03</v>
      </c>
      <c r="R25" s="289">
        <f>Cockpit!$H$31</f>
        <v>0.03</v>
      </c>
      <c r="S25" s="289">
        <f>Cockpit!$H$31</f>
        <v>0.03</v>
      </c>
      <c r="T25" s="289">
        <f>Cockpit!$H$31</f>
        <v>0.03</v>
      </c>
      <c r="U25" s="289">
        <f>Cockpit!$H$31</f>
        <v>0.03</v>
      </c>
      <c r="V25" s="289">
        <f>Cockpit!$H$31</f>
        <v>0.03</v>
      </c>
      <c r="W25" s="289">
        <f>Cockpit!$H$31</f>
        <v>0.03</v>
      </c>
      <c r="X25" s="289">
        <f>Cockpit!$H$31</f>
        <v>0.03</v>
      </c>
      <c r="Y25" s="289">
        <f>Cockpit!$H$31</f>
        <v>0.03</v>
      </c>
      <c r="Z25" s="289">
        <f>Cockpit!$H$31</f>
        <v>0.03</v>
      </c>
      <c r="AA25" s="289">
        <f>Cockpit!$H$31</f>
        <v>0.03</v>
      </c>
      <c r="AB25" s="289">
        <f>Cockpit!$H$31</f>
        <v>0.03</v>
      </c>
      <c r="AC25" s="289">
        <f>Cockpit!$H$31</f>
        <v>0.03</v>
      </c>
      <c r="AD25" s="289">
        <f>Cockpit!$H$31</f>
        <v>0.03</v>
      </c>
      <c r="AE25" s="289">
        <f>Cockpit!$H$31</f>
        <v>0.03</v>
      </c>
      <c r="AF25" s="289">
        <f>Cockpit!$H$31</f>
        <v>0.03</v>
      </c>
      <c r="AG25" s="289">
        <f>Cockpit!$H$31</f>
        <v>0.03</v>
      </c>
      <c r="AH25" s="289">
        <f>Cockpit!$H$31</f>
        <v>0.03</v>
      </c>
      <c r="AI25" s="289">
        <f>Cockpit!$H$31</f>
        <v>0.03</v>
      </c>
      <c r="AJ25" s="289">
        <f>Cockpit!$H$31</f>
        <v>0.03</v>
      </c>
      <c r="AK25" s="289">
        <f>Cockpit!$H$31</f>
        <v>0.03</v>
      </c>
      <c r="AL25" s="289">
        <f>Cockpit!$H$31</f>
        <v>0.03</v>
      </c>
      <c r="AM25" s="289">
        <f>Cockpit!$H$31</f>
        <v>0.03</v>
      </c>
      <c r="AN25" s="289">
        <f>Cockpit!$H$31</f>
        <v>0.03</v>
      </c>
      <c r="AO25" s="289">
        <f>Cockpit!$H$31</f>
        <v>0.03</v>
      </c>
      <c r="AP25" s="289">
        <f>Cockpit!$H$31</f>
        <v>0.03</v>
      </c>
      <c r="AQ25" s="289">
        <f>Cockpit!$H$31</f>
        <v>0.03</v>
      </c>
      <c r="AR25" s="289">
        <f>Cockpit!$H$31</f>
        <v>0.03</v>
      </c>
      <c r="AS25" s="289">
        <f>Cockpit!$H$31</f>
        <v>0.03</v>
      </c>
      <c r="AT25" s="289">
        <f>Cockpit!$H$31</f>
        <v>0.03</v>
      </c>
      <c r="AU25" s="289">
        <f>Cockpit!$H$31</f>
        <v>0.03</v>
      </c>
      <c r="AV25" s="289">
        <f>Cockpit!$H$31</f>
        <v>0.03</v>
      </c>
      <c r="AW25" s="289">
        <f>Cockpit!$H$31</f>
        <v>0.03</v>
      </c>
      <c r="AX25" s="289">
        <f>Cockpit!$H$31</f>
        <v>0.03</v>
      </c>
      <c r="AY25" s="289">
        <f>Cockpit!$H$31</f>
        <v>0.03</v>
      </c>
      <c r="AZ25" s="289">
        <f>Cockpit!$H$31</f>
        <v>0.03</v>
      </c>
      <c r="BA25" s="289">
        <f>Cockpit!$H$31</f>
        <v>0.03</v>
      </c>
      <c r="BB25" s="290">
        <f>Cockpit!$H$31</f>
        <v>0.03</v>
      </c>
    </row>
    <row r="26" spans="1:54">
      <c r="B26" s="479" t="s">
        <v>67</v>
      </c>
      <c r="C26" s="536"/>
      <c r="D26" s="480"/>
      <c r="E26" s="10">
        <f t="shared" ref="E26:BB26" si="107">E24*(1+E25)</f>
        <v>360.5</v>
      </c>
      <c r="F26" s="10">
        <f t="shared" si="107"/>
        <v>371.315</v>
      </c>
      <c r="G26" s="10">
        <f t="shared" si="107"/>
        <v>382.45445000000001</v>
      </c>
      <c r="H26" s="10">
        <f t="shared" si="107"/>
        <v>393.92808350000001</v>
      </c>
      <c r="I26" s="10">
        <f t="shared" si="107"/>
        <v>405.745926005</v>
      </c>
      <c r="J26" s="10">
        <f t="shared" si="107"/>
        <v>417.91830378514999</v>
      </c>
      <c r="K26" s="10">
        <f t="shared" si="107"/>
        <v>430.45585289870451</v>
      </c>
      <c r="L26" s="10">
        <f t="shared" si="107"/>
        <v>443.36952848566563</v>
      </c>
      <c r="M26" s="10">
        <f t="shared" si="107"/>
        <v>456.6706143402356</v>
      </c>
      <c r="N26" s="10">
        <f t="shared" si="107"/>
        <v>470.37073277044266</v>
      </c>
      <c r="O26" s="10">
        <f t="shared" si="107"/>
        <v>484.48185475355592</v>
      </c>
      <c r="P26" s="10">
        <f t="shared" si="107"/>
        <v>499.01631039616262</v>
      </c>
      <c r="Q26" s="10">
        <f t="shared" si="107"/>
        <v>513.98679970804756</v>
      </c>
      <c r="R26" s="10">
        <f t="shared" si="107"/>
        <v>529.40640369928894</v>
      </c>
      <c r="S26" s="10">
        <f t="shared" si="107"/>
        <v>545.28859581026768</v>
      </c>
      <c r="T26" s="10">
        <f t="shared" si="107"/>
        <v>561.64725368457573</v>
      </c>
      <c r="U26" s="10">
        <f t="shared" si="107"/>
        <v>578.49667129511306</v>
      </c>
      <c r="V26" s="10">
        <f t="shared" si="107"/>
        <v>595.85157143396646</v>
      </c>
      <c r="W26" s="10">
        <f t="shared" si="107"/>
        <v>613.7271185769855</v>
      </c>
      <c r="X26" s="10">
        <f t="shared" si="107"/>
        <v>632.13893213429503</v>
      </c>
      <c r="Y26" s="10">
        <f t="shared" si="107"/>
        <v>651.10310009832392</v>
      </c>
      <c r="Z26" s="10">
        <f t="shared" si="107"/>
        <v>670.63619310127365</v>
      </c>
      <c r="AA26" s="10">
        <f t="shared" si="107"/>
        <v>690.75527889431191</v>
      </c>
      <c r="AB26" s="10">
        <f t="shared" si="107"/>
        <v>711.47793726114128</v>
      </c>
      <c r="AC26" s="10">
        <f t="shared" si="107"/>
        <v>732.82227537897552</v>
      </c>
      <c r="AD26" s="10">
        <f t="shared" si="107"/>
        <v>754.8069436403448</v>
      </c>
      <c r="AE26" s="10">
        <f t="shared" si="107"/>
        <v>777.4511519495552</v>
      </c>
      <c r="AF26" s="10">
        <f t="shared" si="107"/>
        <v>800.7746865080419</v>
      </c>
      <c r="AG26" s="10">
        <f t="shared" si="107"/>
        <v>824.7979271032832</v>
      </c>
      <c r="AH26" s="10">
        <f t="shared" si="107"/>
        <v>849.54186491638177</v>
      </c>
      <c r="AI26" s="10">
        <f t="shared" si="107"/>
        <v>875.02812086387326</v>
      </c>
      <c r="AJ26" s="10">
        <f t="shared" si="107"/>
        <v>901.27896448978947</v>
      </c>
      <c r="AK26" s="10">
        <f t="shared" si="107"/>
        <v>928.31733342448319</v>
      </c>
      <c r="AL26" s="10">
        <f t="shared" si="107"/>
        <v>956.16685342721769</v>
      </c>
      <c r="AM26" s="10">
        <f t="shared" si="107"/>
        <v>984.85185903003423</v>
      </c>
      <c r="AN26" s="10">
        <f t="shared" si="107"/>
        <v>1014.3974148009353</v>
      </c>
      <c r="AO26" s="10">
        <f t="shared" si="107"/>
        <v>1044.8293372449634</v>
      </c>
      <c r="AP26" s="10">
        <f t="shared" si="107"/>
        <v>1076.1742173623124</v>
      </c>
      <c r="AQ26" s="10">
        <f t="shared" si="107"/>
        <v>1108.4594438831818</v>
      </c>
      <c r="AR26" s="10">
        <f t="shared" si="107"/>
        <v>1141.7132271996772</v>
      </c>
      <c r="AS26" s="10">
        <f t="shared" si="107"/>
        <v>1175.9646240156676</v>
      </c>
      <c r="AT26" s="10">
        <f t="shared" si="107"/>
        <v>1211.2435627361376</v>
      </c>
      <c r="AU26" s="10">
        <f t="shared" si="107"/>
        <v>1247.5808696182219</v>
      </c>
      <c r="AV26" s="10">
        <f t="shared" si="107"/>
        <v>1285.0082957067686</v>
      </c>
      <c r="AW26" s="10">
        <f t="shared" si="107"/>
        <v>1323.5585445779718</v>
      </c>
      <c r="AX26" s="10">
        <f t="shared" si="107"/>
        <v>1363.2653009153109</v>
      </c>
      <c r="AY26" s="10">
        <f t="shared" si="107"/>
        <v>1404.1632599427703</v>
      </c>
      <c r="AZ26" s="10">
        <f t="shared" si="107"/>
        <v>1446.2881577410535</v>
      </c>
      <c r="BA26" s="10">
        <f t="shared" si="107"/>
        <v>1489.6768024732851</v>
      </c>
      <c r="BB26" s="283">
        <f t="shared" si="107"/>
        <v>1534.3671065474837</v>
      </c>
    </row>
    <row r="27" spans="1:54" ht="15.75" thickBot="1">
      <c r="B27" s="492" t="s">
        <v>301</v>
      </c>
      <c r="C27" s="537"/>
      <c r="D27" s="493"/>
      <c r="E27" s="367">
        <f>E26/$C23</f>
        <v>18.024999999999999</v>
      </c>
      <c r="F27" s="367">
        <f t="shared" ref="F27" si="108">F26/$C23</f>
        <v>18.565750000000001</v>
      </c>
      <c r="G27" s="367">
        <f t="shared" ref="G27" si="109">G26/$C23</f>
        <v>19.122722500000002</v>
      </c>
      <c r="H27" s="367">
        <f t="shared" ref="H27" si="110">H26/$C23</f>
        <v>19.696404175000001</v>
      </c>
      <c r="I27" s="367">
        <f t="shared" ref="I27" si="111">I26/$C23</f>
        <v>20.287296300249999</v>
      </c>
      <c r="J27" s="367">
        <f t="shared" ref="J27" si="112">J26/$C23</f>
        <v>20.895915189257501</v>
      </c>
      <c r="K27" s="367">
        <f t="shared" ref="K27" si="113">K26/$C23</f>
        <v>21.522792644935226</v>
      </c>
      <c r="L27" s="367">
        <f t="shared" ref="L27" si="114">L26/$C23</f>
        <v>22.168476424283281</v>
      </c>
      <c r="M27" s="367">
        <f t="shared" ref="M27" si="115">M26/$C23</f>
        <v>22.833530717011779</v>
      </c>
      <c r="N27" s="367">
        <f t="shared" ref="N27" si="116">N26/$C23</f>
        <v>23.518536638522132</v>
      </c>
      <c r="O27" s="367">
        <f t="shared" ref="O27" si="117">O26/$C23</f>
        <v>24.224092737677797</v>
      </c>
      <c r="P27" s="367">
        <f t="shared" ref="P27" si="118">P26/$C23</f>
        <v>24.950815519808131</v>
      </c>
      <c r="Q27" s="367">
        <f t="shared" ref="Q27" si="119">Q26/$C23</f>
        <v>25.699339985402379</v>
      </c>
      <c r="R27" s="367">
        <f t="shared" ref="R27" si="120">R26/$C23</f>
        <v>26.470320184964446</v>
      </c>
      <c r="S27" s="367">
        <f t="shared" ref="S27" si="121">S26/$C23</f>
        <v>27.264429790513383</v>
      </c>
      <c r="T27" s="367">
        <f t="shared" ref="T27" si="122">T26/$C23</f>
        <v>28.082362684228787</v>
      </c>
      <c r="U27" s="367">
        <f t="shared" ref="U27" si="123">U26/$C23</f>
        <v>28.924833564755652</v>
      </c>
      <c r="V27" s="367">
        <f t="shared" ref="V27" si="124">V26/$C23</f>
        <v>29.792578571698321</v>
      </c>
      <c r="W27" s="367">
        <f t="shared" ref="W27" si="125">W26/$C23</f>
        <v>30.686355928849274</v>
      </c>
      <c r="X27" s="367">
        <f t="shared" ref="X27" si="126">X26/$C23</f>
        <v>31.60694660671475</v>
      </c>
      <c r="Y27" s="367">
        <f t="shared" ref="Y27" si="127">Y26/$C23</f>
        <v>32.555155004916195</v>
      </c>
      <c r="Z27" s="367">
        <f t="shared" ref="Z27" si="128">Z26/$C23</f>
        <v>33.531809655063682</v>
      </c>
      <c r="AA27" s="367">
        <f t="shared" ref="AA27" si="129">AA26/$C23</f>
        <v>34.537763944715593</v>
      </c>
      <c r="AB27" s="367">
        <f t="shared" ref="AB27" si="130">AB26/$C23</f>
        <v>35.573896863057065</v>
      </c>
      <c r="AC27" s="367">
        <f t="shared" ref="AC27" si="131">AC26/$C23</f>
        <v>36.641113768948777</v>
      </c>
      <c r="AD27" s="367">
        <f t="shared" ref="AD27" si="132">AD26/$C23</f>
        <v>37.740347182017238</v>
      </c>
      <c r="AE27" s="367">
        <f t="shared" ref="AE27" si="133">AE26/$C23</f>
        <v>38.872557597477758</v>
      </c>
      <c r="AF27" s="367">
        <f t="shared" ref="AF27" si="134">AF26/$C23</f>
        <v>40.038734325402096</v>
      </c>
      <c r="AG27" s="367">
        <f t="shared" ref="AG27" si="135">AG26/$C23</f>
        <v>41.239896355164163</v>
      </c>
      <c r="AH27" s="367">
        <f t="shared" ref="AH27" si="136">AH26/$C23</f>
        <v>42.477093245819091</v>
      </c>
      <c r="AI27" s="367">
        <f t="shared" ref="AI27" si="137">AI26/$C23</f>
        <v>43.751406043193661</v>
      </c>
      <c r="AJ27" s="367">
        <f t="shared" ref="AJ27" si="138">AJ26/$C23</f>
        <v>45.063948224489472</v>
      </c>
      <c r="AK27" s="367">
        <f t="shared" ref="AK27" si="139">AK26/$C23</f>
        <v>46.415866671224158</v>
      </c>
      <c r="AL27" s="367">
        <f t="shared" ref="AL27" si="140">AL26/$C23</f>
        <v>47.808342671360883</v>
      </c>
      <c r="AM27" s="367">
        <f t="shared" ref="AM27" si="141">AM26/$C23</f>
        <v>49.242592951501713</v>
      </c>
      <c r="AN27" s="367">
        <f t="shared" ref="AN27" si="142">AN26/$C23</f>
        <v>50.719870740046765</v>
      </c>
      <c r="AO27" s="367">
        <f t="shared" ref="AO27" si="143">AO26/$C23</f>
        <v>52.241466862248174</v>
      </c>
      <c r="AP27" s="367">
        <f t="shared" ref="AP27" si="144">AP26/$C23</f>
        <v>53.808710868115625</v>
      </c>
      <c r="AQ27" s="367">
        <f t="shared" ref="AQ27" si="145">AQ26/$C23</f>
        <v>55.422972194159094</v>
      </c>
      <c r="AR27" s="367">
        <f t="shared" ref="AR27" si="146">AR26/$C23</f>
        <v>57.08566135998386</v>
      </c>
      <c r="AS27" s="367">
        <f t="shared" ref="AS27" si="147">AS26/$C23</f>
        <v>58.798231200783377</v>
      </c>
      <c r="AT27" s="367">
        <f t="shared" ref="AT27" si="148">AT26/$C23</f>
        <v>60.562178136806878</v>
      </c>
      <c r="AU27" s="367">
        <f t="shared" ref="AU27" si="149">AU26/$C23</f>
        <v>62.379043480911093</v>
      </c>
      <c r="AV27" s="367">
        <f t="shared" ref="AV27" si="150">AV26/$C23</f>
        <v>64.250414785338435</v>
      </c>
      <c r="AW27" s="367">
        <f t="shared" ref="AW27" si="151">AW26/$C23</f>
        <v>66.177927228898596</v>
      </c>
      <c r="AX27" s="367">
        <f t="shared" ref="AX27" si="152">AX26/$C23</f>
        <v>68.163265045765542</v>
      </c>
      <c r="AY27" s="367">
        <f t="shared" ref="AY27" si="153">AY26/$C23</f>
        <v>70.208162997138515</v>
      </c>
      <c r="AZ27" s="367">
        <f t="shared" ref="AZ27" si="154">AZ26/$C23</f>
        <v>72.314407887052681</v>
      </c>
      <c r="BA27" s="367">
        <f t="shared" ref="BA27" si="155">BA26/$C23</f>
        <v>74.483840123664251</v>
      </c>
      <c r="BB27" s="368">
        <f t="shared" ref="BB27" si="156">BB26/$C23</f>
        <v>76.718355327374184</v>
      </c>
    </row>
    <row r="28" spans="1:54" ht="17.25" customHeight="1" thickBot="1">
      <c r="J28" s="6"/>
      <c r="K28" s="6"/>
      <c r="L28" s="6"/>
      <c r="M28" s="6"/>
      <c r="O28" s="5"/>
      <c r="P28" s="5"/>
      <c r="Q28" s="5"/>
      <c r="R28" s="5"/>
    </row>
    <row r="29" spans="1:54" ht="18" thickBot="1">
      <c r="A29"/>
      <c r="B29" s="533" t="s">
        <v>304</v>
      </c>
      <c r="C29" s="534"/>
      <c r="D29" s="32"/>
      <c r="E29" s="275"/>
      <c r="J29" s="6"/>
      <c r="K29" s="6"/>
      <c r="L29" s="6"/>
      <c r="M29" s="6"/>
    </row>
    <row r="30" spans="1:54" ht="15.75" thickBot="1">
      <c r="B30" s="360" t="s">
        <v>11</v>
      </c>
      <c r="C30" s="369">
        <v>20</v>
      </c>
      <c r="D30" s="364"/>
      <c r="E30" s="365">
        <f t="shared" ref="E30:AJ30" si="157">E$9</f>
        <v>2024</v>
      </c>
      <c r="F30" s="279">
        <f t="shared" si="157"/>
        <v>2025</v>
      </c>
      <c r="G30" s="279">
        <f t="shared" si="157"/>
        <v>2026</v>
      </c>
      <c r="H30" s="279">
        <f t="shared" si="157"/>
        <v>2027</v>
      </c>
      <c r="I30" s="279">
        <f t="shared" si="157"/>
        <v>2028</v>
      </c>
      <c r="J30" s="279">
        <f t="shared" si="157"/>
        <v>2029</v>
      </c>
      <c r="K30" s="279">
        <f t="shared" si="157"/>
        <v>2030</v>
      </c>
      <c r="L30" s="279">
        <f t="shared" si="157"/>
        <v>2031</v>
      </c>
      <c r="M30" s="279">
        <f t="shared" si="157"/>
        <v>2032</v>
      </c>
      <c r="N30" s="279">
        <f t="shared" si="157"/>
        <v>2033</v>
      </c>
      <c r="O30" s="279">
        <f t="shared" si="157"/>
        <v>2034</v>
      </c>
      <c r="P30" s="279">
        <f t="shared" si="157"/>
        <v>2035</v>
      </c>
      <c r="Q30" s="279">
        <f t="shared" si="157"/>
        <v>2036</v>
      </c>
      <c r="R30" s="279">
        <f t="shared" si="157"/>
        <v>2037</v>
      </c>
      <c r="S30" s="279">
        <f t="shared" si="157"/>
        <v>2038</v>
      </c>
      <c r="T30" s="279">
        <f t="shared" si="157"/>
        <v>2039</v>
      </c>
      <c r="U30" s="279">
        <f t="shared" si="157"/>
        <v>2040</v>
      </c>
      <c r="V30" s="279">
        <f t="shared" si="157"/>
        <v>2041</v>
      </c>
      <c r="W30" s="279">
        <f t="shared" si="157"/>
        <v>2042</v>
      </c>
      <c r="X30" s="279">
        <f t="shared" si="157"/>
        <v>2043</v>
      </c>
      <c r="Y30" s="279">
        <f t="shared" si="157"/>
        <v>2044</v>
      </c>
      <c r="Z30" s="279">
        <f t="shared" si="157"/>
        <v>2045</v>
      </c>
      <c r="AA30" s="279">
        <f t="shared" si="157"/>
        <v>2046</v>
      </c>
      <c r="AB30" s="279">
        <f t="shared" si="157"/>
        <v>2047</v>
      </c>
      <c r="AC30" s="279">
        <f t="shared" si="157"/>
        <v>2048</v>
      </c>
      <c r="AD30" s="279">
        <f t="shared" si="157"/>
        <v>2049</v>
      </c>
      <c r="AE30" s="279">
        <f t="shared" si="157"/>
        <v>2050</v>
      </c>
      <c r="AF30" s="279">
        <f t="shared" si="157"/>
        <v>2051</v>
      </c>
      <c r="AG30" s="279">
        <f t="shared" si="157"/>
        <v>2052</v>
      </c>
      <c r="AH30" s="279">
        <f t="shared" si="157"/>
        <v>2053</v>
      </c>
      <c r="AI30" s="279">
        <f t="shared" si="157"/>
        <v>2054</v>
      </c>
      <c r="AJ30" s="279">
        <f t="shared" si="157"/>
        <v>2055</v>
      </c>
      <c r="AK30" s="279">
        <f t="shared" ref="AK30:BB30" si="158">AK$9</f>
        <v>2056</v>
      </c>
      <c r="AL30" s="279">
        <f t="shared" si="158"/>
        <v>2057</v>
      </c>
      <c r="AM30" s="279">
        <f t="shared" si="158"/>
        <v>2058</v>
      </c>
      <c r="AN30" s="279">
        <f t="shared" si="158"/>
        <v>2059</v>
      </c>
      <c r="AO30" s="279">
        <f t="shared" si="158"/>
        <v>2060</v>
      </c>
      <c r="AP30" s="279">
        <f t="shared" si="158"/>
        <v>2061</v>
      </c>
      <c r="AQ30" s="279">
        <f t="shared" si="158"/>
        <v>2062</v>
      </c>
      <c r="AR30" s="279">
        <f t="shared" si="158"/>
        <v>2063</v>
      </c>
      <c r="AS30" s="279">
        <f t="shared" si="158"/>
        <v>2064</v>
      </c>
      <c r="AT30" s="279">
        <f t="shared" si="158"/>
        <v>2065</v>
      </c>
      <c r="AU30" s="279">
        <f t="shared" si="158"/>
        <v>2066</v>
      </c>
      <c r="AV30" s="279">
        <f t="shared" si="158"/>
        <v>2067</v>
      </c>
      <c r="AW30" s="279">
        <f t="shared" si="158"/>
        <v>2068</v>
      </c>
      <c r="AX30" s="279">
        <f t="shared" si="158"/>
        <v>2069</v>
      </c>
      <c r="AY30" s="279">
        <f t="shared" si="158"/>
        <v>2070</v>
      </c>
      <c r="AZ30" s="279">
        <f t="shared" si="158"/>
        <v>2071</v>
      </c>
      <c r="BA30" s="279">
        <f t="shared" si="158"/>
        <v>2072</v>
      </c>
      <c r="BB30" s="280">
        <f t="shared" si="158"/>
        <v>2073</v>
      </c>
    </row>
    <row r="31" spans="1:54">
      <c r="A31"/>
      <c r="B31" s="485" t="s">
        <v>261</v>
      </c>
      <c r="C31" s="535"/>
      <c r="D31" s="486"/>
      <c r="E31" s="307">
        <v>300</v>
      </c>
      <c r="F31" s="281">
        <f>E33</f>
        <v>309</v>
      </c>
      <c r="G31" s="281">
        <f t="shared" ref="G31" si="159">F33</f>
        <v>318.27</v>
      </c>
      <c r="H31" s="281">
        <f t="shared" ref="H31" si="160">G33</f>
        <v>327.81810000000002</v>
      </c>
      <c r="I31" s="281">
        <f t="shared" ref="I31" si="161">H33</f>
        <v>337.65264300000001</v>
      </c>
      <c r="J31" s="281">
        <f t="shared" ref="J31" si="162">I33</f>
        <v>347.78222228999999</v>
      </c>
      <c r="K31" s="281">
        <f t="shared" ref="K31" si="163">J33</f>
        <v>358.21568895870001</v>
      </c>
      <c r="L31" s="281">
        <f t="shared" ref="L31" si="164">K33</f>
        <v>368.96215962746101</v>
      </c>
      <c r="M31" s="281">
        <f t="shared" ref="M31" si="165">L33</f>
        <v>380.03102441628482</v>
      </c>
      <c r="N31" s="281">
        <f t="shared" ref="N31" si="166">M33</f>
        <v>391.4319551487734</v>
      </c>
      <c r="O31" s="281">
        <f t="shared" ref="O31" si="167">N33</f>
        <v>403.17491380323662</v>
      </c>
      <c r="P31" s="281">
        <f t="shared" ref="P31" si="168">O33</f>
        <v>415.27016121733374</v>
      </c>
      <c r="Q31" s="281">
        <f t="shared" ref="Q31" si="169">P33</f>
        <v>427.72826605385376</v>
      </c>
      <c r="R31" s="281">
        <f t="shared" ref="R31" si="170">Q33</f>
        <v>440.56011403546938</v>
      </c>
      <c r="S31" s="281">
        <f t="shared" ref="S31" si="171">R33</f>
        <v>453.77691745653345</v>
      </c>
      <c r="T31" s="281">
        <f t="shared" ref="T31" si="172">S33</f>
        <v>467.39022498022945</v>
      </c>
      <c r="U31" s="281">
        <f t="shared" ref="U31" si="173">T33</f>
        <v>481.41193172963636</v>
      </c>
      <c r="V31" s="281">
        <f t="shared" ref="V31" si="174">U33</f>
        <v>495.85428968152547</v>
      </c>
      <c r="W31" s="281">
        <f t="shared" ref="W31" si="175">V33</f>
        <v>510.72991837197122</v>
      </c>
      <c r="X31" s="281">
        <f t="shared" ref="X31" si="176">W33</f>
        <v>526.05181592313033</v>
      </c>
      <c r="Y31" s="281">
        <f t="shared" ref="Y31" si="177">X33</f>
        <v>541.83337040082426</v>
      </c>
      <c r="Z31" s="281">
        <f t="shared" ref="Z31" si="178">Y33</f>
        <v>558.08837151284899</v>
      </c>
      <c r="AA31" s="281">
        <f t="shared" ref="AA31" si="179">Z33</f>
        <v>574.83102265823447</v>
      </c>
      <c r="AB31" s="281">
        <f t="shared" ref="AB31" si="180">AA33</f>
        <v>592.07595333798156</v>
      </c>
      <c r="AC31" s="281">
        <f t="shared" ref="AC31" si="181">AB33</f>
        <v>609.838231938121</v>
      </c>
      <c r="AD31" s="281">
        <f t="shared" ref="AD31" si="182">AC33</f>
        <v>628.13337889626462</v>
      </c>
      <c r="AE31" s="281">
        <f t="shared" ref="AE31" si="183">AD33</f>
        <v>646.97738026315255</v>
      </c>
      <c r="AF31" s="281">
        <f t="shared" ref="AF31" si="184">AE33</f>
        <v>666.38670167104715</v>
      </c>
      <c r="AG31" s="281">
        <f t="shared" ref="AG31" si="185">AF33</f>
        <v>686.37830272117856</v>
      </c>
      <c r="AH31" s="281">
        <f t="shared" ref="AH31" si="186">AG33</f>
        <v>706.96965180281393</v>
      </c>
      <c r="AI31" s="281">
        <f t="shared" ref="AI31" si="187">AH33</f>
        <v>728.1787413568984</v>
      </c>
      <c r="AJ31" s="281">
        <f t="shared" ref="AJ31" si="188">AI33</f>
        <v>750.0241035976054</v>
      </c>
      <c r="AK31" s="281">
        <f t="shared" ref="AK31" si="189">AJ33</f>
        <v>772.52482670553354</v>
      </c>
      <c r="AL31" s="281">
        <f t="shared" ref="AL31" si="190">AK33</f>
        <v>795.70057150669959</v>
      </c>
      <c r="AM31" s="281">
        <f t="shared" ref="AM31" si="191">AL33</f>
        <v>819.57158865190058</v>
      </c>
      <c r="AN31" s="281">
        <f t="shared" ref="AN31" si="192">AM33</f>
        <v>844.15873631145757</v>
      </c>
      <c r="AO31" s="281">
        <f t="shared" ref="AO31" si="193">AN33</f>
        <v>869.4834984008013</v>
      </c>
      <c r="AP31" s="281">
        <f t="shared" ref="AP31" si="194">AO33</f>
        <v>895.56800335282537</v>
      </c>
      <c r="AQ31" s="281">
        <f t="shared" ref="AQ31" si="195">AP33</f>
        <v>922.43504345341012</v>
      </c>
      <c r="AR31" s="281">
        <f t="shared" ref="AR31" si="196">AQ33</f>
        <v>950.1080947570124</v>
      </c>
      <c r="AS31" s="281">
        <f t="shared" ref="AS31" si="197">AR33</f>
        <v>978.61133759972279</v>
      </c>
      <c r="AT31" s="281">
        <f t="shared" ref="AT31" si="198">AS33</f>
        <v>1007.9696777277145</v>
      </c>
      <c r="AU31" s="281">
        <f t="shared" ref="AU31" si="199">AT33</f>
        <v>1038.2087680595459</v>
      </c>
      <c r="AV31" s="281">
        <f t="shared" ref="AV31" si="200">AU33</f>
        <v>1069.3550311013323</v>
      </c>
      <c r="AW31" s="281">
        <f t="shared" ref="AW31" si="201">AV33</f>
        <v>1101.4356820343723</v>
      </c>
      <c r="AX31" s="281">
        <f t="shared" ref="AX31" si="202">AW33</f>
        <v>1134.4787524954036</v>
      </c>
      <c r="AY31" s="281">
        <f t="shared" ref="AY31" si="203">AX33</f>
        <v>1168.5131150702657</v>
      </c>
      <c r="AZ31" s="281">
        <f t="shared" ref="AZ31" si="204">AY33</f>
        <v>1203.5685085223738</v>
      </c>
      <c r="BA31" s="281">
        <f t="shared" ref="BA31" si="205">AZ33</f>
        <v>1239.675563778045</v>
      </c>
      <c r="BB31" s="282">
        <f t="shared" ref="BB31" si="206">BA33</f>
        <v>1276.8658306913865</v>
      </c>
    </row>
    <row r="32" spans="1:54">
      <c r="A32"/>
      <c r="B32" s="479" t="s">
        <v>99</v>
      </c>
      <c r="C32" s="536"/>
      <c r="D32" s="480"/>
      <c r="E32" s="289">
        <f>Cockpit!$H$31</f>
        <v>0.03</v>
      </c>
      <c r="F32" s="289">
        <f>Cockpit!$H$31</f>
        <v>0.03</v>
      </c>
      <c r="G32" s="289">
        <f>Cockpit!$H$31</f>
        <v>0.03</v>
      </c>
      <c r="H32" s="289">
        <f>Cockpit!$H$31</f>
        <v>0.03</v>
      </c>
      <c r="I32" s="289">
        <f>Cockpit!$H$31</f>
        <v>0.03</v>
      </c>
      <c r="J32" s="289">
        <f>Cockpit!$H$31</f>
        <v>0.03</v>
      </c>
      <c r="K32" s="289">
        <f>Cockpit!$H$31</f>
        <v>0.03</v>
      </c>
      <c r="L32" s="289">
        <f>Cockpit!$H$31</f>
        <v>0.03</v>
      </c>
      <c r="M32" s="289">
        <f>Cockpit!$H$31</f>
        <v>0.03</v>
      </c>
      <c r="N32" s="289">
        <f>Cockpit!$H$31</f>
        <v>0.03</v>
      </c>
      <c r="O32" s="289">
        <f>Cockpit!$H$31</f>
        <v>0.03</v>
      </c>
      <c r="P32" s="289">
        <f>Cockpit!$H$31</f>
        <v>0.03</v>
      </c>
      <c r="Q32" s="289">
        <f>Cockpit!$H$31</f>
        <v>0.03</v>
      </c>
      <c r="R32" s="289">
        <f>Cockpit!$H$31</f>
        <v>0.03</v>
      </c>
      <c r="S32" s="289">
        <f>Cockpit!$H$31</f>
        <v>0.03</v>
      </c>
      <c r="T32" s="289">
        <f>Cockpit!$H$31</f>
        <v>0.03</v>
      </c>
      <c r="U32" s="289">
        <f>Cockpit!$H$31</f>
        <v>0.03</v>
      </c>
      <c r="V32" s="289">
        <f>Cockpit!$H$31</f>
        <v>0.03</v>
      </c>
      <c r="W32" s="289">
        <f>Cockpit!$H$31</f>
        <v>0.03</v>
      </c>
      <c r="X32" s="289">
        <f>Cockpit!$H$31</f>
        <v>0.03</v>
      </c>
      <c r="Y32" s="289">
        <f>Cockpit!$H$31</f>
        <v>0.03</v>
      </c>
      <c r="Z32" s="289">
        <f>Cockpit!$H$31</f>
        <v>0.03</v>
      </c>
      <c r="AA32" s="289">
        <f>Cockpit!$H$31</f>
        <v>0.03</v>
      </c>
      <c r="AB32" s="289">
        <f>Cockpit!$H$31</f>
        <v>0.03</v>
      </c>
      <c r="AC32" s="289">
        <f>Cockpit!$H$31</f>
        <v>0.03</v>
      </c>
      <c r="AD32" s="289">
        <f>Cockpit!$H$31</f>
        <v>0.03</v>
      </c>
      <c r="AE32" s="289">
        <f>Cockpit!$H$31</f>
        <v>0.03</v>
      </c>
      <c r="AF32" s="289">
        <f>Cockpit!$H$31</f>
        <v>0.03</v>
      </c>
      <c r="AG32" s="289">
        <f>Cockpit!$H$31</f>
        <v>0.03</v>
      </c>
      <c r="AH32" s="289">
        <f>Cockpit!$H$31</f>
        <v>0.03</v>
      </c>
      <c r="AI32" s="289">
        <f>Cockpit!$H$31</f>
        <v>0.03</v>
      </c>
      <c r="AJ32" s="289">
        <f>Cockpit!$H$31</f>
        <v>0.03</v>
      </c>
      <c r="AK32" s="289">
        <f>Cockpit!$H$31</f>
        <v>0.03</v>
      </c>
      <c r="AL32" s="289">
        <f>Cockpit!$H$31</f>
        <v>0.03</v>
      </c>
      <c r="AM32" s="289">
        <f>Cockpit!$H$31</f>
        <v>0.03</v>
      </c>
      <c r="AN32" s="289">
        <f>Cockpit!$H$31</f>
        <v>0.03</v>
      </c>
      <c r="AO32" s="289">
        <f>Cockpit!$H$31</f>
        <v>0.03</v>
      </c>
      <c r="AP32" s="289">
        <f>Cockpit!$H$31</f>
        <v>0.03</v>
      </c>
      <c r="AQ32" s="289">
        <f>Cockpit!$H$31</f>
        <v>0.03</v>
      </c>
      <c r="AR32" s="289">
        <f>Cockpit!$H$31</f>
        <v>0.03</v>
      </c>
      <c r="AS32" s="289">
        <f>Cockpit!$H$31</f>
        <v>0.03</v>
      </c>
      <c r="AT32" s="289">
        <f>Cockpit!$H$31</f>
        <v>0.03</v>
      </c>
      <c r="AU32" s="289">
        <f>Cockpit!$H$31</f>
        <v>0.03</v>
      </c>
      <c r="AV32" s="289">
        <f>Cockpit!$H$31</f>
        <v>0.03</v>
      </c>
      <c r="AW32" s="289">
        <f>Cockpit!$H$31</f>
        <v>0.03</v>
      </c>
      <c r="AX32" s="289">
        <f>Cockpit!$H$31</f>
        <v>0.03</v>
      </c>
      <c r="AY32" s="289">
        <f>Cockpit!$H$31</f>
        <v>0.03</v>
      </c>
      <c r="AZ32" s="289">
        <f>Cockpit!$H$31</f>
        <v>0.03</v>
      </c>
      <c r="BA32" s="289">
        <f>Cockpit!$H$31</f>
        <v>0.03</v>
      </c>
      <c r="BB32" s="290">
        <f>Cockpit!$H$31</f>
        <v>0.03</v>
      </c>
    </row>
    <row r="33" spans="1:54">
      <c r="B33" s="479" t="s">
        <v>67</v>
      </c>
      <c r="C33" s="536"/>
      <c r="D33" s="480"/>
      <c r="E33" s="10">
        <f t="shared" ref="E33:BB33" si="207">E31*(1+E32)</f>
        <v>309</v>
      </c>
      <c r="F33" s="10">
        <f t="shared" si="207"/>
        <v>318.27</v>
      </c>
      <c r="G33" s="10">
        <f t="shared" si="207"/>
        <v>327.81810000000002</v>
      </c>
      <c r="H33" s="10">
        <f t="shared" si="207"/>
        <v>337.65264300000001</v>
      </c>
      <c r="I33" s="10">
        <f t="shared" si="207"/>
        <v>347.78222228999999</v>
      </c>
      <c r="J33" s="10">
        <f t="shared" si="207"/>
        <v>358.21568895870001</v>
      </c>
      <c r="K33" s="10">
        <f t="shared" si="207"/>
        <v>368.96215962746101</v>
      </c>
      <c r="L33" s="10">
        <f t="shared" si="207"/>
        <v>380.03102441628482</v>
      </c>
      <c r="M33" s="10">
        <f t="shared" si="207"/>
        <v>391.4319551487734</v>
      </c>
      <c r="N33" s="10">
        <f t="shared" si="207"/>
        <v>403.17491380323662</v>
      </c>
      <c r="O33" s="10">
        <f t="shared" si="207"/>
        <v>415.27016121733374</v>
      </c>
      <c r="P33" s="10">
        <f t="shared" si="207"/>
        <v>427.72826605385376</v>
      </c>
      <c r="Q33" s="10">
        <f t="shared" si="207"/>
        <v>440.56011403546938</v>
      </c>
      <c r="R33" s="10">
        <f t="shared" si="207"/>
        <v>453.77691745653345</v>
      </c>
      <c r="S33" s="10">
        <f t="shared" si="207"/>
        <v>467.39022498022945</v>
      </c>
      <c r="T33" s="10">
        <f t="shared" si="207"/>
        <v>481.41193172963636</v>
      </c>
      <c r="U33" s="10">
        <f t="shared" si="207"/>
        <v>495.85428968152547</v>
      </c>
      <c r="V33" s="10">
        <f t="shared" si="207"/>
        <v>510.72991837197122</v>
      </c>
      <c r="W33" s="10">
        <f t="shared" si="207"/>
        <v>526.05181592313033</v>
      </c>
      <c r="X33" s="10">
        <f t="shared" si="207"/>
        <v>541.83337040082426</v>
      </c>
      <c r="Y33" s="10">
        <f t="shared" si="207"/>
        <v>558.08837151284899</v>
      </c>
      <c r="Z33" s="10">
        <f t="shared" si="207"/>
        <v>574.83102265823447</v>
      </c>
      <c r="AA33" s="10">
        <f t="shared" si="207"/>
        <v>592.07595333798156</v>
      </c>
      <c r="AB33" s="10">
        <f t="shared" si="207"/>
        <v>609.838231938121</v>
      </c>
      <c r="AC33" s="10">
        <f t="shared" si="207"/>
        <v>628.13337889626462</v>
      </c>
      <c r="AD33" s="10">
        <f t="shared" si="207"/>
        <v>646.97738026315255</v>
      </c>
      <c r="AE33" s="10">
        <f t="shared" si="207"/>
        <v>666.38670167104715</v>
      </c>
      <c r="AF33" s="10">
        <f t="shared" si="207"/>
        <v>686.37830272117856</v>
      </c>
      <c r="AG33" s="10">
        <f t="shared" si="207"/>
        <v>706.96965180281393</v>
      </c>
      <c r="AH33" s="10">
        <f t="shared" si="207"/>
        <v>728.1787413568984</v>
      </c>
      <c r="AI33" s="10">
        <f t="shared" si="207"/>
        <v>750.0241035976054</v>
      </c>
      <c r="AJ33" s="10">
        <f t="shared" si="207"/>
        <v>772.52482670553354</v>
      </c>
      <c r="AK33" s="10">
        <f t="shared" si="207"/>
        <v>795.70057150669959</v>
      </c>
      <c r="AL33" s="10">
        <f t="shared" si="207"/>
        <v>819.57158865190058</v>
      </c>
      <c r="AM33" s="10">
        <f t="shared" si="207"/>
        <v>844.15873631145757</v>
      </c>
      <c r="AN33" s="10">
        <f t="shared" si="207"/>
        <v>869.4834984008013</v>
      </c>
      <c r="AO33" s="10">
        <f t="shared" si="207"/>
        <v>895.56800335282537</v>
      </c>
      <c r="AP33" s="10">
        <f t="shared" si="207"/>
        <v>922.43504345341012</v>
      </c>
      <c r="AQ33" s="10">
        <f t="shared" si="207"/>
        <v>950.1080947570124</v>
      </c>
      <c r="AR33" s="10">
        <f t="shared" si="207"/>
        <v>978.61133759972279</v>
      </c>
      <c r="AS33" s="10">
        <f t="shared" si="207"/>
        <v>1007.9696777277145</v>
      </c>
      <c r="AT33" s="10">
        <f t="shared" si="207"/>
        <v>1038.2087680595459</v>
      </c>
      <c r="AU33" s="10">
        <f t="shared" si="207"/>
        <v>1069.3550311013323</v>
      </c>
      <c r="AV33" s="10">
        <f t="shared" si="207"/>
        <v>1101.4356820343723</v>
      </c>
      <c r="AW33" s="10">
        <f t="shared" si="207"/>
        <v>1134.4787524954036</v>
      </c>
      <c r="AX33" s="10">
        <f t="shared" si="207"/>
        <v>1168.5131150702657</v>
      </c>
      <c r="AY33" s="10">
        <f t="shared" si="207"/>
        <v>1203.5685085223738</v>
      </c>
      <c r="AZ33" s="10">
        <f t="shared" si="207"/>
        <v>1239.675563778045</v>
      </c>
      <c r="BA33" s="10">
        <f t="shared" si="207"/>
        <v>1276.8658306913865</v>
      </c>
      <c r="BB33" s="283">
        <f t="shared" si="207"/>
        <v>1315.1718056121281</v>
      </c>
    </row>
    <row r="34" spans="1:54" ht="15.75" thickBot="1">
      <c r="B34" s="492" t="s">
        <v>301</v>
      </c>
      <c r="C34" s="537"/>
      <c r="D34" s="493"/>
      <c r="E34" s="367">
        <f>E33/$C30</f>
        <v>15.45</v>
      </c>
      <c r="F34" s="367">
        <f t="shared" ref="F34" si="208">F33/$C30</f>
        <v>15.913499999999999</v>
      </c>
      <c r="G34" s="367">
        <f t="shared" ref="G34" si="209">G33/$C30</f>
        <v>16.390905</v>
      </c>
      <c r="H34" s="367">
        <f t="shared" ref="H34" si="210">H33/$C30</f>
        <v>16.882632149999999</v>
      </c>
      <c r="I34" s="367">
        <f t="shared" ref="I34" si="211">I33/$C30</f>
        <v>17.3891111145</v>
      </c>
      <c r="J34" s="367">
        <f t="shared" ref="J34" si="212">J33/$C30</f>
        <v>17.910784447935001</v>
      </c>
      <c r="K34" s="367">
        <f t="shared" ref="K34" si="213">K33/$C30</f>
        <v>18.448107981373049</v>
      </c>
      <c r="L34" s="367">
        <f t="shared" ref="L34" si="214">L33/$C30</f>
        <v>19.001551220814243</v>
      </c>
      <c r="M34" s="367">
        <f t="shared" ref="M34" si="215">M33/$C30</f>
        <v>19.571597757438671</v>
      </c>
      <c r="N34" s="367">
        <f t="shared" ref="N34" si="216">N33/$C30</f>
        <v>20.15874569016183</v>
      </c>
      <c r="O34" s="367">
        <f t="shared" ref="O34" si="217">O33/$C30</f>
        <v>20.763508060866688</v>
      </c>
      <c r="P34" s="367">
        <f t="shared" ref="P34" si="218">P33/$C30</f>
        <v>21.386413302692688</v>
      </c>
      <c r="Q34" s="367">
        <f t="shared" ref="Q34" si="219">Q33/$C30</f>
        <v>22.02800570177347</v>
      </c>
      <c r="R34" s="367">
        <f t="shared" ref="R34" si="220">R33/$C30</f>
        <v>22.688845872826672</v>
      </c>
      <c r="S34" s="367">
        <f t="shared" ref="S34" si="221">S33/$C30</f>
        <v>23.369511249011474</v>
      </c>
      <c r="T34" s="367">
        <f t="shared" ref="T34" si="222">T33/$C30</f>
        <v>24.07059658648182</v>
      </c>
      <c r="U34" s="367">
        <f t="shared" ref="U34" si="223">U33/$C30</f>
        <v>24.792714484076274</v>
      </c>
      <c r="V34" s="367">
        <f t="shared" ref="V34" si="224">V33/$C30</f>
        <v>25.536495918598561</v>
      </c>
      <c r="W34" s="367">
        <f t="shared" ref="W34" si="225">W33/$C30</f>
        <v>26.302590796156515</v>
      </c>
      <c r="X34" s="367">
        <f t="shared" ref="X34" si="226">X33/$C30</f>
        <v>27.091668520041214</v>
      </c>
      <c r="Y34" s="367">
        <f t="shared" ref="Y34" si="227">Y33/$C30</f>
        <v>27.904418575642449</v>
      </c>
      <c r="Z34" s="367">
        <f t="shared" ref="Z34" si="228">Z33/$C30</f>
        <v>28.741551132911724</v>
      </c>
      <c r="AA34" s="367">
        <f t="shared" ref="AA34" si="229">AA33/$C30</f>
        <v>29.603797666899077</v>
      </c>
      <c r="AB34" s="367">
        <f t="shared" ref="AB34" si="230">AB33/$C30</f>
        <v>30.49191159690605</v>
      </c>
      <c r="AC34" s="367">
        <f t="shared" ref="AC34" si="231">AC33/$C30</f>
        <v>31.40666894481323</v>
      </c>
      <c r="AD34" s="367">
        <f t="shared" ref="AD34" si="232">AD33/$C30</f>
        <v>32.348869013157625</v>
      </c>
      <c r="AE34" s="367">
        <f t="shared" ref="AE34" si="233">AE33/$C30</f>
        <v>33.31933508355236</v>
      </c>
      <c r="AF34" s="367">
        <f t="shared" ref="AF34" si="234">AF33/$C30</f>
        <v>34.318915136058926</v>
      </c>
      <c r="AG34" s="367">
        <f t="shared" ref="AG34" si="235">AG33/$C30</f>
        <v>35.348482590140698</v>
      </c>
      <c r="AH34" s="367">
        <f t="shared" ref="AH34" si="236">AH33/$C30</f>
        <v>36.408937067844917</v>
      </c>
      <c r="AI34" s="367">
        <f t="shared" ref="AI34" si="237">AI33/$C30</f>
        <v>37.501205179880273</v>
      </c>
      <c r="AJ34" s="367">
        <f t="shared" ref="AJ34" si="238">AJ33/$C30</f>
        <v>38.626241335276674</v>
      </c>
      <c r="AK34" s="367">
        <f t="shared" ref="AK34" si="239">AK33/$C30</f>
        <v>39.785028575334977</v>
      </c>
      <c r="AL34" s="367">
        <f t="shared" ref="AL34" si="240">AL33/$C30</f>
        <v>40.978579432595026</v>
      </c>
      <c r="AM34" s="367">
        <f t="shared" ref="AM34" si="241">AM33/$C30</f>
        <v>42.207936815572879</v>
      </c>
      <c r="AN34" s="367">
        <f t="shared" ref="AN34" si="242">AN33/$C30</f>
        <v>43.474174920040063</v>
      </c>
      <c r="AO34" s="367">
        <f t="shared" ref="AO34" si="243">AO33/$C30</f>
        <v>44.778400167641266</v>
      </c>
      <c r="AP34" s="367">
        <f t="shared" ref="AP34" si="244">AP33/$C30</f>
        <v>46.121752172670504</v>
      </c>
      <c r="AQ34" s="367">
        <f t="shared" ref="AQ34" si="245">AQ33/$C30</f>
        <v>47.505404737850618</v>
      </c>
      <c r="AR34" s="367">
        <f t="shared" ref="AR34" si="246">AR33/$C30</f>
        <v>48.930566879986138</v>
      </c>
      <c r="AS34" s="367">
        <f t="shared" ref="AS34" si="247">AS33/$C30</f>
        <v>50.398483886385726</v>
      </c>
      <c r="AT34" s="367">
        <f t="shared" ref="AT34" si="248">AT33/$C30</f>
        <v>51.910438402977299</v>
      </c>
      <c r="AU34" s="367">
        <f t="shared" ref="AU34" si="249">AU33/$C30</f>
        <v>53.467751555066613</v>
      </c>
      <c r="AV34" s="367">
        <f t="shared" ref="AV34" si="250">AV33/$C30</f>
        <v>55.07178410171862</v>
      </c>
      <c r="AW34" s="367">
        <f t="shared" ref="AW34" si="251">AW33/$C30</f>
        <v>56.72393762477018</v>
      </c>
      <c r="AX34" s="367">
        <f t="shared" ref="AX34" si="252">AX33/$C30</f>
        <v>58.425655753513283</v>
      </c>
      <c r="AY34" s="367">
        <f t="shared" ref="AY34" si="253">AY33/$C30</f>
        <v>60.178425426118693</v>
      </c>
      <c r="AZ34" s="367">
        <f t="shared" ref="AZ34" si="254">AZ33/$C30</f>
        <v>61.983778188902249</v>
      </c>
      <c r="BA34" s="367">
        <f t="shared" ref="BA34" si="255">BA33/$C30</f>
        <v>63.843291534569325</v>
      </c>
      <c r="BB34" s="368">
        <f t="shared" ref="BB34" si="256">BB33/$C30</f>
        <v>65.758590280606398</v>
      </c>
    </row>
    <row r="35" spans="1:54" ht="17.25" customHeight="1" thickBot="1">
      <c r="J35" s="6"/>
      <c r="K35" s="6"/>
      <c r="L35" s="6"/>
      <c r="M35" s="6"/>
      <c r="O35" s="5"/>
      <c r="P35" s="5"/>
      <c r="Q35" s="5"/>
      <c r="R35" s="5"/>
    </row>
    <row r="36" spans="1:54" ht="18" thickBot="1">
      <c r="A36"/>
      <c r="B36" s="533" t="s">
        <v>305</v>
      </c>
      <c r="C36" s="534"/>
      <c r="D36" s="32"/>
      <c r="E36" s="275"/>
      <c r="J36" s="6"/>
      <c r="K36" s="6"/>
      <c r="L36" s="6"/>
      <c r="M36" s="6"/>
    </row>
    <row r="37" spans="1:54" ht="15.75" thickBot="1">
      <c r="B37" s="360" t="s">
        <v>11</v>
      </c>
      <c r="C37" s="369">
        <v>20</v>
      </c>
      <c r="D37" s="364"/>
      <c r="E37" s="365">
        <f t="shared" ref="E37:AJ37" si="257">E$9</f>
        <v>2024</v>
      </c>
      <c r="F37" s="279">
        <f t="shared" si="257"/>
        <v>2025</v>
      </c>
      <c r="G37" s="279">
        <f t="shared" si="257"/>
        <v>2026</v>
      </c>
      <c r="H37" s="279">
        <f t="shared" si="257"/>
        <v>2027</v>
      </c>
      <c r="I37" s="279">
        <f t="shared" si="257"/>
        <v>2028</v>
      </c>
      <c r="J37" s="279">
        <f t="shared" si="257"/>
        <v>2029</v>
      </c>
      <c r="K37" s="279">
        <f t="shared" si="257"/>
        <v>2030</v>
      </c>
      <c r="L37" s="279">
        <f t="shared" si="257"/>
        <v>2031</v>
      </c>
      <c r="M37" s="279">
        <f t="shared" si="257"/>
        <v>2032</v>
      </c>
      <c r="N37" s="279">
        <f t="shared" si="257"/>
        <v>2033</v>
      </c>
      <c r="O37" s="279">
        <f t="shared" si="257"/>
        <v>2034</v>
      </c>
      <c r="P37" s="279">
        <f t="shared" si="257"/>
        <v>2035</v>
      </c>
      <c r="Q37" s="279">
        <f t="shared" si="257"/>
        <v>2036</v>
      </c>
      <c r="R37" s="279">
        <f t="shared" si="257"/>
        <v>2037</v>
      </c>
      <c r="S37" s="279">
        <f t="shared" si="257"/>
        <v>2038</v>
      </c>
      <c r="T37" s="279">
        <f t="shared" si="257"/>
        <v>2039</v>
      </c>
      <c r="U37" s="279">
        <f t="shared" si="257"/>
        <v>2040</v>
      </c>
      <c r="V37" s="279">
        <f t="shared" si="257"/>
        <v>2041</v>
      </c>
      <c r="W37" s="279">
        <f t="shared" si="257"/>
        <v>2042</v>
      </c>
      <c r="X37" s="279">
        <f t="shared" si="257"/>
        <v>2043</v>
      </c>
      <c r="Y37" s="279">
        <f t="shared" si="257"/>
        <v>2044</v>
      </c>
      <c r="Z37" s="279">
        <f t="shared" si="257"/>
        <v>2045</v>
      </c>
      <c r="AA37" s="279">
        <f t="shared" si="257"/>
        <v>2046</v>
      </c>
      <c r="AB37" s="279">
        <f t="shared" si="257"/>
        <v>2047</v>
      </c>
      <c r="AC37" s="279">
        <f t="shared" si="257"/>
        <v>2048</v>
      </c>
      <c r="AD37" s="279">
        <f t="shared" si="257"/>
        <v>2049</v>
      </c>
      <c r="AE37" s="279">
        <f t="shared" si="257"/>
        <v>2050</v>
      </c>
      <c r="AF37" s="279">
        <f t="shared" si="257"/>
        <v>2051</v>
      </c>
      <c r="AG37" s="279">
        <f t="shared" si="257"/>
        <v>2052</v>
      </c>
      <c r="AH37" s="279">
        <f t="shared" si="257"/>
        <v>2053</v>
      </c>
      <c r="AI37" s="279">
        <f t="shared" si="257"/>
        <v>2054</v>
      </c>
      <c r="AJ37" s="279">
        <f t="shared" si="257"/>
        <v>2055</v>
      </c>
      <c r="AK37" s="279">
        <f t="shared" ref="AK37:BB37" si="258">AK$9</f>
        <v>2056</v>
      </c>
      <c r="AL37" s="279">
        <f t="shared" si="258"/>
        <v>2057</v>
      </c>
      <c r="AM37" s="279">
        <f t="shared" si="258"/>
        <v>2058</v>
      </c>
      <c r="AN37" s="279">
        <f t="shared" si="258"/>
        <v>2059</v>
      </c>
      <c r="AO37" s="279">
        <f t="shared" si="258"/>
        <v>2060</v>
      </c>
      <c r="AP37" s="279">
        <f t="shared" si="258"/>
        <v>2061</v>
      </c>
      <c r="AQ37" s="279">
        <f t="shared" si="258"/>
        <v>2062</v>
      </c>
      <c r="AR37" s="279">
        <f t="shared" si="258"/>
        <v>2063</v>
      </c>
      <c r="AS37" s="279">
        <f t="shared" si="258"/>
        <v>2064</v>
      </c>
      <c r="AT37" s="279">
        <f t="shared" si="258"/>
        <v>2065</v>
      </c>
      <c r="AU37" s="279">
        <f t="shared" si="258"/>
        <v>2066</v>
      </c>
      <c r="AV37" s="279">
        <f t="shared" si="258"/>
        <v>2067</v>
      </c>
      <c r="AW37" s="279">
        <f t="shared" si="258"/>
        <v>2068</v>
      </c>
      <c r="AX37" s="279">
        <f t="shared" si="258"/>
        <v>2069</v>
      </c>
      <c r="AY37" s="279">
        <f t="shared" si="258"/>
        <v>2070</v>
      </c>
      <c r="AZ37" s="279">
        <f t="shared" si="258"/>
        <v>2071</v>
      </c>
      <c r="BA37" s="279">
        <f t="shared" si="258"/>
        <v>2072</v>
      </c>
      <c r="BB37" s="280">
        <f t="shared" si="258"/>
        <v>2073</v>
      </c>
    </row>
    <row r="38" spans="1:54">
      <c r="A38"/>
      <c r="B38" s="485" t="s">
        <v>261</v>
      </c>
      <c r="C38" s="535"/>
      <c r="D38" s="486"/>
      <c r="E38" s="307">
        <v>300</v>
      </c>
      <c r="F38" s="281">
        <f>E40</f>
        <v>309</v>
      </c>
      <c r="G38" s="281">
        <f t="shared" ref="G38" si="259">F40</f>
        <v>318.27</v>
      </c>
      <c r="H38" s="281">
        <f t="shared" ref="H38" si="260">G40</f>
        <v>327.81810000000002</v>
      </c>
      <c r="I38" s="281">
        <f t="shared" ref="I38" si="261">H40</f>
        <v>337.65264300000001</v>
      </c>
      <c r="J38" s="281">
        <f t="shared" ref="J38" si="262">I40</f>
        <v>347.78222228999999</v>
      </c>
      <c r="K38" s="281">
        <f t="shared" ref="K38" si="263">J40</f>
        <v>358.21568895870001</v>
      </c>
      <c r="L38" s="281">
        <f t="shared" ref="L38" si="264">K40</f>
        <v>368.96215962746101</v>
      </c>
      <c r="M38" s="281">
        <f t="shared" ref="M38" si="265">L40</f>
        <v>380.03102441628482</v>
      </c>
      <c r="N38" s="281">
        <f t="shared" ref="N38" si="266">M40</f>
        <v>391.4319551487734</v>
      </c>
      <c r="O38" s="281">
        <f t="shared" ref="O38" si="267">N40</f>
        <v>403.17491380323662</v>
      </c>
      <c r="P38" s="281">
        <f t="shared" ref="P38" si="268">O40</f>
        <v>415.27016121733374</v>
      </c>
      <c r="Q38" s="281">
        <f t="shared" ref="Q38" si="269">P40</f>
        <v>427.72826605385376</v>
      </c>
      <c r="R38" s="281">
        <f t="shared" ref="R38" si="270">Q40</f>
        <v>440.56011403546938</v>
      </c>
      <c r="S38" s="281">
        <f t="shared" ref="S38" si="271">R40</f>
        <v>453.77691745653345</v>
      </c>
      <c r="T38" s="281">
        <f t="shared" ref="T38" si="272">S40</f>
        <v>467.39022498022945</v>
      </c>
      <c r="U38" s="281">
        <f t="shared" ref="U38" si="273">T40</f>
        <v>481.41193172963636</v>
      </c>
      <c r="V38" s="281">
        <f t="shared" ref="V38" si="274">U40</f>
        <v>495.85428968152547</v>
      </c>
      <c r="W38" s="281">
        <f t="shared" ref="W38" si="275">V40</f>
        <v>510.72991837197122</v>
      </c>
      <c r="X38" s="281">
        <f t="shared" ref="X38" si="276">W40</f>
        <v>526.05181592313033</v>
      </c>
      <c r="Y38" s="281">
        <f t="shared" ref="Y38" si="277">X40</f>
        <v>541.83337040082426</v>
      </c>
      <c r="Z38" s="281">
        <f t="shared" ref="Z38" si="278">Y40</f>
        <v>558.08837151284899</v>
      </c>
      <c r="AA38" s="281">
        <f t="shared" ref="AA38" si="279">Z40</f>
        <v>574.83102265823447</v>
      </c>
      <c r="AB38" s="281">
        <f t="shared" ref="AB38" si="280">AA40</f>
        <v>592.07595333798156</v>
      </c>
      <c r="AC38" s="281">
        <f t="shared" ref="AC38" si="281">AB40</f>
        <v>609.838231938121</v>
      </c>
      <c r="AD38" s="281">
        <f t="shared" ref="AD38" si="282">AC40</f>
        <v>628.13337889626462</v>
      </c>
      <c r="AE38" s="281">
        <f t="shared" ref="AE38" si="283">AD40</f>
        <v>646.97738026315255</v>
      </c>
      <c r="AF38" s="281">
        <f t="shared" ref="AF38" si="284">AE40</f>
        <v>666.38670167104715</v>
      </c>
      <c r="AG38" s="281">
        <f t="shared" ref="AG38" si="285">AF40</f>
        <v>686.37830272117856</v>
      </c>
      <c r="AH38" s="281">
        <f t="shared" ref="AH38" si="286">AG40</f>
        <v>706.96965180281393</v>
      </c>
      <c r="AI38" s="281">
        <f t="shared" ref="AI38" si="287">AH40</f>
        <v>728.1787413568984</v>
      </c>
      <c r="AJ38" s="281">
        <f t="shared" ref="AJ38" si="288">AI40</f>
        <v>750.0241035976054</v>
      </c>
      <c r="AK38" s="281">
        <f t="shared" ref="AK38" si="289">AJ40</f>
        <v>772.52482670553354</v>
      </c>
      <c r="AL38" s="281">
        <f t="shared" ref="AL38" si="290">AK40</f>
        <v>795.70057150669959</v>
      </c>
      <c r="AM38" s="281">
        <f t="shared" ref="AM38" si="291">AL40</f>
        <v>819.57158865190058</v>
      </c>
      <c r="AN38" s="281">
        <f t="shared" ref="AN38" si="292">AM40</f>
        <v>844.15873631145757</v>
      </c>
      <c r="AO38" s="281">
        <f t="shared" ref="AO38" si="293">AN40</f>
        <v>869.4834984008013</v>
      </c>
      <c r="AP38" s="281">
        <f t="shared" ref="AP38" si="294">AO40</f>
        <v>895.56800335282537</v>
      </c>
      <c r="AQ38" s="281">
        <f t="shared" ref="AQ38" si="295">AP40</f>
        <v>922.43504345341012</v>
      </c>
      <c r="AR38" s="281">
        <f t="shared" ref="AR38" si="296">AQ40</f>
        <v>950.1080947570124</v>
      </c>
      <c r="AS38" s="281">
        <f t="shared" ref="AS38" si="297">AR40</f>
        <v>978.61133759972279</v>
      </c>
      <c r="AT38" s="281">
        <f t="shared" ref="AT38" si="298">AS40</f>
        <v>1007.9696777277145</v>
      </c>
      <c r="AU38" s="281">
        <f t="shared" ref="AU38" si="299">AT40</f>
        <v>1038.2087680595459</v>
      </c>
      <c r="AV38" s="281">
        <f t="shared" ref="AV38" si="300">AU40</f>
        <v>1069.3550311013323</v>
      </c>
      <c r="AW38" s="281">
        <f t="shared" ref="AW38" si="301">AV40</f>
        <v>1101.4356820343723</v>
      </c>
      <c r="AX38" s="281">
        <f t="shared" ref="AX38" si="302">AW40</f>
        <v>1134.4787524954036</v>
      </c>
      <c r="AY38" s="281">
        <f t="shared" ref="AY38" si="303">AX40</f>
        <v>1168.5131150702657</v>
      </c>
      <c r="AZ38" s="281">
        <f t="shared" ref="AZ38" si="304">AY40</f>
        <v>1203.5685085223738</v>
      </c>
      <c r="BA38" s="281">
        <f t="shared" ref="BA38" si="305">AZ40</f>
        <v>1239.675563778045</v>
      </c>
      <c r="BB38" s="282">
        <f t="shared" ref="BB38" si="306">BA40</f>
        <v>1276.8658306913865</v>
      </c>
    </row>
    <row r="39" spans="1:54">
      <c r="A39"/>
      <c r="B39" s="479" t="s">
        <v>99</v>
      </c>
      <c r="C39" s="536"/>
      <c r="D39" s="480"/>
      <c r="E39" s="289">
        <f>Cockpit!$H$31</f>
        <v>0.03</v>
      </c>
      <c r="F39" s="289">
        <f>Cockpit!$H$31</f>
        <v>0.03</v>
      </c>
      <c r="G39" s="289">
        <f>Cockpit!$H$31</f>
        <v>0.03</v>
      </c>
      <c r="H39" s="289">
        <f>Cockpit!$H$31</f>
        <v>0.03</v>
      </c>
      <c r="I39" s="289">
        <f>Cockpit!$H$31</f>
        <v>0.03</v>
      </c>
      <c r="J39" s="289">
        <f>Cockpit!$H$31</f>
        <v>0.03</v>
      </c>
      <c r="K39" s="289">
        <f>Cockpit!$H$31</f>
        <v>0.03</v>
      </c>
      <c r="L39" s="289">
        <f>Cockpit!$H$31</f>
        <v>0.03</v>
      </c>
      <c r="M39" s="289">
        <f>Cockpit!$H$31</f>
        <v>0.03</v>
      </c>
      <c r="N39" s="289">
        <f>Cockpit!$H$31</f>
        <v>0.03</v>
      </c>
      <c r="O39" s="289">
        <f>Cockpit!$H$31</f>
        <v>0.03</v>
      </c>
      <c r="P39" s="289">
        <f>Cockpit!$H$31</f>
        <v>0.03</v>
      </c>
      <c r="Q39" s="289">
        <f>Cockpit!$H$31</f>
        <v>0.03</v>
      </c>
      <c r="R39" s="289">
        <f>Cockpit!$H$31</f>
        <v>0.03</v>
      </c>
      <c r="S39" s="289">
        <f>Cockpit!$H$31</f>
        <v>0.03</v>
      </c>
      <c r="T39" s="289">
        <f>Cockpit!$H$31</f>
        <v>0.03</v>
      </c>
      <c r="U39" s="289">
        <f>Cockpit!$H$31</f>
        <v>0.03</v>
      </c>
      <c r="V39" s="289">
        <f>Cockpit!$H$31</f>
        <v>0.03</v>
      </c>
      <c r="W39" s="289">
        <f>Cockpit!$H$31</f>
        <v>0.03</v>
      </c>
      <c r="X39" s="289">
        <f>Cockpit!$H$31</f>
        <v>0.03</v>
      </c>
      <c r="Y39" s="289">
        <f>Cockpit!$H$31</f>
        <v>0.03</v>
      </c>
      <c r="Z39" s="289">
        <f>Cockpit!$H$31</f>
        <v>0.03</v>
      </c>
      <c r="AA39" s="289">
        <f>Cockpit!$H$31</f>
        <v>0.03</v>
      </c>
      <c r="AB39" s="289">
        <f>Cockpit!$H$31</f>
        <v>0.03</v>
      </c>
      <c r="AC39" s="289">
        <f>Cockpit!$H$31</f>
        <v>0.03</v>
      </c>
      <c r="AD39" s="289">
        <f>Cockpit!$H$31</f>
        <v>0.03</v>
      </c>
      <c r="AE39" s="289">
        <f>Cockpit!$H$31</f>
        <v>0.03</v>
      </c>
      <c r="AF39" s="289">
        <f>Cockpit!$H$31</f>
        <v>0.03</v>
      </c>
      <c r="AG39" s="289">
        <f>Cockpit!$H$31</f>
        <v>0.03</v>
      </c>
      <c r="AH39" s="289">
        <f>Cockpit!$H$31</f>
        <v>0.03</v>
      </c>
      <c r="AI39" s="289">
        <f>Cockpit!$H$31</f>
        <v>0.03</v>
      </c>
      <c r="AJ39" s="289">
        <f>Cockpit!$H$31</f>
        <v>0.03</v>
      </c>
      <c r="AK39" s="289">
        <f>Cockpit!$H$31</f>
        <v>0.03</v>
      </c>
      <c r="AL39" s="289">
        <f>Cockpit!$H$31</f>
        <v>0.03</v>
      </c>
      <c r="AM39" s="289">
        <f>Cockpit!$H$31</f>
        <v>0.03</v>
      </c>
      <c r="AN39" s="289">
        <f>Cockpit!$H$31</f>
        <v>0.03</v>
      </c>
      <c r="AO39" s="289">
        <f>Cockpit!$H$31</f>
        <v>0.03</v>
      </c>
      <c r="AP39" s="289">
        <f>Cockpit!$H$31</f>
        <v>0.03</v>
      </c>
      <c r="AQ39" s="289">
        <f>Cockpit!$H$31</f>
        <v>0.03</v>
      </c>
      <c r="AR39" s="289">
        <f>Cockpit!$H$31</f>
        <v>0.03</v>
      </c>
      <c r="AS39" s="289">
        <f>Cockpit!$H$31</f>
        <v>0.03</v>
      </c>
      <c r="AT39" s="289">
        <f>Cockpit!$H$31</f>
        <v>0.03</v>
      </c>
      <c r="AU39" s="289">
        <f>Cockpit!$H$31</f>
        <v>0.03</v>
      </c>
      <c r="AV39" s="289">
        <f>Cockpit!$H$31</f>
        <v>0.03</v>
      </c>
      <c r="AW39" s="289">
        <f>Cockpit!$H$31</f>
        <v>0.03</v>
      </c>
      <c r="AX39" s="289">
        <f>Cockpit!$H$31</f>
        <v>0.03</v>
      </c>
      <c r="AY39" s="289">
        <f>Cockpit!$H$31</f>
        <v>0.03</v>
      </c>
      <c r="AZ39" s="289">
        <f>Cockpit!$H$31</f>
        <v>0.03</v>
      </c>
      <c r="BA39" s="289">
        <f>Cockpit!$H$31</f>
        <v>0.03</v>
      </c>
      <c r="BB39" s="290">
        <f>Cockpit!$H$31</f>
        <v>0.03</v>
      </c>
    </row>
    <row r="40" spans="1:54">
      <c r="B40" s="479" t="s">
        <v>67</v>
      </c>
      <c r="C40" s="536"/>
      <c r="D40" s="480"/>
      <c r="E40" s="10">
        <f t="shared" ref="E40:BB40" si="307">E38*(1+E39)</f>
        <v>309</v>
      </c>
      <c r="F40" s="10">
        <f t="shared" si="307"/>
        <v>318.27</v>
      </c>
      <c r="G40" s="10">
        <f t="shared" si="307"/>
        <v>327.81810000000002</v>
      </c>
      <c r="H40" s="10">
        <f t="shared" si="307"/>
        <v>337.65264300000001</v>
      </c>
      <c r="I40" s="10">
        <f t="shared" si="307"/>
        <v>347.78222228999999</v>
      </c>
      <c r="J40" s="10">
        <f t="shared" si="307"/>
        <v>358.21568895870001</v>
      </c>
      <c r="K40" s="10">
        <f t="shared" si="307"/>
        <v>368.96215962746101</v>
      </c>
      <c r="L40" s="10">
        <f t="shared" si="307"/>
        <v>380.03102441628482</v>
      </c>
      <c r="M40" s="10">
        <f t="shared" si="307"/>
        <v>391.4319551487734</v>
      </c>
      <c r="N40" s="10">
        <f t="shared" si="307"/>
        <v>403.17491380323662</v>
      </c>
      <c r="O40" s="10">
        <f t="shared" si="307"/>
        <v>415.27016121733374</v>
      </c>
      <c r="P40" s="10">
        <f t="shared" si="307"/>
        <v>427.72826605385376</v>
      </c>
      <c r="Q40" s="10">
        <f t="shared" si="307"/>
        <v>440.56011403546938</v>
      </c>
      <c r="R40" s="10">
        <f t="shared" si="307"/>
        <v>453.77691745653345</v>
      </c>
      <c r="S40" s="10">
        <f t="shared" si="307"/>
        <v>467.39022498022945</v>
      </c>
      <c r="T40" s="10">
        <f t="shared" si="307"/>
        <v>481.41193172963636</v>
      </c>
      <c r="U40" s="10">
        <f t="shared" si="307"/>
        <v>495.85428968152547</v>
      </c>
      <c r="V40" s="10">
        <f t="shared" si="307"/>
        <v>510.72991837197122</v>
      </c>
      <c r="W40" s="10">
        <f t="shared" si="307"/>
        <v>526.05181592313033</v>
      </c>
      <c r="X40" s="10">
        <f t="shared" si="307"/>
        <v>541.83337040082426</v>
      </c>
      <c r="Y40" s="10">
        <f t="shared" si="307"/>
        <v>558.08837151284899</v>
      </c>
      <c r="Z40" s="10">
        <f t="shared" si="307"/>
        <v>574.83102265823447</v>
      </c>
      <c r="AA40" s="10">
        <f t="shared" si="307"/>
        <v>592.07595333798156</v>
      </c>
      <c r="AB40" s="10">
        <f t="shared" si="307"/>
        <v>609.838231938121</v>
      </c>
      <c r="AC40" s="10">
        <f t="shared" si="307"/>
        <v>628.13337889626462</v>
      </c>
      <c r="AD40" s="10">
        <f t="shared" si="307"/>
        <v>646.97738026315255</v>
      </c>
      <c r="AE40" s="10">
        <f t="shared" si="307"/>
        <v>666.38670167104715</v>
      </c>
      <c r="AF40" s="10">
        <f t="shared" si="307"/>
        <v>686.37830272117856</v>
      </c>
      <c r="AG40" s="10">
        <f t="shared" si="307"/>
        <v>706.96965180281393</v>
      </c>
      <c r="AH40" s="10">
        <f t="shared" si="307"/>
        <v>728.1787413568984</v>
      </c>
      <c r="AI40" s="10">
        <f t="shared" si="307"/>
        <v>750.0241035976054</v>
      </c>
      <c r="AJ40" s="10">
        <f t="shared" si="307"/>
        <v>772.52482670553354</v>
      </c>
      <c r="AK40" s="10">
        <f t="shared" si="307"/>
        <v>795.70057150669959</v>
      </c>
      <c r="AL40" s="10">
        <f t="shared" si="307"/>
        <v>819.57158865190058</v>
      </c>
      <c r="AM40" s="10">
        <f t="shared" si="307"/>
        <v>844.15873631145757</v>
      </c>
      <c r="AN40" s="10">
        <f t="shared" si="307"/>
        <v>869.4834984008013</v>
      </c>
      <c r="AO40" s="10">
        <f t="shared" si="307"/>
        <v>895.56800335282537</v>
      </c>
      <c r="AP40" s="10">
        <f t="shared" si="307"/>
        <v>922.43504345341012</v>
      </c>
      <c r="AQ40" s="10">
        <f t="shared" si="307"/>
        <v>950.1080947570124</v>
      </c>
      <c r="AR40" s="10">
        <f t="shared" si="307"/>
        <v>978.61133759972279</v>
      </c>
      <c r="AS40" s="10">
        <f t="shared" si="307"/>
        <v>1007.9696777277145</v>
      </c>
      <c r="AT40" s="10">
        <f t="shared" si="307"/>
        <v>1038.2087680595459</v>
      </c>
      <c r="AU40" s="10">
        <f t="shared" si="307"/>
        <v>1069.3550311013323</v>
      </c>
      <c r="AV40" s="10">
        <f t="shared" si="307"/>
        <v>1101.4356820343723</v>
      </c>
      <c r="AW40" s="10">
        <f t="shared" si="307"/>
        <v>1134.4787524954036</v>
      </c>
      <c r="AX40" s="10">
        <f t="shared" si="307"/>
        <v>1168.5131150702657</v>
      </c>
      <c r="AY40" s="10">
        <f t="shared" si="307"/>
        <v>1203.5685085223738</v>
      </c>
      <c r="AZ40" s="10">
        <f t="shared" si="307"/>
        <v>1239.675563778045</v>
      </c>
      <c r="BA40" s="10">
        <f t="shared" si="307"/>
        <v>1276.8658306913865</v>
      </c>
      <c r="BB40" s="283">
        <f t="shared" si="307"/>
        <v>1315.1718056121281</v>
      </c>
    </row>
    <row r="41" spans="1:54" ht="15.75" thickBot="1">
      <c r="B41" s="492" t="s">
        <v>301</v>
      </c>
      <c r="C41" s="537"/>
      <c r="D41" s="493"/>
      <c r="E41" s="367">
        <f>E40/$C37</f>
        <v>15.45</v>
      </c>
      <c r="F41" s="367">
        <f t="shared" ref="F41" si="308">F40/$C37</f>
        <v>15.913499999999999</v>
      </c>
      <c r="G41" s="367">
        <f t="shared" ref="G41" si="309">G40/$C37</f>
        <v>16.390905</v>
      </c>
      <c r="H41" s="367">
        <f t="shared" ref="H41" si="310">H40/$C37</f>
        <v>16.882632149999999</v>
      </c>
      <c r="I41" s="367">
        <f t="shared" ref="I41" si="311">I40/$C37</f>
        <v>17.3891111145</v>
      </c>
      <c r="J41" s="367">
        <f t="shared" ref="J41" si="312">J40/$C37</f>
        <v>17.910784447935001</v>
      </c>
      <c r="K41" s="367">
        <f t="shared" ref="K41" si="313">K40/$C37</f>
        <v>18.448107981373049</v>
      </c>
      <c r="L41" s="367">
        <f t="shared" ref="L41" si="314">L40/$C37</f>
        <v>19.001551220814243</v>
      </c>
      <c r="M41" s="367">
        <f t="shared" ref="M41" si="315">M40/$C37</f>
        <v>19.571597757438671</v>
      </c>
      <c r="N41" s="367">
        <f t="shared" ref="N41" si="316">N40/$C37</f>
        <v>20.15874569016183</v>
      </c>
      <c r="O41" s="367">
        <f t="shared" ref="O41" si="317">O40/$C37</f>
        <v>20.763508060866688</v>
      </c>
      <c r="P41" s="367">
        <f t="shared" ref="P41" si="318">P40/$C37</f>
        <v>21.386413302692688</v>
      </c>
      <c r="Q41" s="367">
        <f t="shared" ref="Q41" si="319">Q40/$C37</f>
        <v>22.02800570177347</v>
      </c>
      <c r="R41" s="367">
        <f t="shared" ref="R41" si="320">R40/$C37</f>
        <v>22.688845872826672</v>
      </c>
      <c r="S41" s="367">
        <f t="shared" ref="S41" si="321">S40/$C37</f>
        <v>23.369511249011474</v>
      </c>
      <c r="T41" s="367">
        <f t="shared" ref="T41" si="322">T40/$C37</f>
        <v>24.07059658648182</v>
      </c>
      <c r="U41" s="367">
        <f t="shared" ref="U41" si="323">U40/$C37</f>
        <v>24.792714484076274</v>
      </c>
      <c r="V41" s="367">
        <f t="shared" ref="V41" si="324">V40/$C37</f>
        <v>25.536495918598561</v>
      </c>
      <c r="W41" s="367">
        <f t="shared" ref="W41" si="325">W40/$C37</f>
        <v>26.302590796156515</v>
      </c>
      <c r="X41" s="367">
        <f t="shared" ref="X41" si="326">X40/$C37</f>
        <v>27.091668520041214</v>
      </c>
      <c r="Y41" s="367">
        <f t="shared" ref="Y41" si="327">Y40/$C37</f>
        <v>27.904418575642449</v>
      </c>
      <c r="Z41" s="367">
        <f t="shared" ref="Z41" si="328">Z40/$C37</f>
        <v>28.741551132911724</v>
      </c>
      <c r="AA41" s="367">
        <f t="shared" ref="AA41" si="329">AA40/$C37</f>
        <v>29.603797666899077</v>
      </c>
      <c r="AB41" s="367">
        <f t="shared" ref="AB41" si="330">AB40/$C37</f>
        <v>30.49191159690605</v>
      </c>
      <c r="AC41" s="367">
        <f t="shared" ref="AC41" si="331">AC40/$C37</f>
        <v>31.40666894481323</v>
      </c>
      <c r="AD41" s="367">
        <f t="shared" ref="AD41" si="332">AD40/$C37</f>
        <v>32.348869013157625</v>
      </c>
      <c r="AE41" s="367">
        <f t="shared" ref="AE41" si="333">AE40/$C37</f>
        <v>33.31933508355236</v>
      </c>
      <c r="AF41" s="367">
        <f t="shared" ref="AF41" si="334">AF40/$C37</f>
        <v>34.318915136058926</v>
      </c>
      <c r="AG41" s="367">
        <f t="shared" ref="AG41" si="335">AG40/$C37</f>
        <v>35.348482590140698</v>
      </c>
      <c r="AH41" s="367">
        <f t="shared" ref="AH41" si="336">AH40/$C37</f>
        <v>36.408937067844917</v>
      </c>
      <c r="AI41" s="367">
        <f t="shared" ref="AI41" si="337">AI40/$C37</f>
        <v>37.501205179880273</v>
      </c>
      <c r="AJ41" s="367">
        <f t="shared" ref="AJ41" si="338">AJ40/$C37</f>
        <v>38.626241335276674</v>
      </c>
      <c r="AK41" s="367">
        <f t="shared" ref="AK41" si="339">AK40/$C37</f>
        <v>39.785028575334977</v>
      </c>
      <c r="AL41" s="367">
        <f t="shared" ref="AL41" si="340">AL40/$C37</f>
        <v>40.978579432595026</v>
      </c>
      <c r="AM41" s="367">
        <f t="shared" ref="AM41" si="341">AM40/$C37</f>
        <v>42.207936815572879</v>
      </c>
      <c r="AN41" s="367">
        <f t="shared" ref="AN41" si="342">AN40/$C37</f>
        <v>43.474174920040063</v>
      </c>
      <c r="AO41" s="367">
        <f t="shared" ref="AO41" si="343">AO40/$C37</f>
        <v>44.778400167641266</v>
      </c>
      <c r="AP41" s="367">
        <f t="shared" ref="AP41" si="344">AP40/$C37</f>
        <v>46.121752172670504</v>
      </c>
      <c r="AQ41" s="367">
        <f t="shared" ref="AQ41" si="345">AQ40/$C37</f>
        <v>47.505404737850618</v>
      </c>
      <c r="AR41" s="367">
        <f t="shared" ref="AR41" si="346">AR40/$C37</f>
        <v>48.930566879986138</v>
      </c>
      <c r="AS41" s="367">
        <f t="shared" ref="AS41" si="347">AS40/$C37</f>
        <v>50.398483886385726</v>
      </c>
      <c r="AT41" s="367">
        <f t="shared" ref="AT41" si="348">AT40/$C37</f>
        <v>51.910438402977299</v>
      </c>
      <c r="AU41" s="367">
        <f t="shared" ref="AU41" si="349">AU40/$C37</f>
        <v>53.467751555066613</v>
      </c>
      <c r="AV41" s="367">
        <f t="shared" ref="AV41" si="350">AV40/$C37</f>
        <v>55.07178410171862</v>
      </c>
      <c r="AW41" s="367">
        <f t="shared" ref="AW41" si="351">AW40/$C37</f>
        <v>56.72393762477018</v>
      </c>
      <c r="AX41" s="367">
        <f t="shared" ref="AX41" si="352">AX40/$C37</f>
        <v>58.425655753513283</v>
      </c>
      <c r="AY41" s="367">
        <f t="shared" ref="AY41" si="353">AY40/$C37</f>
        <v>60.178425426118693</v>
      </c>
      <c r="AZ41" s="367">
        <f t="shared" ref="AZ41" si="354">AZ40/$C37</f>
        <v>61.983778188902249</v>
      </c>
      <c r="BA41" s="367">
        <f t="shared" ref="BA41" si="355">BA40/$C37</f>
        <v>63.843291534569325</v>
      </c>
      <c r="BB41" s="368">
        <f t="shared" ref="BB41" si="356">BB40/$C37</f>
        <v>65.758590280606398</v>
      </c>
    </row>
    <row r="42" spans="1:54" ht="17.25" customHeight="1" thickBot="1">
      <c r="J42" s="6"/>
      <c r="K42" s="6"/>
      <c r="L42" s="6"/>
      <c r="M42" s="6"/>
      <c r="O42" s="5"/>
      <c r="P42" s="5"/>
      <c r="Q42" s="5"/>
      <c r="R42" s="5"/>
    </row>
    <row r="43" spans="1:54" ht="18" thickBot="1">
      <c r="A43"/>
      <c r="B43" s="533" t="s">
        <v>295</v>
      </c>
      <c r="C43" s="534"/>
      <c r="D43" s="32"/>
      <c r="E43" s="275"/>
      <c r="J43" s="6"/>
      <c r="K43" s="6"/>
      <c r="L43" s="6"/>
      <c r="M43" s="6"/>
    </row>
    <row r="44" spans="1:54" ht="15.75" thickBot="1">
      <c r="B44" s="360" t="s">
        <v>11</v>
      </c>
      <c r="C44" s="369">
        <v>0</v>
      </c>
      <c r="D44" s="364"/>
      <c r="E44" s="365">
        <f t="shared" ref="E44:AJ44" si="357">E$9</f>
        <v>2024</v>
      </c>
      <c r="F44" s="279">
        <f t="shared" si="357"/>
        <v>2025</v>
      </c>
      <c r="G44" s="279">
        <f t="shared" si="357"/>
        <v>2026</v>
      </c>
      <c r="H44" s="279">
        <f t="shared" si="357"/>
        <v>2027</v>
      </c>
      <c r="I44" s="279">
        <f t="shared" si="357"/>
        <v>2028</v>
      </c>
      <c r="J44" s="279">
        <f t="shared" si="357"/>
        <v>2029</v>
      </c>
      <c r="K44" s="279">
        <f t="shared" si="357"/>
        <v>2030</v>
      </c>
      <c r="L44" s="279">
        <f t="shared" si="357"/>
        <v>2031</v>
      </c>
      <c r="M44" s="279">
        <f t="shared" si="357"/>
        <v>2032</v>
      </c>
      <c r="N44" s="279">
        <f t="shared" si="357"/>
        <v>2033</v>
      </c>
      <c r="O44" s="279">
        <f t="shared" si="357"/>
        <v>2034</v>
      </c>
      <c r="P44" s="279">
        <f t="shared" si="357"/>
        <v>2035</v>
      </c>
      <c r="Q44" s="279">
        <f t="shared" si="357"/>
        <v>2036</v>
      </c>
      <c r="R44" s="279">
        <f t="shared" si="357"/>
        <v>2037</v>
      </c>
      <c r="S44" s="279">
        <f t="shared" si="357"/>
        <v>2038</v>
      </c>
      <c r="T44" s="279">
        <f t="shared" si="357"/>
        <v>2039</v>
      </c>
      <c r="U44" s="279">
        <f t="shared" si="357"/>
        <v>2040</v>
      </c>
      <c r="V44" s="279">
        <f t="shared" si="357"/>
        <v>2041</v>
      </c>
      <c r="W44" s="279">
        <f t="shared" si="357"/>
        <v>2042</v>
      </c>
      <c r="X44" s="279">
        <f t="shared" si="357"/>
        <v>2043</v>
      </c>
      <c r="Y44" s="279">
        <f t="shared" si="357"/>
        <v>2044</v>
      </c>
      <c r="Z44" s="279">
        <f t="shared" si="357"/>
        <v>2045</v>
      </c>
      <c r="AA44" s="279">
        <f t="shared" si="357"/>
        <v>2046</v>
      </c>
      <c r="AB44" s="279">
        <f t="shared" si="357"/>
        <v>2047</v>
      </c>
      <c r="AC44" s="279">
        <f t="shared" si="357"/>
        <v>2048</v>
      </c>
      <c r="AD44" s="279">
        <f t="shared" si="357"/>
        <v>2049</v>
      </c>
      <c r="AE44" s="279">
        <f t="shared" si="357"/>
        <v>2050</v>
      </c>
      <c r="AF44" s="279">
        <f t="shared" si="357"/>
        <v>2051</v>
      </c>
      <c r="AG44" s="279">
        <f t="shared" si="357"/>
        <v>2052</v>
      </c>
      <c r="AH44" s="279">
        <f t="shared" si="357"/>
        <v>2053</v>
      </c>
      <c r="AI44" s="279">
        <f t="shared" si="357"/>
        <v>2054</v>
      </c>
      <c r="AJ44" s="279">
        <f t="shared" si="357"/>
        <v>2055</v>
      </c>
      <c r="AK44" s="279">
        <f t="shared" ref="AK44:BB44" si="358">AK$9</f>
        <v>2056</v>
      </c>
      <c r="AL44" s="279">
        <f t="shared" si="358"/>
        <v>2057</v>
      </c>
      <c r="AM44" s="279">
        <f t="shared" si="358"/>
        <v>2058</v>
      </c>
      <c r="AN44" s="279">
        <f t="shared" si="358"/>
        <v>2059</v>
      </c>
      <c r="AO44" s="279">
        <f t="shared" si="358"/>
        <v>2060</v>
      </c>
      <c r="AP44" s="279">
        <f t="shared" si="358"/>
        <v>2061</v>
      </c>
      <c r="AQ44" s="279">
        <f t="shared" si="358"/>
        <v>2062</v>
      </c>
      <c r="AR44" s="279">
        <f t="shared" si="358"/>
        <v>2063</v>
      </c>
      <c r="AS44" s="279">
        <f t="shared" si="358"/>
        <v>2064</v>
      </c>
      <c r="AT44" s="279">
        <f t="shared" si="358"/>
        <v>2065</v>
      </c>
      <c r="AU44" s="279">
        <f t="shared" si="358"/>
        <v>2066</v>
      </c>
      <c r="AV44" s="279">
        <f t="shared" si="358"/>
        <v>2067</v>
      </c>
      <c r="AW44" s="279">
        <f t="shared" si="358"/>
        <v>2068</v>
      </c>
      <c r="AX44" s="279">
        <f t="shared" si="358"/>
        <v>2069</v>
      </c>
      <c r="AY44" s="279">
        <f t="shared" si="358"/>
        <v>2070</v>
      </c>
      <c r="AZ44" s="279">
        <f t="shared" si="358"/>
        <v>2071</v>
      </c>
      <c r="BA44" s="279">
        <f t="shared" si="358"/>
        <v>2072</v>
      </c>
      <c r="BB44" s="280">
        <f t="shared" si="358"/>
        <v>2073</v>
      </c>
    </row>
    <row r="45" spans="1:54">
      <c r="A45"/>
      <c r="B45" s="485" t="s">
        <v>261</v>
      </c>
      <c r="C45" s="535"/>
      <c r="D45" s="486"/>
      <c r="E45" s="307">
        <v>0</v>
      </c>
      <c r="F45" s="281">
        <f>E47</f>
        <v>0</v>
      </c>
      <c r="G45" s="281">
        <f t="shared" ref="G45" si="359">F47</f>
        <v>0</v>
      </c>
      <c r="H45" s="281">
        <f t="shared" ref="H45" si="360">G47</f>
        <v>0</v>
      </c>
      <c r="I45" s="281">
        <f t="shared" ref="I45" si="361">H47</f>
        <v>0</v>
      </c>
      <c r="J45" s="281">
        <f t="shared" ref="J45" si="362">I47</f>
        <v>0</v>
      </c>
      <c r="K45" s="281">
        <f t="shared" ref="K45" si="363">J47</f>
        <v>0</v>
      </c>
      <c r="L45" s="281">
        <f t="shared" ref="L45" si="364">K47</f>
        <v>0</v>
      </c>
      <c r="M45" s="281">
        <f t="shared" ref="M45" si="365">L47</f>
        <v>0</v>
      </c>
      <c r="N45" s="281">
        <f t="shared" ref="N45" si="366">M47</f>
        <v>0</v>
      </c>
      <c r="O45" s="281">
        <f t="shared" ref="O45" si="367">N47</f>
        <v>0</v>
      </c>
      <c r="P45" s="281">
        <f t="shared" ref="P45" si="368">O47</f>
        <v>0</v>
      </c>
      <c r="Q45" s="281">
        <f t="shared" ref="Q45" si="369">P47</f>
        <v>0</v>
      </c>
      <c r="R45" s="281">
        <f t="shared" ref="R45" si="370">Q47</f>
        <v>0</v>
      </c>
      <c r="S45" s="281">
        <f t="shared" ref="S45" si="371">R47</f>
        <v>0</v>
      </c>
      <c r="T45" s="281">
        <f t="shared" ref="T45" si="372">S47</f>
        <v>0</v>
      </c>
      <c r="U45" s="281">
        <f t="shared" ref="U45" si="373">T47</f>
        <v>0</v>
      </c>
      <c r="V45" s="281">
        <f t="shared" ref="V45" si="374">U47</f>
        <v>0</v>
      </c>
      <c r="W45" s="281">
        <f t="shared" ref="W45" si="375">V47</f>
        <v>0</v>
      </c>
      <c r="X45" s="281">
        <f t="shared" ref="X45" si="376">W47</f>
        <v>0</v>
      </c>
      <c r="Y45" s="281">
        <f t="shared" ref="Y45" si="377">X47</f>
        <v>0</v>
      </c>
      <c r="Z45" s="281">
        <f t="shared" ref="Z45" si="378">Y47</f>
        <v>0</v>
      </c>
      <c r="AA45" s="281">
        <f t="shared" ref="AA45" si="379">Z47</f>
        <v>0</v>
      </c>
      <c r="AB45" s="281">
        <f t="shared" ref="AB45" si="380">AA47</f>
        <v>0</v>
      </c>
      <c r="AC45" s="281">
        <f t="shared" ref="AC45" si="381">AB47</f>
        <v>0</v>
      </c>
      <c r="AD45" s="281">
        <f t="shared" ref="AD45" si="382">AC47</f>
        <v>0</v>
      </c>
      <c r="AE45" s="281">
        <f t="shared" ref="AE45" si="383">AD47</f>
        <v>0</v>
      </c>
      <c r="AF45" s="281">
        <f t="shared" ref="AF45" si="384">AE47</f>
        <v>0</v>
      </c>
      <c r="AG45" s="281">
        <f t="shared" ref="AG45" si="385">AF47</f>
        <v>0</v>
      </c>
      <c r="AH45" s="281">
        <f t="shared" ref="AH45" si="386">AG47</f>
        <v>0</v>
      </c>
      <c r="AI45" s="281">
        <f t="shared" ref="AI45" si="387">AH47</f>
        <v>0</v>
      </c>
      <c r="AJ45" s="281">
        <f t="shared" ref="AJ45" si="388">AI47</f>
        <v>0</v>
      </c>
      <c r="AK45" s="281">
        <f t="shared" ref="AK45" si="389">AJ47</f>
        <v>0</v>
      </c>
      <c r="AL45" s="281">
        <f t="shared" ref="AL45" si="390">AK47</f>
        <v>0</v>
      </c>
      <c r="AM45" s="281">
        <f t="shared" ref="AM45" si="391">AL47</f>
        <v>0</v>
      </c>
      <c r="AN45" s="281">
        <f t="shared" ref="AN45" si="392">AM47</f>
        <v>0</v>
      </c>
      <c r="AO45" s="281">
        <f t="shared" ref="AO45" si="393">AN47</f>
        <v>0</v>
      </c>
      <c r="AP45" s="281">
        <f t="shared" ref="AP45" si="394">AO47</f>
        <v>0</v>
      </c>
      <c r="AQ45" s="281">
        <f t="shared" ref="AQ45" si="395">AP47</f>
        <v>0</v>
      </c>
      <c r="AR45" s="281">
        <f t="shared" ref="AR45" si="396">AQ47</f>
        <v>0</v>
      </c>
      <c r="AS45" s="281">
        <f t="shared" ref="AS45" si="397">AR47</f>
        <v>0</v>
      </c>
      <c r="AT45" s="281">
        <f t="shared" ref="AT45" si="398">AS47</f>
        <v>0</v>
      </c>
      <c r="AU45" s="281">
        <f t="shared" ref="AU45" si="399">AT47</f>
        <v>0</v>
      </c>
      <c r="AV45" s="281">
        <f t="shared" ref="AV45" si="400">AU47</f>
        <v>0</v>
      </c>
      <c r="AW45" s="281">
        <f t="shared" ref="AW45" si="401">AV47</f>
        <v>0</v>
      </c>
      <c r="AX45" s="281">
        <f t="shared" ref="AX45" si="402">AW47</f>
        <v>0</v>
      </c>
      <c r="AY45" s="281">
        <f t="shared" ref="AY45" si="403">AX47</f>
        <v>0</v>
      </c>
      <c r="AZ45" s="281">
        <f t="shared" ref="AZ45" si="404">AY47</f>
        <v>0</v>
      </c>
      <c r="BA45" s="281">
        <f t="shared" ref="BA45" si="405">AZ47</f>
        <v>0</v>
      </c>
      <c r="BB45" s="282">
        <f t="shared" ref="BB45" si="406">BA47</f>
        <v>0</v>
      </c>
    </row>
    <row r="46" spans="1:54">
      <c r="A46"/>
      <c r="B46" s="479" t="s">
        <v>99</v>
      </c>
      <c r="C46" s="536"/>
      <c r="D46" s="480"/>
      <c r="E46" s="289">
        <f>Cockpit!$H$31</f>
        <v>0.03</v>
      </c>
      <c r="F46" s="289">
        <f>Cockpit!$H$31</f>
        <v>0.03</v>
      </c>
      <c r="G46" s="289">
        <f>Cockpit!$H$31</f>
        <v>0.03</v>
      </c>
      <c r="H46" s="289">
        <f>Cockpit!$H$31</f>
        <v>0.03</v>
      </c>
      <c r="I46" s="289">
        <f>Cockpit!$H$31</f>
        <v>0.03</v>
      </c>
      <c r="J46" s="289">
        <f>Cockpit!$H$31</f>
        <v>0.03</v>
      </c>
      <c r="K46" s="289">
        <f>Cockpit!$H$31</f>
        <v>0.03</v>
      </c>
      <c r="L46" s="289">
        <f>Cockpit!$H$31</f>
        <v>0.03</v>
      </c>
      <c r="M46" s="289">
        <f>Cockpit!$H$31</f>
        <v>0.03</v>
      </c>
      <c r="N46" s="289">
        <f>Cockpit!$H$31</f>
        <v>0.03</v>
      </c>
      <c r="O46" s="289">
        <f>Cockpit!$H$31</f>
        <v>0.03</v>
      </c>
      <c r="P46" s="289">
        <f>Cockpit!$H$31</f>
        <v>0.03</v>
      </c>
      <c r="Q46" s="289">
        <f>Cockpit!$H$31</f>
        <v>0.03</v>
      </c>
      <c r="R46" s="289">
        <f>Cockpit!$H$31</f>
        <v>0.03</v>
      </c>
      <c r="S46" s="289">
        <f>Cockpit!$H$31</f>
        <v>0.03</v>
      </c>
      <c r="T46" s="289">
        <f>Cockpit!$H$31</f>
        <v>0.03</v>
      </c>
      <c r="U46" s="289">
        <f>Cockpit!$H$31</f>
        <v>0.03</v>
      </c>
      <c r="V46" s="289">
        <f>Cockpit!$H$31</f>
        <v>0.03</v>
      </c>
      <c r="W46" s="289">
        <f>Cockpit!$H$31</f>
        <v>0.03</v>
      </c>
      <c r="X46" s="289">
        <f>Cockpit!$H$31</f>
        <v>0.03</v>
      </c>
      <c r="Y46" s="289">
        <f>Cockpit!$H$31</f>
        <v>0.03</v>
      </c>
      <c r="Z46" s="289">
        <f>Cockpit!$H$31</f>
        <v>0.03</v>
      </c>
      <c r="AA46" s="289">
        <f>Cockpit!$H$31</f>
        <v>0.03</v>
      </c>
      <c r="AB46" s="289">
        <f>Cockpit!$H$31</f>
        <v>0.03</v>
      </c>
      <c r="AC46" s="289">
        <f>Cockpit!$H$31</f>
        <v>0.03</v>
      </c>
      <c r="AD46" s="289">
        <f>Cockpit!$H$31</f>
        <v>0.03</v>
      </c>
      <c r="AE46" s="289">
        <f>Cockpit!$H$31</f>
        <v>0.03</v>
      </c>
      <c r="AF46" s="289">
        <f>Cockpit!$H$31</f>
        <v>0.03</v>
      </c>
      <c r="AG46" s="289">
        <f>Cockpit!$H$31</f>
        <v>0.03</v>
      </c>
      <c r="AH46" s="289">
        <f>Cockpit!$H$31</f>
        <v>0.03</v>
      </c>
      <c r="AI46" s="289">
        <f>Cockpit!$H$31</f>
        <v>0.03</v>
      </c>
      <c r="AJ46" s="289">
        <f>Cockpit!$H$31</f>
        <v>0.03</v>
      </c>
      <c r="AK46" s="289">
        <f>Cockpit!$H$31</f>
        <v>0.03</v>
      </c>
      <c r="AL46" s="289">
        <f>Cockpit!$H$31</f>
        <v>0.03</v>
      </c>
      <c r="AM46" s="289">
        <f>Cockpit!$H$31</f>
        <v>0.03</v>
      </c>
      <c r="AN46" s="289">
        <f>Cockpit!$H$31</f>
        <v>0.03</v>
      </c>
      <c r="AO46" s="289">
        <f>Cockpit!$H$31</f>
        <v>0.03</v>
      </c>
      <c r="AP46" s="289">
        <f>Cockpit!$H$31</f>
        <v>0.03</v>
      </c>
      <c r="AQ46" s="289">
        <f>Cockpit!$H$31</f>
        <v>0.03</v>
      </c>
      <c r="AR46" s="289">
        <f>Cockpit!$H$31</f>
        <v>0.03</v>
      </c>
      <c r="AS46" s="289">
        <f>Cockpit!$H$31</f>
        <v>0.03</v>
      </c>
      <c r="AT46" s="289">
        <f>Cockpit!$H$31</f>
        <v>0.03</v>
      </c>
      <c r="AU46" s="289">
        <f>Cockpit!$H$31</f>
        <v>0.03</v>
      </c>
      <c r="AV46" s="289">
        <f>Cockpit!$H$31</f>
        <v>0.03</v>
      </c>
      <c r="AW46" s="289">
        <f>Cockpit!$H$31</f>
        <v>0.03</v>
      </c>
      <c r="AX46" s="289">
        <f>Cockpit!$H$31</f>
        <v>0.03</v>
      </c>
      <c r="AY46" s="289">
        <f>Cockpit!$H$31</f>
        <v>0.03</v>
      </c>
      <c r="AZ46" s="289">
        <f>Cockpit!$H$31</f>
        <v>0.03</v>
      </c>
      <c r="BA46" s="289">
        <f>Cockpit!$H$31</f>
        <v>0.03</v>
      </c>
      <c r="BB46" s="290">
        <f>Cockpit!$H$31</f>
        <v>0.03</v>
      </c>
    </row>
    <row r="47" spans="1:54">
      <c r="B47" s="479" t="s">
        <v>67</v>
      </c>
      <c r="C47" s="536"/>
      <c r="D47" s="480"/>
      <c r="E47" s="10">
        <f t="shared" ref="E47:BB47" si="407">E45*(1+E46)</f>
        <v>0</v>
      </c>
      <c r="F47" s="10">
        <f t="shared" si="407"/>
        <v>0</v>
      </c>
      <c r="G47" s="10">
        <f t="shared" si="407"/>
        <v>0</v>
      </c>
      <c r="H47" s="10">
        <f t="shared" si="407"/>
        <v>0</v>
      </c>
      <c r="I47" s="10">
        <f t="shared" si="407"/>
        <v>0</v>
      </c>
      <c r="J47" s="10">
        <f t="shared" si="407"/>
        <v>0</v>
      </c>
      <c r="K47" s="10">
        <f t="shared" si="407"/>
        <v>0</v>
      </c>
      <c r="L47" s="10">
        <f t="shared" si="407"/>
        <v>0</v>
      </c>
      <c r="M47" s="10">
        <f t="shared" si="407"/>
        <v>0</v>
      </c>
      <c r="N47" s="10">
        <f t="shared" si="407"/>
        <v>0</v>
      </c>
      <c r="O47" s="10">
        <f t="shared" si="407"/>
        <v>0</v>
      </c>
      <c r="P47" s="10">
        <f t="shared" si="407"/>
        <v>0</v>
      </c>
      <c r="Q47" s="10">
        <f t="shared" si="407"/>
        <v>0</v>
      </c>
      <c r="R47" s="10">
        <f t="shared" si="407"/>
        <v>0</v>
      </c>
      <c r="S47" s="10">
        <f t="shared" si="407"/>
        <v>0</v>
      </c>
      <c r="T47" s="10">
        <f t="shared" si="407"/>
        <v>0</v>
      </c>
      <c r="U47" s="10">
        <f t="shared" si="407"/>
        <v>0</v>
      </c>
      <c r="V47" s="10">
        <f t="shared" si="407"/>
        <v>0</v>
      </c>
      <c r="W47" s="10">
        <f t="shared" si="407"/>
        <v>0</v>
      </c>
      <c r="X47" s="10">
        <f t="shared" si="407"/>
        <v>0</v>
      </c>
      <c r="Y47" s="10">
        <f t="shared" si="407"/>
        <v>0</v>
      </c>
      <c r="Z47" s="10">
        <f t="shared" si="407"/>
        <v>0</v>
      </c>
      <c r="AA47" s="10">
        <f t="shared" si="407"/>
        <v>0</v>
      </c>
      <c r="AB47" s="10">
        <f t="shared" si="407"/>
        <v>0</v>
      </c>
      <c r="AC47" s="10">
        <f t="shared" si="407"/>
        <v>0</v>
      </c>
      <c r="AD47" s="10">
        <f t="shared" si="407"/>
        <v>0</v>
      </c>
      <c r="AE47" s="10">
        <f t="shared" si="407"/>
        <v>0</v>
      </c>
      <c r="AF47" s="10">
        <f t="shared" si="407"/>
        <v>0</v>
      </c>
      <c r="AG47" s="10">
        <f t="shared" si="407"/>
        <v>0</v>
      </c>
      <c r="AH47" s="10">
        <f t="shared" si="407"/>
        <v>0</v>
      </c>
      <c r="AI47" s="10">
        <f t="shared" si="407"/>
        <v>0</v>
      </c>
      <c r="AJ47" s="10">
        <f t="shared" si="407"/>
        <v>0</v>
      </c>
      <c r="AK47" s="10">
        <f t="shared" si="407"/>
        <v>0</v>
      </c>
      <c r="AL47" s="10">
        <f t="shared" si="407"/>
        <v>0</v>
      </c>
      <c r="AM47" s="10">
        <f t="shared" si="407"/>
        <v>0</v>
      </c>
      <c r="AN47" s="10">
        <f t="shared" si="407"/>
        <v>0</v>
      </c>
      <c r="AO47" s="10">
        <f t="shared" si="407"/>
        <v>0</v>
      </c>
      <c r="AP47" s="10">
        <f t="shared" si="407"/>
        <v>0</v>
      </c>
      <c r="AQ47" s="10">
        <f t="shared" si="407"/>
        <v>0</v>
      </c>
      <c r="AR47" s="10">
        <f t="shared" si="407"/>
        <v>0</v>
      </c>
      <c r="AS47" s="10">
        <f t="shared" si="407"/>
        <v>0</v>
      </c>
      <c r="AT47" s="10">
        <f t="shared" si="407"/>
        <v>0</v>
      </c>
      <c r="AU47" s="10">
        <f t="shared" si="407"/>
        <v>0</v>
      </c>
      <c r="AV47" s="10">
        <f t="shared" si="407"/>
        <v>0</v>
      </c>
      <c r="AW47" s="10">
        <f t="shared" si="407"/>
        <v>0</v>
      </c>
      <c r="AX47" s="10">
        <f t="shared" si="407"/>
        <v>0</v>
      </c>
      <c r="AY47" s="10">
        <f t="shared" si="407"/>
        <v>0</v>
      </c>
      <c r="AZ47" s="10">
        <f t="shared" si="407"/>
        <v>0</v>
      </c>
      <c r="BA47" s="10">
        <f t="shared" si="407"/>
        <v>0</v>
      </c>
      <c r="BB47" s="283">
        <f t="shared" si="407"/>
        <v>0</v>
      </c>
    </row>
    <row r="48" spans="1:54" ht="15.75" thickBot="1">
      <c r="B48" s="492" t="s">
        <v>301</v>
      </c>
      <c r="C48" s="537"/>
      <c r="D48" s="493"/>
      <c r="E48" s="367" t="str">
        <f>IFERROR(E47/$C44,"-")</f>
        <v>-</v>
      </c>
      <c r="F48" s="367" t="str">
        <f>IFERROR(F47/$C44,"-")</f>
        <v>-</v>
      </c>
      <c r="G48" s="367" t="str">
        <f t="shared" ref="G48" si="408">IFERROR(G47/$C44,"-")</f>
        <v>-</v>
      </c>
      <c r="H48" s="367" t="str">
        <f t="shared" ref="H48" si="409">IFERROR(H47/$C44,"-")</f>
        <v>-</v>
      </c>
      <c r="I48" s="367" t="str">
        <f t="shared" ref="I48" si="410">IFERROR(I47/$C44,"-")</f>
        <v>-</v>
      </c>
      <c r="J48" s="367" t="str">
        <f t="shared" ref="J48" si="411">IFERROR(J47/$C44,"-")</f>
        <v>-</v>
      </c>
      <c r="K48" s="367" t="str">
        <f t="shared" ref="K48" si="412">IFERROR(K47/$C44,"-")</f>
        <v>-</v>
      </c>
      <c r="L48" s="367" t="str">
        <f t="shared" ref="L48" si="413">IFERROR(L47/$C44,"-")</f>
        <v>-</v>
      </c>
      <c r="M48" s="367" t="str">
        <f t="shared" ref="M48" si="414">IFERROR(M47/$C44,"-")</f>
        <v>-</v>
      </c>
      <c r="N48" s="367" t="str">
        <f t="shared" ref="N48" si="415">IFERROR(N47/$C44,"-")</f>
        <v>-</v>
      </c>
      <c r="O48" s="367" t="str">
        <f t="shared" ref="O48" si="416">IFERROR(O47/$C44,"-")</f>
        <v>-</v>
      </c>
      <c r="P48" s="367" t="str">
        <f t="shared" ref="P48" si="417">IFERROR(P47/$C44,"-")</f>
        <v>-</v>
      </c>
      <c r="Q48" s="367" t="str">
        <f t="shared" ref="Q48" si="418">IFERROR(Q47/$C44,"-")</f>
        <v>-</v>
      </c>
      <c r="R48" s="367" t="str">
        <f t="shared" ref="R48" si="419">IFERROR(R47/$C44,"-")</f>
        <v>-</v>
      </c>
      <c r="S48" s="367" t="str">
        <f t="shared" ref="S48" si="420">IFERROR(S47/$C44,"-")</f>
        <v>-</v>
      </c>
      <c r="T48" s="367" t="str">
        <f t="shared" ref="T48" si="421">IFERROR(T47/$C44,"-")</f>
        <v>-</v>
      </c>
      <c r="U48" s="367" t="str">
        <f t="shared" ref="U48" si="422">IFERROR(U47/$C44,"-")</f>
        <v>-</v>
      </c>
      <c r="V48" s="367" t="str">
        <f t="shared" ref="V48" si="423">IFERROR(V47/$C44,"-")</f>
        <v>-</v>
      </c>
      <c r="W48" s="367" t="str">
        <f t="shared" ref="W48" si="424">IFERROR(W47/$C44,"-")</f>
        <v>-</v>
      </c>
      <c r="X48" s="367" t="str">
        <f t="shared" ref="X48" si="425">IFERROR(X47/$C44,"-")</f>
        <v>-</v>
      </c>
      <c r="Y48" s="367" t="str">
        <f t="shared" ref="Y48" si="426">IFERROR(Y47/$C44,"-")</f>
        <v>-</v>
      </c>
      <c r="Z48" s="367" t="str">
        <f t="shared" ref="Z48" si="427">IFERROR(Z47/$C44,"-")</f>
        <v>-</v>
      </c>
      <c r="AA48" s="367" t="str">
        <f t="shared" ref="AA48" si="428">IFERROR(AA47/$C44,"-")</f>
        <v>-</v>
      </c>
      <c r="AB48" s="367" t="str">
        <f t="shared" ref="AB48" si="429">IFERROR(AB47/$C44,"-")</f>
        <v>-</v>
      </c>
      <c r="AC48" s="367" t="str">
        <f t="shared" ref="AC48" si="430">IFERROR(AC47/$C44,"-")</f>
        <v>-</v>
      </c>
      <c r="AD48" s="367" t="str">
        <f t="shared" ref="AD48" si="431">IFERROR(AD47/$C44,"-")</f>
        <v>-</v>
      </c>
      <c r="AE48" s="367" t="str">
        <f t="shared" ref="AE48" si="432">IFERROR(AE47/$C44,"-")</f>
        <v>-</v>
      </c>
      <c r="AF48" s="367" t="str">
        <f t="shared" ref="AF48" si="433">IFERROR(AF47/$C44,"-")</f>
        <v>-</v>
      </c>
      <c r="AG48" s="367" t="str">
        <f t="shared" ref="AG48" si="434">IFERROR(AG47/$C44,"-")</f>
        <v>-</v>
      </c>
      <c r="AH48" s="367" t="str">
        <f t="shared" ref="AH48" si="435">IFERROR(AH47/$C44,"-")</f>
        <v>-</v>
      </c>
      <c r="AI48" s="367" t="str">
        <f t="shared" ref="AI48" si="436">IFERROR(AI47/$C44,"-")</f>
        <v>-</v>
      </c>
      <c r="AJ48" s="367" t="str">
        <f t="shared" ref="AJ48" si="437">IFERROR(AJ47/$C44,"-")</f>
        <v>-</v>
      </c>
      <c r="AK48" s="367" t="str">
        <f t="shared" ref="AK48" si="438">IFERROR(AK47/$C44,"-")</f>
        <v>-</v>
      </c>
      <c r="AL48" s="367" t="str">
        <f t="shared" ref="AL48" si="439">IFERROR(AL47/$C44,"-")</f>
        <v>-</v>
      </c>
      <c r="AM48" s="367" t="str">
        <f t="shared" ref="AM48" si="440">IFERROR(AM47/$C44,"-")</f>
        <v>-</v>
      </c>
      <c r="AN48" s="367" t="str">
        <f t="shared" ref="AN48" si="441">IFERROR(AN47/$C44,"-")</f>
        <v>-</v>
      </c>
      <c r="AO48" s="367" t="str">
        <f t="shared" ref="AO48" si="442">IFERROR(AO47/$C44,"-")</f>
        <v>-</v>
      </c>
      <c r="AP48" s="367" t="str">
        <f t="shared" ref="AP48" si="443">IFERROR(AP47/$C44,"-")</f>
        <v>-</v>
      </c>
      <c r="AQ48" s="367" t="str">
        <f t="shared" ref="AQ48" si="444">IFERROR(AQ47/$C44,"-")</f>
        <v>-</v>
      </c>
      <c r="AR48" s="367" t="str">
        <f t="shared" ref="AR48" si="445">IFERROR(AR47/$C44,"-")</f>
        <v>-</v>
      </c>
      <c r="AS48" s="367" t="str">
        <f t="shared" ref="AS48" si="446">IFERROR(AS47/$C44,"-")</f>
        <v>-</v>
      </c>
      <c r="AT48" s="367" t="str">
        <f t="shared" ref="AT48" si="447">IFERROR(AT47/$C44,"-")</f>
        <v>-</v>
      </c>
      <c r="AU48" s="367" t="str">
        <f t="shared" ref="AU48" si="448">IFERROR(AU47/$C44,"-")</f>
        <v>-</v>
      </c>
      <c r="AV48" s="367" t="str">
        <f t="shared" ref="AV48" si="449">IFERROR(AV47/$C44,"-")</f>
        <v>-</v>
      </c>
      <c r="AW48" s="367" t="str">
        <f t="shared" ref="AW48" si="450">IFERROR(AW47/$C44,"-")</f>
        <v>-</v>
      </c>
      <c r="AX48" s="367" t="str">
        <f t="shared" ref="AX48" si="451">IFERROR(AX47/$C44,"-")</f>
        <v>-</v>
      </c>
      <c r="AY48" s="367" t="str">
        <f t="shared" ref="AY48" si="452">IFERROR(AY47/$C44,"-")</f>
        <v>-</v>
      </c>
      <c r="AZ48" s="367" t="str">
        <f t="shared" ref="AZ48" si="453">IFERROR(AZ47/$C44,"-")</f>
        <v>-</v>
      </c>
      <c r="BA48" s="367" t="str">
        <f t="shared" ref="BA48" si="454">IFERROR(BA47/$C44,"-")</f>
        <v>-</v>
      </c>
      <c r="BB48" s="368" t="str">
        <f t="shared" ref="BB48" si="455">IFERROR(BB47/$C44,"-")</f>
        <v>-</v>
      </c>
    </row>
    <row r="49" spans="1:54" ht="17.25" customHeight="1" thickBot="1">
      <c r="J49" s="6"/>
      <c r="K49" s="6"/>
      <c r="L49" s="6"/>
      <c r="M49" s="6"/>
      <c r="O49" s="5"/>
      <c r="P49" s="5"/>
      <c r="Q49" s="5"/>
      <c r="R49" s="5"/>
    </row>
    <row r="50" spans="1:54" ht="18" thickBot="1">
      <c r="A50"/>
      <c r="B50" s="533" t="s">
        <v>296</v>
      </c>
      <c r="C50" s="534"/>
      <c r="D50" s="32"/>
      <c r="E50" s="275"/>
      <c r="J50" s="6"/>
      <c r="K50" s="6"/>
      <c r="L50" s="6"/>
      <c r="M50" s="6"/>
    </row>
    <row r="51" spans="1:54" ht="15.75" thickBot="1">
      <c r="B51" s="360" t="s">
        <v>11</v>
      </c>
      <c r="C51" s="369">
        <v>0</v>
      </c>
      <c r="D51" s="364"/>
      <c r="E51" s="365">
        <f t="shared" ref="E51:AJ51" si="456">E$9</f>
        <v>2024</v>
      </c>
      <c r="F51" s="279">
        <f t="shared" si="456"/>
        <v>2025</v>
      </c>
      <c r="G51" s="279">
        <f t="shared" si="456"/>
        <v>2026</v>
      </c>
      <c r="H51" s="279">
        <f t="shared" si="456"/>
        <v>2027</v>
      </c>
      <c r="I51" s="279">
        <f t="shared" si="456"/>
        <v>2028</v>
      </c>
      <c r="J51" s="279">
        <f t="shared" si="456"/>
        <v>2029</v>
      </c>
      <c r="K51" s="279">
        <f t="shared" si="456"/>
        <v>2030</v>
      </c>
      <c r="L51" s="279">
        <f t="shared" si="456"/>
        <v>2031</v>
      </c>
      <c r="M51" s="279">
        <f t="shared" si="456"/>
        <v>2032</v>
      </c>
      <c r="N51" s="279">
        <f t="shared" si="456"/>
        <v>2033</v>
      </c>
      <c r="O51" s="279">
        <f t="shared" si="456"/>
        <v>2034</v>
      </c>
      <c r="P51" s="279">
        <f t="shared" si="456"/>
        <v>2035</v>
      </c>
      <c r="Q51" s="279">
        <f t="shared" si="456"/>
        <v>2036</v>
      </c>
      <c r="R51" s="279">
        <f t="shared" si="456"/>
        <v>2037</v>
      </c>
      <c r="S51" s="279">
        <f t="shared" si="456"/>
        <v>2038</v>
      </c>
      <c r="T51" s="279">
        <f t="shared" si="456"/>
        <v>2039</v>
      </c>
      <c r="U51" s="279">
        <f t="shared" si="456"/>
        <v>2040</v>
      </c>
      <c r="V51" s="279">
        <f t="shared" si="456"/>
        <v>2041</v>
      </c>
      <c r="W51" s="279">
        <f t="shared" si="456"/>
        <v>2042</v>
      </c>
      <c r="X51" s="279">
        <f t="shared" si="456"/>
        <v>2043</v>
      </c>
      <c r="Y51" s="279">
        <f t="shared" si="456"/>
        <v>2044</v>
      </c>
      <c r="Z51" s="279">
        <f t="shared" si="456"/>
        <v>2045</v>
      </c>
      <c r="AA51" s="279">
        <f t="shared" si="456"/>
        <v>2046</v>
      </c>
      <c r="AB51" s="279">
        <f t="shared" si="456"/>
        <v>2047</v>
      </c>
      <c r="AC51" s="279">
        <f t="shared" si="456"/>
        <v>2048</v>
      </c>
      <c r="AD51" s="279">
        <f t="shared" si="456"/>
        <v>2049</v>
      </c>
      <c r="AE51" s="279">
        <f t="shared" si="456"/>
        <v>2050</v>
      </c>
      <c r="AF51" s="279">
        <f t="shared" si="456"/>
        <v>2051</v>
      </c>
      <c r="AG51" s="279">
        <f t="shared" si="456"/>
        <v>2052</v>
      </c>
      <c r="AH51" s="279">
        <f t="shared" si="456"/>
        <v>2053</v>
      </c>
      <c r="AI51" s="279">
        <f t="shared" si="456"/>
        <v>2054</v>
      </c>
      <c r="AJ51" s="279">
        <f t="shared" si="456"/>
        <v>2055</v>
      </c>
      <c r="AK51" s="279">
        <f t="shared" ref="AK51:BB51" si="457">AK$9</f>
        <v>2056</v>
      </c>
      <c r="AL51" s="279">
        <f t="shared" si="457"/>
        <v>2057</v>
      </c>
      <c r="AM51" s="279">
        <f t="shared" si="457"/>
        <v>2058</v>
      </c>
      <c r="AN51" s="279">
        <f t="shared" si="457"/>
        <v>2059</v>
      </c>
      <c r="AO51" s="279">
        <f t="shared" si="457"/>
        <v>2060</v>
      </c>
      <c r="AP51" s="279">
        <f t="shared" si="457"/>
        <v>2061</v>
      </c>
      <c r="AQ51" s="279">
        <f t="shared" si="457"/>
        <v>2062</v>
      </c>
      <c r="AR51" s="279">
        <f t="shared" si="457"/>
        <v>2063</v>
      </c>
      <c r="AS51" s="279">
        <f t="shared" si="457"/>
        <v>2064</v>
      </c>
      <c r="AT51" s="279">
        <f t="shared" si="457"/>
        <v>2065</v>
      </c>
      <c r="AU51" s="279">
        <f t="shared" si="457"/>
        <v>2066</v>
      </c>
      <c r="AV51" s="279">
        <f t="shared" si="457"/>
        <v>2067</v>
      </c>
      <c r="AW51" s="279">
        <f t="shared" si="457"/>
        <v>2068</v>
      </c>
      <c r="AX51" s="279">
        <f t="shared" si="457"/>
        <v>2069</v>
      </c>
      <c r="AY51" s="279">
        <f t="shared" si="457"/>
        <v>2070</v>
      </c>
      <c r="AZ51" s="279">
        <f t="shared" si="457"/>
        <v>2071</v>
      </c>
      <c r="BA51" s="279">
        <f t="shared" si="457"/>
        <v>2072</v>
      </c>
      <c r="BB51" s="280">
        <f t="shared" si="457"/>
        <v>2073</v>
      </c>
    </row>
    <row r="52" spans="1:54">
      <c r="A52"/>
      <c r="B52" s="485" t="s">
        <v>261</v>
      </c>
      <c r="C52" s="535"/>
      <c r="D52" s="486"/>
      <c r="E52" s="307">
        <v>0</v>
      </c>
      <c r="F52" s="281">
        <f>E54</f>
        <v>0</v>
      </c>
      <c r="G52" s="281">
        <f t="shared" ref="G52" si="458">F54</f>
        <v>0</v>
      </c>
      <c r="H52" s="281">
        <f t="shared" ref="H52" si="459">G54</f>
        <v>0</v>
      </c>
      <c r="I52" s="281">
        <f t="shared" ref="I52" si="460">H54</f>
        <v>0</v>
      </c>
      <c r="J52" s="281">
        <f t="shared" ref="J52" si="461">I54</f>
        <v>0</v>
      </c>
      <c r="K52" s="281">
        <f t="shared" ref="K52" si="462">J54</f>
        <v>0</v>
      </c>
      <c r="L52" s="281">
        <f t="shared" ref="L52" si="463">K54</f>
        <v>0</v>
      </c>
      <c r="M52" s="281">
        <f t="shared" ref="M52" si="464">L54</f>
        <v>0</v>
      </c>
      <c r="N52" s="281">
        <f t="shared" ref="N52" si="465">M54</f>
        <v>0</v>
      </c>
      <c r="O52" s="281">
        <f t="shared" ref="O52" si="466">N54</f>
        <v>0</v>
      </c>
      <c r="P52" s="281">
        <f t="shared" ref="P52" si="467">O54</f>
        <v>0</v>
      </c>
      <c r="Q52" s="281">
        <f t="shared" ref="Q52" si="468">P54</f>
        <v>0</v>
      </c>
      <c r="R52" s="281">
        <f t="shared" ref="R52" si="469">Q54</f>
        <v>0</v>
      </c>
      <c r="S52" s="281">
        <f t="shared" ref="S52" si="470">R54</f>
        <v>0</v>
      </c>
      <c r="T52" s="281">
        <f t="shared" ref="T52" si="471">S54</f>
        <v>0</v>
      </c>
      <c r="U52" s="281">
        <f t="shared" ref="U52" si="472">T54</f>
        <v>0</v>
      </c>
      <c r="V52" s="281">
        <f t="shared" ref="V52" si="473">U54</f>
        <v>0</v>
      </c>
      <c r="W52" s="281">
        <f t="shared" ref="W52" si="474">V54</f>
        <v>0</v>
      </c>
      <c r="X52" s="281">
        <f t="shared" ref="X52" si="475">W54</f>
        <v>0</v>
      </c>
      <c r="Y52" s="281">
        <f t="shared" ref="Y52" si="476">X54</f>
        <v>0</v>
      </c>
      <c r="Z52" s="281">
        <f t="shared" ref="Z52" si="477">Y54</f>
        <v>0</v>
      </c>
      <c r="AA52" s="281">
        <f t="shared" ref="AA52" si="478">Z54</f>
        <v>0</v>
      </c>
      <c r="AB52" s="281">
        <f t="shared" ref="AB52" si="479">AA54</f>
        <v>0</v>
      </c>
      <c r="AC52" s="281">
        <f t="shared" ref="AC52" si="480">AB54</f>
        <v>0</v>
      </c>
      <c r="AD52" s="281">
        <f t="shared" ref="AD52" si="481">AC54</f>
        <v>0</v>
      </c>
      <c r="AE52" s="281">
        <f t="shared" ref="AE52" si="482">AD54</f>
        <v>0</v>
      </c>
      <c r="AF52" s="281">
        <f t="shared" ref="AF52" si="483">AE54</f>
        <v>0</v>
      </c>
      <c r="AG52" s="281">
        <f t="shared" ref="AG52" si="484">AF54</f>
        <v>0</v>
      </c>
      <c r="AH52" s="281">
        <f t="shared" ref="AH52" si="485">AG54</f>
        <v>0</v>
      </c>
      <c r="AI52" s="281">
        <f t="shared" ref="AI52" si="486">AH54</f>
        <v>0</v>
      </c>
      <c r="AJ52" s="281">
        <f t="shared" ref="AJ52" si="487">AI54</f>
        <v>0</v>
      </c>
      <c r="AK52" s="281">
        <f t="shared" ref="AK52" si="488">AJ54</f>
        <v>0</v>
      </c>
      <c r="AL52" s="281">
        <f t="shared" ref="AL52" si="489">AK54</f>
        <v>0</v>
      </c>
      <c r="AM52" s="281">
        <f t="shared" ref="AM52" si="490">AL54</f>
        <v>0</v>
      </c>
      <c r="AN52" s="281">
        <f t="shared" ref="AN52" si="491">AM54</f>
        <v>0</v>
      </c>
      <c r="AO52" s="281">
        <f t="shared" ref="AO52" si="492">AN54</f>
        <v>0</v>
      </c>
      <c r="AP52" s="281">
        <f t="shared" ref="AP52" si="493">AO54</f>
        <v>0</v>
      </c>
      <c r="AQ52" s="281">
        <f t="shared" ref="AQ52" si="494">AP54</f>
        <v>0</v>
      </c>
      <c r="AR52" s="281">
        <f t="shared" ref="AR52" si="495">AQ54</f>
        <v>0</v>
      </c>
      <c r="AS52" s="281">
        <f t="shared" ref="AS52" si="496">AR54</f>
        <v>0</v>
      </c>
      <c r="AT52" s="281">
        <f t="shared" ref="AT52" si="497">AS54</f>
        <v>0</v>
      </c>
      <c r="AU52" s="281">
        <f t="shared" ref="AU52" si="498">AT54</f>
        <v>0</v>
      </c>
      <c r="AV52" s="281">
        <f t="shared" ref="AV52" si="499">AU54</f>
        <v>0</v>
      </c>
      <c r="AW52" s="281">
        <f t="shared" ref="AW52" si="500">AV54</f>
        <v>0</v>
      </c>
      <c r="AX52" s="281">
        <f t="shared" ref="AX52" si="501">AW54</f>
        <v>0</v>
      </c>
      <c r="AY52" s="281">
        <f t="shared" ref="AY52" si="502">AX54</f>
        <v>0</v>
      </c>
      <c r="AZ52" s="281">
        <f t="shared" ref="AZ52" si="503">AY54</f>
        <v>0</v>
      </c>
      <c r="BA52" s="281">
        <f t="shared" ref="BA52" si="504">AZ54</f>
        <v>0</v>
      </c>
      <c r="BB52" s="282">
        <f t="shared" ref="BB52" si="505">BA54</f>
        <v>0</v>
      </c>
    </row>
    <row r="53" spans="1:54">
      <c r="A53"/>
      <c r="B53" s="479" t="s">
        <v>99</v>
      </c>
      <c r="C53" s="536"/>
      <c r="D53" s="480"/>
      <c r="E53" s="289">
        <f>Cockpit!$H$31</f>
        <v>0.03</v>
      </c>
      <c r="F53" s="289">
        <f>Cockpit!$H$31</f>
        <v>0.03</v>
      </c>
      <c r="G53" s="289">
        <f>Cockpit!$H$31</f>
        <v>0.03</v>
      </c>
      <c r="H53" s="289">
        <f>Cockpit!$H$31</f>
        <v>0.03</v>
      </c>
      <c r="I53" s="289">
        <f>Cockpit!$H$31</f>
        <v>0.03</v>
      </c>
      <c r="J53" s="289">
        <f>Cockpit!$H$31</f>
        <v>0.03</v>
      </c>
      <c r="K53" s="289">
        <f>Cockpit!$H$31</f>
        <v>0.03</v>
      </c>
      <c r="L53" s="289">
        <f>Cockpit!$H$31</f>
        <v>0.03</v>
      </c>
      <c r="M53" s="289">
        <f>Cockpit!$H$31</f>
        <v>0.03</v>
      </c>
      <c r="N53" s="289">
        <f>Cockpit!$H$31</f>
        <v>0.03</v>
      </c>
      <c r="O53" s="289">
        <f>Cockpit!$H$31</f>
        <v>0.03</v>
      </c>
      <c r="P53" s="289">
        <f>Cockpit!$H$31</f>
        <v>0.03</v>
      </c>
      <c r="Q53" s="289">
        <f>Cockpit!$H$31</f>
        <v>0.03</v>
      </c>
      <c r="R53" s="289">
        <f>Cockpit!$H$31</f>
        <v>0.03</v>
      </c>
      <c r="S53" s="289">
        <f>Cockpit!$H$31</f>
        <v>0.03</v>
      </c>
      <c r="T53" s="289">
        <f>Cockpit!$H$31</f>
        <v>0.03</v>
      </c>
      <c r="U53" s="289">
        <f>Cockpit!$H$31</f>
        <v>0.03</v>
      </c>
      <c r="V53" s="289">
        <f>Cockpit!$H$31</f>
        <v>0.03</v>
      </c>
      <c r="W53" s="289">
        <f>Cockpit!$H$31</f>
        <v>0.03</v>
      </c>
      <c r="X53" s="289">
        <f>Cockpit!$H$31</f>
        <v>0.03</v>
      </c>
      <c r="Y53" s="289">
        <f>Cockpit!$H$31</f>
        <v>0.03</v>
      </c>
      <c r="Z53" s="289">
        <f>Cockpit!$H$31</f>
        <v>0.03</v>
      </c>
      <c r="AA53" s="289">
        <f>Cockpit!$H$31</f>
        <v>0.03</v>
      </c>
      <c r="AB53" s="289">
        <f>Cockpit!$H$31</f>
        <v>0.03</v>
      </c>
      <c r="AC53" s="289">
        <f>Cockpit!$H$31</f>
        <v>0.03</v>
      </c>
      <c r="AD53" s="289">
        <f>Cockpit!$H$31</f>
        <v>0.03</v>
      </c>
      <c r="AE53" s="289">
        <f>Cockpit!$H$31</f>
        <v>0.03</v>
      </c>
      <c r="AF53" s="289">
        <f>Cockpit!$H$31</f>
        <v>0.03</v>
      </c>
      <c r="AG53" s="289">
        <f>Cockpit!$H$31</f>
        <v>0.03</v>
      </c>
      <c r="AH53" s="289">
        <f>Cockpit!$H$31</f>
        <v>0.03</v>
      </c>
      <c r="AI53" s="289">
        <f>Cockpit!$H$31</f>
        <v>0.03</v>
      </c>
      <c r="AJ53" s="289">
        <f>Cockpit!$H$31</f>
        <v>0.03</v>
      </c>
      <c r="AK53" s="289">
        <f>Cockpit!$H$31</f>
        <v>0.03</v>
      </c>
      <c r="AL53" s="289">
        <f>Cockpit!$H$31</f>
        <v>0.03</v>
      </c>
      <c r="AM53" s="289">
        <f>Cockpit!$H$31</f>
        <v>0.03</v>
      </c>
      <c r="AN53" s="289">
        <f>Cockpit!$H$31</f>
        <v>0.03</v>
      </c>
      <c r="AO53" s="289">
        <f>Cockpit!$H$31</f>
        <v>0.03</v>
      </c>
      <c r="AP53" s="289">
        <f>Cockpit!$H$31</f>
        <v>0.03</v>
      </c>
      <c r="AQ53" s="289">
        <f>Cockpit!$H$31</f>
        <v>0.03</v>
      </c>
      <c r="AR53" s="289">
        <f>Cockpit!$H$31</f>
        <v>0.03</v>
      </c>
      <c r="AS53" s="289">
        <f>Cockpit!$H$31</f>
        <v>0.03</v>
      </c>
      <c r="AT53" s="289">
        <f>Cockpit!$H$31</f>
        <v>0.03</v>
      </c>
      <c r="AU53" s="289">
        <f>Cockpit!$H$31</f>
        <v>0.03</v>
      </c>
      <c r="AV53" s="289">
        <f>Cockpit!$H$31</f>
        <v>0.03</v>
      </c>
      <c r="AW53" s="289">
        <f>Cockpit!$H$31</f>
        <v>0.03</v>
      </c>
      <c r="AX53" s="289">
        <f>Cockpit!$H$31</f>
        <v>0.03</v>
      </c>
      <c r="AY53" s="289">
        <f>Cockpit!$H$31</f>
        <v>0.03</v>
      </c>
      <c r="AZ53" s="289">
        <f>Cockpit!$H$31</f>
        <v>0.03</v>
      </c>
      <c r="BA53" s="289">
        <f>Cockpit!$H$31</f>
        <v>0.03</v>
      </c>
      <c r="BB53" s="290">
        <f>Cockpit!$H$31</f>
        <v>0.03</v>
      </c>
    </row>
    <row r="54" spans="1:54">
      <c r="B54" s="479" t="s">
        <v>67</v>
      </c>
      <c r="C54" s="536"/>
      <c r="D54" s="480"/>
      <c r="E54" s="10">
        <f t="shared" ref="E54:BB54" si="506">E52*(1+E53)</f>
        <v>0</v>
      </c>
      <c r="F54" s="10">
        <f t="shared" si="506"/>
        <v>0</v>
      </c>
      <c r="G54" s="10">
        <f t="shared" si="506"/>
        <v>0</v>
      </c>
      <c r="H54" s="10">
        <f t="shared" si="506"/>
        <v>0</v>
      </c>
      <c r="I54" s="10">
        <f t="shared" si="506"/>
        <v>0</v>
      </c>
      <c r="J54" s="10">
        <f t="shared" si="506"/>
        <v>0</v>
      </c>
      <c r="K54" s="10">
        <f t="shared" si="506"/>
        <v>0</v>
      </c>
      <c r="L54" s="10">
        <f t="shared" si="506"/>
        <v>0</v>
      </c>
      <c r="M54" s="10">
        <f t="shared" si="506"/>
        <v>0</v>
      </c>
      <c r="N54" s="10">
        <f t="shared" si="506"/>
        <v>0</v>
      </c>
      <c r="O54" s="10">
        <f t="shared" si="506"/>
        <v>0</v>
      </c>
      <c r="P54" s="10">
        <f t="shared" si="506"/>
        <v>0</v>
      </c>
      <c r="Q54" s="10">
        <f t="shared" si="506"/>
        <v>0</v>
      </c>
      <c r="R54" s="10">
        <f t="shared" si="506"/>
        <v>0</v>
      </c>
      <c r="S54" s="10">
        <f t="shared" si="506"/>
        <v>0</v>
      </c>
      <c r="T54" s="10">
        <f t="shared" si="506"/>
        <v>0</v>
      </c>
      <c r="U54" s="10">
        <f t="shared" si="506"/>
        <v>0</v>
      </c>
      <c r="V54" s="10">
        <f t="shared" si="506"/>
        <v>0</v>
      </c>
      <c r="W54" s="10">
        <f t="shared" si="506"/>
        <v>0</v>
      </c>
      <c r="X54" s="10">
        <f t="shared" si="506"/>
        <v>0</v>
      </c>
      <c r="Y54" s="10">
        <f t="shared" si="506"/>
        <v>0</v>
      </c>
      <c r="Z54" s="10">
        <f t="shared" si="506"/>
        <v>0</v>
      </c>
      <c r="AA54" s="10">
        <f t="shared" si="506"/>
        <v>0</v>
      </c>
      <c r="AB54" s="10">
        <f t="shared" si="506"/>
        <v>0</v>
      </c>
      <c r="AC54" s="10">
        <f t="shared" si="506"/>
        <v>0</v>
      </c>
      <c r="AD54" s="10">
        <f t="shared" si="506"/>
        <v>0</v>
      </c>
      <c r="AE54" s="10">
        <f t="shared" si="506"/>
        <v>0</v>
      </c>
      <c r="AF54" s="10">
        <f t="shared" si="506"/>
        <v>0</v>
      </c>
      <c r="AG54" s="10">
        <f t="shared" si="506"/>
        <v>0</v>
      </c>
      <c r="AH54" s="10">
        <f t="shared" si="506"/>
        <v>0</v>
      </c>
      <c r="AI54" s="10">
        <f t="shared" si="506"/>
        <v>0</v>
      </c>
      <c r="AJ54" s="10">
        <f t="shared" si="506"/>
        <v>0</v>
      </c>
      <c r="AK54" s="10">
        <f t="shared" si="506"/>
        <v>0</v>
      </c>
      <c r="AL54" s="10">
        <f t="shared" si="506"/>
        <v>0</v>
      </c>
      <c r="AM54" s="10">
        <f t="shared" si="506"/>
        <v>0</v>
      </c>
      <c r="AN54" s="10">
        <f t="shared" si="506"/>
        <v>0</v>
      </c>
      <c r="AO54" s="10">
        <f t="shared" si="506"/>
        <v>0</v>
      </c>
      <c r="AP54" s="10">
        <f t="shared" si="506"/>
        <v>0</v>
      </c>
      <c r="AQ54" s="10">
        <f t="shared" si="506"/>
        <v>0</v>
      </c>
      <c r="AR54" s="10">
        <f t="shared" si="506"/>
        <v>0</v>
      </c>
      <c r="AS54" s="10">
        <f t="shared" si="506"/>
        <v>0</v>
      </c>
      <c r="AT54" s="10">
        <f t="shared" si="506"/>
        <v>0</v>
      </c>
      <c r="AU54" s="10">
        <f t="shared" si="506"/>
        <v>0</v>
      </c>
      <c r="AV54" s="10">
        <f t="shared" si="506"/>
        <v>0</v>
      </c>
      <c r="AW54" s="10">
        <f t="shared" si="506"/>
        <v>0</v>
      </c>
      <c r="AX54" s="10">
        <f t="shared" si="506"/>
        <v>0</v>
      </c>
      <c r="AY54" s="10">
        <f t="shared" si="506"/>
        <v>0</v>
      </c>
      <c r="AZ54" s="10">
        <f t="shared" si="506"/>
        <v>0</v>
      </c>
      <c r="BA54" s="10">
        <f t="shared" si="506"/>
        <v>0</v>
      </c>
      <c r="BB54" s="283">
        <f t="shared" si="506"/>
        <v>0</v>
      </c>
    </row>
    <row r="55" spans="1:54" ht="15.75" thickBot="1">
      <c r="B55" s="492" t="s">
        <v>301</v>
      </c>
      <c r="C55" s="537"/>
      <c r="D55" s="493"/>
      <c r="E55" s="367" t="str">
        <f>IFERROR(E54/$C51,"-")</f>
        <v>-</v>
      </c>
      <c r="F55" s="367" t="str">
        <f>IFERROR(F54/$C51,"-")</f>
        <v>-</v>
      </c>
      <c r="G55" s="367" t="str">
        <f t="shared" ref="G55" si="507">IFERROR(G54/$C51,"-")</f>
        <v>-</v>
      </c>
      <c r="H55" s="367" t="str">
        <f t="shared" ref="H55" si="508">IFERROR(H54/$C51,"-")</f>
        <v>-</v>
      </c>
      <c r="I55" s="367" t="str">
        <f t="shared" ref="I55" si="509">IFERROR(I54/$C51,"-")</f>
        <v>-</v>
      </c>
      <c r="J55" s="367" t="str">
        <f t="shared" ref="J55" si="510">IFERROR(J54/$C51,"-")</f>
        <v>-</v>
      </c>
      <c r="K55" s="367" t="str">
        <f t="shared" ref="K55" si="511">IFERROR(K54/$C51,"-")</f>
        <v>-</v>
      </c>
      <c r="L55" s="367" t="str">
        <f t="shared" ref="L55" si="512">IFERROR(L54/$C51,"-")</f>
        <v>-</v>
      </c>
      <c r="M55" s="367" t="str">
        <f t="shared" ref="M55" si="513">IFERROR(M54/$C51,"-")</f>
        <v>-</v>
      </c>
      <c r="N55" s="367" t="str">
        <f t="shared" ref="N55" si="514">IFERROR(N54/$C51,"-")</f>
        <v>-</v>
      </c>
      <c r="O55" s="367" t="str">
        <f t="shared" ref="O55" si="515">IFERROR(O54/$C51,"-")</f>
        <v>-</v>
      </c>
      <c r="P55" s="367" t="str">
        <f t="shared" ref="P55" si="516">IFERROR(P54/$C51,"-")</f>
        <v>-</v>
      </c>
      <c r="Q55" s="367" t="str">
        <f t="shared" ref="Q55" si="517">IFERROR(Q54/$C51,"-")</f>
        <v>-</v>
      </c>
      <c r="R55" s="367" t="str">
        <f t="shared" ref="R55" si="518">IFERROR(R54/$C51,"-")</f>
        <v>-</v>
      </c>
      <c r="S55" s="367" t="str">
        <f t="shared" ref="S55" si="519">IFERROR(S54/$C51,"-")</f>
        <v>-</v>
      </c>
      <c r="T55" s="367" t="str">
        <f t="shared" ref="T55" si="520">IFERROR(T54/$C51,"-")</f>
        <v>-</v>
      </c>
      <c r="U55" s="367" t="str">
        <f t="shared" ref="U55" si="521">IFERROR(U54/$C51,"-")</f>
        <v>-</v>
      </c>
      <c r="V55" s="367" t="str">
        <f t="shared" ref="V55" si="522">IFERROR(V54/$C51,"-")</f>
        <v>-</v>
      </c>
      <c r="W55" s="367" t="str">
        <f t="shared" ref="W55" si="523">IFERROR(W54/$C51,"-")</f>
        <v>-</v>
      </c>
      <c r="X55" s="367" t="str">
        <f t="shared" ref="X55" si="524">IFERROR(X54/$C51,"-")</f>
        <v>-</v>
      </c>
      <c r="Y55" s="367" t="str">
        <f t="shared" ref="Y55" si="525">IFERROR(Y54/$C51,"-")</f>
        <v>-</v>
      </c>
      <c r="Z55" s="367" t="str">
        <f t="shared" ref="Z55" si="526">IFERROR(Z54/$C51,"-")</f>
        <v>-</v>
      </c>
      <c r="AA55" s="367" t="str">
        <f t="shared" ref="AA55" si="527">IFERROR(AA54/$C51,"-")</f>
        <v>-</v>
      </c>
      <c r="AB55" s="367" t="str">
        <f t="shared" ref="AB55" si="528">IFERROR(AB54/$C51,"-")</f>
        <v>-</v>
      </c>
      <c r="AC55" s="367" t="str">
        <f t="shared" ref="AC55" si="529">IFERROR(AC54/$C51,"-")</f>
        <v>-</v>
      </c>
      <c r="AD55" s="367" t="str">
        <f t="shared" ref="AD55" si="530">IFERROR(AD54/$C51,"-")</f>
        <v>-</v>
      </c>
      <c r="AE55" s="367" t="str">
        <f t="shared" ref="AE55" si="531">IFERROR(AE54/$C51,"-")</f>
        <v>-</v>
      </c>
      <c r="AF55" s="367" t="str">
        <f t="shared" ref="AF55" si="532">IFERROR(AF54/$C51,"-")</f>
        <v>-</v>
      </c>
      <c r="AG55" s="367" t="str">
        <f t="shared" ref="AG55" si="533">IFERROR(AG54/$C51,"-")</f>
        <v>-</v>
      </c>
      <c r="AH55" s="367" t="str">
        <f t="shared" ref="AH55" si="534">IFERROR(AH54/$C51,"-")</f>
        <v>-</v>
      </c>
      <c r="AI55" s="367" t="str">
        <f t="shared" ref="AI55" si="535">IFERROR(AI54/$C51,"-")</f>
        <v>-</v>
      </c>
      <c r="AJ55" s="367" t="str">
        <f t="shared" ref="AJ55" si="536">IFERROR(AJ54/$C51,"-")</f>
        <v>-</v>
      </c>
      <c r="AK55" s="367" t="str">
        <f t="shared" ref="AK55" si="537">IFERROR(AK54/$C51,"-")</f>
        <v>-</v>
      </c>
      <c r="AL55" s="367" t="str">
        <f t="shared" ref="AL55" si="538">IFERROR(AL54/$C51,"-")</f>
        <v>-</v>
      </c>
      <c r="AM55" s="367" t="str">
        <f t="shared" ref="AM55" si="539">IFERROR(AM54/$C51,"-")</f>
        <v>-</v>
      </c>
      <c r="AN55" s="367" t="str">
        <f t="shared" ref="AN55" si="540">IFERROR(AN54/$C51,"-")</f>
        <v>-</v>
      </c>
      <c r="AO55" s="367" t="str">
        <f t="shared" ref="AO55" si="541">IFERROR(AO54/$C51,"-")</f>
        <v>-</v>
      </c>
      <c r="AP55" s="367" t="str">
        <f t="shared" ref="AP55" si="542">IFERROR(AP54/$C51,"-")</f>
        <v>-</v>
      </c>
      <c r="AQ55" s="367" t="str">
        <f t="shared" ref="AQ55" si="543">IFERROR(AQ54/$C51,"-")</f>
        <v>-</v>
      </c>
      <c r="AR55" s="367" t="str">
        <f t="shared" ref="AR55" si="544">IFERROR(AR54/$C51,"-")</f>
        <v>-</v>
      </c>
      <c r="AS55" s="367" t="str">
        <f t="shared" ref="AS55" si="545">IFERROR(AS54/$C51,"-")</f>
        <v>-</v>
      </c>
      <c r="AT55" s="367" t="str">
        <f t="shared" ref="AT55" si="546">IFERROR(AT54/$C51,"-")</f>
        <v>-</v>
      </c>
      <c r="AU55" s="367" t="str">
        <f t="shared" ref="AU55" si="547">IFERROR(AU54/$C51,"-")</f>
        <v>-</v>
      </c>
      <c r="AV55" s="367" t="str">
        <f t="shared" ref="AV55" si="548">IFERROR(AV54/$C51,"-")</f>
        <v>-</v>
      </c>
      <c r="AW55" s="367" t="str">
        <f t="shared" ref="AW55" si="549">IFERROR(AW54/$C51,"-")</f>
        <v>-</v>
      </c>
      <c r="AX55" s="367" t="str">
        <f t="shared" ref="AX55" si="550">IFERROR(AX54/$C51,"-")</f>
        <v>-</v>
      </c>
      <c r="AY55" s="367" t="str">
        <f t="shared" ref="AY55" si="551">IFERROR(AY54/$C51,"-")</f>
        <v>-</v>
      </c>
      <c r="AZ55" s="367" t="str">
        <f t="shared" ref="AZ55" si="552">IFERROR(AZ54/$C51,"-")</f>
        <v>-</v>
      </c>
      <c r="BA55" s="367" t="str">
        <f t="shared" ref="BA55" si="553">IFERROR(BA54/$C51,"-")</f>
        <v>-</v>
      </c>
      <c r="BB55" s="368" t="str">
        <f t="shared" ref="BB55" si="554">IFERROR(BB54/$C51,"-")</f>
        <v>-</v>
      </c>
    </row>
    <row r="56" spans="1:54" ht="17.25" customHeight="1" thickBot="1">
      <c r="J56" s="6"/>
      <c r="K56" s="6"/>
      <c r="L56" s="6"/>
      <c r="M56" s="6"/>
      <c r="O56" s="5"/>
      <c r="P56" s="5"/>
      <c r="Q56" s="5"/>
      <c r="R56" s="5"/>
    </row>
    <row r="57" spans="1:54" ht="18" thickBot="1">
      <c r="A57"/>
      <c r="B57" s="533" t="s">
        <v>297</v>
      </c>
      <c r="C57" s="534"/>
      <c r="D57" s="32"/>
      <c r="E57" s="275"/>
      <c r="J57" s="6"/>
      <c r="K57" s="6"/>
      <c r="L57" s="6"/>
      <c r="M57" s="6"/>
    </row>
    <row r="58" spans="1:54" ht="15.75" thickBot="1">
      <c r="B58" s="360" t="s">
        <v>11</v>
      </c>
      <c r="C58" s="369">
        <v>0</v>
      </c>
      <c r="D58" s="364"/>
      <c r="E58" s="365">
        <f t="shared" ref="E58:AJ58" si="555">E$9</f>
        <v>2024</v>
      </c>
      <c r="F58" s="279">
        <f t="shared" si="555"/>
        <v>2025</v>
      </c>
      <c r="G58" s="279">
        <f t="shared" si="555"/>
        <v>2026</v>
      </c>
      <c r="H58" s="279">
        <f t="shared" si="555"/>
        <v>2027</v>
      </c>
      <c r="I58" s="279">
        <f t="shared" si="555"/>
        <v>2028</v>
      </c>
      <c r="J58" s="279">
        <f t="shared" si="555"/>
        <v>2029</v>
      </c>
      <c r="K58" s="279">
        <f t="shared" si="555"/>
        <v>2030</v>
      </c>
      <c r="L58" s="279">
        <f t="shared" si="555"/>
        <v>2031</v>
      </c>
      <c r="M58" s="279">
        <f t="shared" si="555"/>
        <v>2032</v>
      </c>
      <c r="N58" s="279">
        <f t="shared" si="555"/>
        <v>2033</v>
      </c>
      <c r="O58" s="279">
        <f t="shared" si="555"/>
        <v>2034</v>
      </c>
      <c r="P58" s="279">
        <f t="shared" si="555"/>
        <v>2035</v>
      </c>
      <c r="Q58" s="279">
        <f t="shared" si="555"/>
        <v>2036</v>
      </c>
      <c r="R58" s="279">
        <f t="shared" si="555"/>
        <v>2037</v>
      </c>
      <c r="S58" s="279">
        <f t="shared" si="555"/>
        <v>2038</v>
      </c>
      <c r="T58" s="279">
        <f t="shared" si="555"/>
        <v>2039</v>
      </c>
      <c r="U58" s="279">
        <f t="shared" si="555"/>
        <v>2040</v>
      </c>
      <c r="V58" s="279">
        <f t="shared" si="555"/>
        <v>2041</v>
      </c>
      <c r="W58" s="279">
        <f t="shared" si="555"/>
        <v>2042</v>
      </c>
      <c r="X58" s="279">
        <f t="shared" si="555"/>
        <v>2043</v>
      </c>
      <c r="Y58" s="279">
        <f t="shared" si="555"/>
        <v>2044</v>
      </c>
      <c r="Z58" s="279">
        <f t="shared" si="555"/>
        <v>2045</v>
      </c>
      <c r="AA58" s="279">
        <f t="shared" si="555"/>
        <v>2046</v>
      </c>
      <c r="AB58" s="279">
        <f t="shared" si="555"/>
        <v>2047</v>
      </c>
      <c r="AC58" s="279">
        <f t="shared" si="555"/>
        <v>2048</v>
      </c>
      <c r="AD58" s="279">
        <f t="shared" si="555"/>
        <v>2049</v>
      </c>
      <c r="AE58" s="279">
        <f t="shared" si="555"/>
        <v>2050</v>
      </c>
      <c r="AF58" s="279">
        <f t="shared" si="555"/>
        <v>2051</v>
      </c>
      <c r="AG58" s="279">
        <f t="shared" si="555"/>
        <v>2052</v>
      </c>
      <c r="AH58" s="279">
        <f t="shared" si="555"/>
        <v>2053</v>
      </c>
      <c r="AI58" s="279">
        <f t="shared" si="555"/>
        <v>2054</v>
      </c>
      <c r="AJ58" s="279">
        <f t="shared" si="555"/>
        <v>2055</v>
      </c>
      <c r="AK58" s="279">
        <f t="shared" ref="AK58:BB58" si="556">AK$9</f>
        <v>2056</v>
      </c>
      <c r="AL58" s="279">
        <f t="shared" si="556"/>
        <v>2057</v>
      </c>
      <c r="AM58" s="279">
        <f t="shared" si="556"/>
        <v>2058</v>
      </c>
      <c r="AN58" s="279">
        <f t="shared" si="556"/>
        <v>2059</v>
      </c>
      <c r="AO58" s="279">
        <f t="shared" si="556"/>
        <v>2060</v>
      </c>
      <c r="AP58" s="279">
        <f t="shared" si="556"/>
        <v>2061</v>
      </c>
      <c r="AQ58" s="279">
        <f t="shared" si="556"/>
        <v>2062</v>
      </c>
      <c r="AR58" s="279">
        <f t="shared" si="556"/>
        <v>2063</v>
      </c>
      <c r="AS58" s="279">
        <f t="shared" si="556"/>
        <v>2064</v>
      </c>
      <c r="AT58" s="279">
        <f t="shared" si="556"/>
        <v>2065</v>
      </c>
      <c r="AU58" s="279">
        <f t="shared" si="556"/>
        <v>2066</v>
      </c>
      <c r="AV58" s="279">
        <f t="shared" si="556"/>
        <v>2067</v>
      </c>
      <c r="AW58" s="279">
        <f t="shared" si="556"/>
        <v>2068</v>
      </c>
      <c r="AX58" s="279">
        <f t="shared" si="556"/>
        <v>2069</v>
      </c>
      <c r="AY58" s="279">
        <f t="shared" si="556"/>
        <v>2070</v>
      </c>
      <c r="AZ58" s="279">
        <f t="shared" si="556"/>
        <v>2071</v>
      </c>
      <c r="BA58" s="279">
        <f t="shared" si="556"/>
        <v>2072</v>
      </c>
      <c r="BB58" s="280">
        <f t="shared" si="556"/>
        <v>2073</v>
      </c>
    </row>
    <row r="59" spans="1:54">
      <c r="A59"/>
      <c r="B59" s="485" t="s">
        <v>261</v>
      </c>
      <c r="C59" s="535"/>
      <c r="D59" s="486"/>
      <c r="E59" s="307">
        <v>0</v>
      </c>
      <c r="F59" s="281">
        <f>E61</f>
        <v>0</v>
      </c>
      <c r="G59" s="281">
        <f t="shared" ref="G59" si="557">F61</f>
        <v>0</v>
      </c>
      <c r="H59" s="281">
        <f t="shared" ref="H59" si="558">G61</f>
        <v>0</v>
      </c>
      <c r="I59" s="281">
        <f t="shared" ref="I59" si="559">H61</f>
        <v>0</v>
      </c>
      <c r="J59" s="281">
        <f t="shared" ref="J59" si="560">I61</f>
        <v>0</v>
      </c>
      <c r="K59" s="281">
        <f t="shared" ref="K59" si="561">J61</f>
        <v>0</v>
      </c>
      <c r="L59" s="281">
        <f t="shared" ref="L59" si="562">K61</f>
        <v>0</v>
      </c>
      <c r="M59" s="281">
        <f t="shared" ref="M59" si="563">L61</f>
        <v>0</v>
      </c>
      <c r="N59" s="281">
        <f t="shared" ref="N59" si="564">M61</f>
        <v>0</v>
      </c>
      <c r="O59" s="281">
        <f t="shared" ref="O59" si="565">N61</f>
        <v>0</v>
      </c>
      <c r="P59" s="281">
        <f t="shared" ref="P59" si="566">O61</f>
        <v>0</v>
      </c>
      <c r="Q59" s="281">
        <f t="shared" ref="Q59" si="567">P61</f>
        <v>0</v>
      </c>
      <c r="R59" s="281">
        <f t="shared" ref="R59" si="568">Q61</f>
        <v>0</v>
      </c>
      <c r="S59" s="281">
        <f t="shared" ref="S59" si="569">R61</f>
        <v>0</v>
      </c>
      <c r="T59" s="281">
        <f t="shared" ref="T59" si="570">S61</f>
        <v>0</v>
      </c>
      <c r="U59" s="281">
        <f t="shared" ref="U59" si="571">T61</f>
        <v>0</v>
      </c>
      <c r="V59" s="281">
        <f t="shared" ref="V59" si="572">U61</f>
        <v>0</v>
      </c>
      <c r="W59" s="281">
        <f t="shared" ref="W59" si="573">V61</f>
        <v>0</v>
      </c>
      <c r="X59" s="281">
        <f t="shared" ref="X59" si="574">W61</f>
        <v>0</v>
      </c>
      <c r="Y59" s="281">
        <f t="shared" ref="Y59" si="575">X61</f>
        <v>0</v>
      </c>
      <c r="Z59" s="281">
        <f t="shared" ref="Z59" si="576">Y61</f>
        <v>0</v>
      </c>
      <c r="AA59" s="281">
        <f t="shared" ref="AA59" si="577">Z61</f>
        <v>0</v>
      </c>
      <c r="AB59" s="281">
        <f t="shared" ref="AB59" si="578">AA61</f>
        <v>0</v>
      </c>
      <c r="AC59" s="281">
        <f t="shared" ref="AC59" si="579">AB61</f>
        <v>0</v>
      </c>
      <c r="AD59" s="281">
        <f t="shared" ref="AD59" si="580">AC61</f>
        <v>0</v>
      </c>
      <c r="AE59" s="281">
        <f t="shared" ref="AE59" si="581">AD61</f>
        <v>0</v>
      </c>
      <c r="AF59" s="281">
        <f t="shared" ref="AF59" si="582">AE61</f>
        <v>0</v>
      </c>
      <c r="AG59" s="281">
        <f t="shared" ref="AG59" si="583">AF61</f>
        <v>0</v>
      </c>
      <c r="AH59" s="281">
        <f t="shared" ref="AH59" si="584">AG61</f>
        <v>0</v>
      </c>
      <c r="AI59" s="281">
        <f t="shared" ref="AI59" si="585">AH61</f>
        <v>0</v>
      </c>
      <c r="AJ59" s="281">
        <f t="shared" ref="AJ59" si="586">AI61</f>
        <v>0</v>
      </c>
      <c r="AK59" s="281">
        <f t="shared" ref="AK59" si="587">AJ61</f>
        <v>0</v>
      </c>
      <c r="AL59" s="281">
        <f t="shared" ref="AL59" si="588">AK61</f>
        <v>0</v>
      </c>
      <c r="AM59" s="281">
        <f t="shared" ref="AM59" si="589">AL61</f>
        <v>0</v>
      </c>
      <c r="AN59" s="281">
        <f t="shared" ref="AN59" si="590">AM61</f>
        <v>0</v>
      </c>
      <c r="AO59" s="281">
        <f t="shared" ref="AO59" si="591">AN61</f>
        <v>0</v>
      </c>
      <c r="AP59" s="281">
        <f t="shared" ref="AP59" si="592">AO61</f>
        <v>0</v>
      </c>
      <c r="AQ59" s="281">
        <f t="shared" ref="AQ59" si="593">AP61</f>
        <v>0</v>
      </c>
      <c r="AR59" s="281">
        <f t="shared" ref="AR59" si="594">AQ61</f>
        <v>0</v>
      </c>
      <c r="AS59" s="281">
        <f t="shared" ref="AS59" si="595">AR61</f>
        <v>0</v>
      </c>
      <c r="AT59" s="281">
        <f t="shared" ref="AT59" si="596">AS61</f>
        <v>0</v>
      </c>
      <c r="AU59" s="281">
        <f t="shared" ref="AU59" si="597">AT61</f>
        <v>0</v>
      </c>
      <c r="AV59" s="281">
        <f t="shared" ref="AV59" si="598">AU61</f>
        <v>0</v>
      </c>
      <c r="AW59" s="281">
        <f t="shared" ref="AW59" si="599">AV61</f>
        <v>0</v>
      </c>
      <c r="AX59" s="281">
        <f t="shared" ref="AX59" si="600">AW61</f>
        <v>0</v>
      </c>
      <c r="AY59" s="281">
        <f t="shared" ref="AY59" si="601">AX61</f>
        <v>0</v>
      </c>
      <c r="AZ59" s="281">
        <f t="shared" ref="AZ59" si="602">AY61</f>
        <v>0</v>
      </c>
      <c r="BA59" s="281">
        <f t="shared" ref="BA59" si="603">AZ61</f>
        <v>0</v>
      </c>
      <c r="BB59" s="282">
        <f t="shared" ref="BB59" si="604">BA61</f>
        <v>0</v>
      </c>
    </row>
    <row r="60" spans="1:54">
      <c r="A60"/>
      <c r="B60" s="479" t="s">
        <v>99</v>
      </c>
      <c r="C60" s="536"/>
      <c r="D60" s="480"/>
      <c r="E60" s="289">
        <f>Cockpit!$H$31</f>
        <v>0.03</v>
      </c>
      <c r="F60" s="289">
        <f>Cockpit!$H$31</f>
        <v>0.03</v>
      </c>
      <c r="G60" s="289">
        <f>Cockpit!$H$31</f>
        <v>0.03</v>
      </c>
      <c r="H60" s="289">
        <f>Cockpit!$H$31</f>
        <v>0.03</v>
      </c>
      <c r="I60" s="289">
        <f>Cockpit!$H$31</f>
        <v>0.03</v>
      </c>
      <c r="J60" s="289">
        <f>Cockpit!$H$31</f>
        <v>0.03</v>
      </c>
      <c r="K60" s="289">
        <f>Cockpit!$H$31</f>
        <v>0.03</v>
      </c>
      <c r="L60" s="289">
        <f>Cockpit!$H$31</f>
        <v>0.03</v>
      </c>
      <c r="M60" s="289">
        <f>Cockpit!$H$31</f>
        <v>0.03</v>
      </c>
      <c r="N60" s="289">
        <f>Cockpit!$H$31</f>
        <v>0.03</v>
      </c>
      <c r="O60" s="289">
        <f>Cockpit!$H$31</f>
        <v>0.03</v>
      </c>
      <c r="P60" s="289">
        <f>Cockpit!$H$31</f>
        <v>0.03</v>
      </c>
      <c r="Q60" s="289">
        <f>Cockpit!$H$31</f>
        <v>0.03</v>
      </c>
      <c r="R60" s="289">
        <f>Cockpit!$H$31</f>
        <v>0.03</v>
      </c>
      <c r="S60" s="289">
        <f>Cockpit!$H$31</f>
        <v>0.03</v>
      </c>
      <c r="T60" s="289">
        <f>Cockpit!$H$31</f>
        <v>0.03</v>
      </c>
      <c r="U60" s="289">
        <f>Cockpit!$H$31</f>
        <v>0.03</v>
      </c>
      <c r="V60" s="289">
        <f>Cockpit!$H$31</f>
        <v>0.03</v>
      </c>
      <c r="W60" s="289">
        <f>Cockpit!$H$31</f>
        <v>0.03</v>
      </c>
      <c r="X60" s="289">
        <f>Cockpit!$H$31</f>
        <v>0.03</v>
      </c>
      <c r="Y60" s="289">
        <f>Cockpit!$H$31</f>
        <v>0.03</v>
      </c>
      <c r="Z60" s="289">
        <f>Cockpit!$H$31</f>
        <v>0.03</v>
      </c>
      <c r="AA60" s="289">
        <f>Cockpit!$H$31</f>
        <v>0.03</v>
      </c>
      <c r="AB60" s="289">
        <f>Cockpit!$H$31</f>
        <v>0.03</v>
      </c>
      <c r="AC60" s="289">
        <f>Cockpit!$H$31</f>
        <v>0.03</v>
      </c>
      <c r="AD60" s="289">
        <f>Cockpit!$H$31</f>
        <v>0.03</v>
      </c>
      <c r="AE60" s="289">
        <f>Cockpit!$H$31</f>
        <v>0.03</v>
      </c>
      <c r="AF60" s="289">
        <f>Cockpit!$H$31</f>
        <v>0.03</v>
      </c>
      <c r="AG60" s="289">
        <f>Cockpit!$H$31</f>
        <v>0.03</v>
      </c>
      <c r="AH60" s="289">
        <f>Cockpit!$H$31</f>
        <v>0.03</v>
      </c>
      <c r="AI60" s="289">
        <f>Cockpit!$H$31</f>
        <v>0.03</v>
      </c>
      <c r="AJ60" s="289">
        <f>Cockpit!$H$31</f>
        <v>0.03</v>
      </c>
      <c r="AK60" s="289">
        <f>Cockpit!$H$31</f>
        <v>0.03</v>
      </c>
      <c r="AL60" s="289">
        <f>Cockpit!$H$31</f>
        <v>0.03</v>
      </c>
      <c r="AM60" s="289">
        <f>Cockpit!$H$31</f>
        <v>0.03</v>
      </c>
      <c r="AN60" s="289">
        <f>Cockpit!$H$31</f>
        <v>0.03</v>
      </c>
      <c r="AO60" s="289">
        <f>Cockpit!$H$31</f>
        <v>0.03</v>
      </c>
      <c r="AP60" s="289">
        <f>Cockpit!$H$31</f>
        <v>0.03</v>
      </c>
      <c r="AQ60" s="289">
        <f>Cockpit!$H$31</f>
        <v>0.03</v>
      </c>
      <c r="AR60" s="289">
        <f>Cockpit!$H$31</f>
        <v>0.03</v>
      </c>
      <c r="AS60" s="289">
        <f>Cockpit!$H$31</f>
        <v>0.03</v>
      </c>
      <c r="AT60" s="289">
        <f>Cockpit!$H$31</f>
        <v>0.03</v>
      </c>
      <c r="AU60" s="289">
        <f>Cockpit!$H$31</f>
        <v>0.03</v>
      </c>
      <c r="AV60" s="289">
        <f>Cockpit!$H$31</f>
        <v>0.03</v>
      </c>
      <c r="AW60" s="289">
        <f>Cockpit!$H$31</f>
        <v>0.03</v>
      </c>
      <c r="AX60" s="289">
        <f>Cockpit!$H$31</f>
        <v>0.03</v>
      </c>
      <c r="AY60" s="289">
        <f>Cockpit!$H$31</f>
        <v>0.03</v>
      </c>
      <c r="AZ60" s="289">
        <f>Cockpit!$H$31</f>
        <v>0.03</v>
      </c>
      <c r="BA60" s="289">
        <f>Cockpit!$H$31</f>
        <v>0.03</v>
      </c>
      <c r="BB60" s="290">
        <f>Cockpit!$H$31</f>
        <v>0.03</v>
      </c>
    </row>
    <row r="61" spans="1:54">
      <c r="B61" s="479" t="s">
        <v>67</v>
      </c>
      <c r="C61" s="536"/>
      <c r="D61" s="480"/>
      <c r="E61" s="10">
        <f t="shared" ref="E61:BB61" si="605">E59*(1+E60)</f>
        <v>0</v>
      </c>
      <c r="F61" s="10">
        <f t="shared" si="605"/>
        <v>0</v>
      </c>
      <c r="G61" s="10">
        <f t="shared" si="605"/>
        <v>0</v>
      </c>
      <c r="H61" s="10">
        <f t="shared" si="605"/>
        <v>0</v>
      </c>
      <c r="I61" s="10">
        <f t="shared" si="605"/>
        <v>0</v>
      </c>
      <c r="J61" s="10">
        <f t="shared" si="605"/>
        <v>0</v>
      </c>
      <c r="K61" s="10">
        <f t="shared" si="605"/>
        <v>0</v>
      </c>
      <c r="L61" s="10">
        <f t="shared" si="605"/>
        <v>0</v>
      </c>
      <c r="M61" s="10">
        <f t="shared" si="605"/>
        <v>0</v>
      </c>
      <c r="N61" s="10">
        <f t="shared" si="605"/>
        <v>0</v>
      </c>
      <c r="O61" s="10">
        <f t="shared" si="605"/>
        <v>0</v>
      </c>
      <c r="P61" s="10">
        <f t="shared" si="605"/>
        <v>0</v>
      </c>
      <c r="Q61" s="10">
        <f t="shared" si="605"/>
        <v>0</v>
      </c>
      <c r="R61" s="10">
        <f t="shared" si="605"/>
        <v>0</v>
      </c>
      <c r="S61" s="10">
        <f t="shared" si="605"/>
        <v>0</v>
      </c>
      <c r="T61" s="10">
        <f t="shared" si="605"/>
        <v>0</v>
      </c>
      <c r="U61" s="10">
        <f t="shared" si="605"/>
        <v>0</v>
      </c>
      <c r="V61" s="10">
        <f t="shared" si="605"/>
        <v>0</v>
      </c>
      <c r="W61" s="10">
        <f t="shared" si="605"/>
        <v>0</v>
      </c>
      <c r="X61" s="10">
        <f t="shared" si="605"/>
        <v>0</v>
      </c>
      <c r="Y61" s="10">
        <f t="shared" si="605"/>
        <v>0</v>
      </c>
      <c r="Z61" s="10">
        <f t="shared" si="605"/>
        <v>0</v>
      </c>
      <c r="AA61" s="10">
        <f t="shared" si="605"/>
        <v>0</v>
      </c>
      <c r="AB61" s="10">
        <f t="shared" si="605"/>
        <v>0</v>
      </c>
      <c r="AC61" s="10">
        <f t="shared" si="605"/>
        <v>0</v>
      </c>
      <c r="AD61" s="10">
        <f t="shared" si="605"/>
        <v>0</v>
      </c>
      <c r="AE61" s="10">
        <f t="shared" si="605"/>
        <v>0</v>
      </c>
      <c r="AF61" s="10">
        <f t="shared" si="605"/>
        <v>0</v>
      </c>
      <c r="AG61" s="10">
        <f t="shared" si="605"/>
        <v>0</v>
      </c>
      <c r="AH61" s="10">
        <f t="shared" si="605"/>
        <v>0</v>
      </c>
      <c r="AI61" s="10">
        <f t="shared" si="605"/>
        <v>0</v>
      </c>
      <c r="AJ61" s="10">
        <f t="shared" si="605"/>
        <v>0</v>
      </c>
      <c r="AK61" s="10">
        <f t="shared" si="605"/>
        <v>0</v>
      </c>
      <c r="AL61" s="10">
        <f t="shared" si="605"/>
        <v>0</v>
      </c>
      <c r="AM61" s="10">
        <f t="shared" si="605"/>
        <v>0</v>
      </c>
      <c r="AN61" s="10">
        <f t="shared" si="605"/>
        <v>0</v>
      </c>
      <c r="AO61" s="10">
        <f t="shared" si="605"/>
        <v>0</v>
      </c>
      <c r="AP61" s="10">
        <f t="shared" si="605"/>
        <v>0</v>
      </c>
      <c r="AQ61" s="10">
        <f t="shared" si="605"/>
        <v>0</v>
      </c>
      <c r="AR61" s="10">
        <f t="shared" si="605"/>
        <v>0</v>
      </c>
      <c r="AS61" s="10">
        <f t="shared" si="605"/>
        <v>0</v>
      </c>
      <c r="AT61" s="10">
        <f t="shared" si="605"/>
        <v>0</v>
      </c>
      <c r="AU61" s="10">
        <f t="shared" si="605"/>
        <v>0</v>
      </c>
      <c r="AV61" s="10">
        <f t="shared" si="605"/>
        <v>0</v>
      </c>
      <c r="AW61" s="10">
        <f t="shared" si="605"/>
        <v>0</v>
      </c>
      <c r="AX61" s="10">
        <f t="shared" si="605"/>
        <v>0</v>
      </c>
      <c r="AY61" s="10">
        <f t="shared" si="605"/>
        <v>0</v>
      </c>
      <c r="AZ61" s="10">
        <f t="shared" si="605"/>
        <v>0</v>
      </c>
      <c r="BA61" s="10">
        <f t="shared" si="605"/>
        <v>0</v>
      </c>
      <c r="BB61" s="283">
        <f t="shared" si="605"/>
        <v>0</v>
      </c>
    </row>
    <row r="62" spans="1:54" ht="15.75" thickBot="1">
      <c r="B62" s="492" t="s">
        <v>301</v>
      </c>
      <c r="C62" s="537"/>
      <c r="D62" s="493"/>
      <c r="E62" s="367" t="str">
        <f>IFERROR(E61/$C58,"-")</f>
        <v>-</v>
      </c>
      <c r="F62" s="367" t="str">
        <f>IFERROR(F61/$C58,"-")</f>
        <v>-</v>
      </c>
      <c r="G62" s="367" t="str">
        <f t="shared" ref="G62" si="606">IFERROR(G61/$C58,"-")</f>
        <v>-</v>
      </c>
      <c r="H62" s="367" t="str">
        <f t="shared" ref="H62" si="607">IFERROR(H61/$C58,"-")</f>
        <v>-</v>
      </c>
      <c r="I62" s="367" t="str">
        <f t="shared" ref="I62" si="608">IFERROR(I61/$C58,"-")</f>
        <v>-</v>
      </c>
      <c r="J62" s="367" t="str">
        <f t="shared" ref="J62" si="609">IFERROR(J61/$C58,"-")</f>
        <v>-</v>
      </c>
      <c r="K62" s="367" t="str">
        <f t="shared" ref="K62" si="610">IFERROR(K61/$C58,"-")</f>
        <v>-</v>
      </c>
      <c r="L62" s="367" t="str">
        <f t="shared" ref="L62" si="611">IFERROR(L61/$C58,"-")</f>
        <v>-</v>
      </c>
      <c r="M62" s="367" t="str">
        <f t="shared" ref="M62" si="612">IFERROR(M61/$C58,"-")</f>
        <v>-</v>
      </c>
      <c r="N62" s="367" t="str">
        <f t="shared" ref="N62" si="613">IFERROR(N61/$C58,"-")</f>
        <v>-</v>
      </c>
      <c r="O62" s="367" t="str">
        <f t="shared" ref="O62" si="614">IFERROR(O61/$C58,"-")</f>
        <v>-</v>
      </c>
      <c r="P62" s="367" t="str">
        <f t="shared" ref="P62" si="615">IFERROR(P61/$C58,"-")</f>
        <v>-</v>
      </c>
      <c r="Q62" s="367" t="str">
        <f t="shared" ref="Q62" si="616">IFERROR(Q61/$C58,"-")</f>
        <v>-</v>
      </c>
      <c r="R62" s="367" t="str">
        <f t="shared" ref="R62" si="617">IFERROR(R61/$C58,"-")</f>
        <v>-</v>
      </c>
      <c r="S62" s="367" t="str">
        <f t="shared" ref="S62" si="618">IFERROR(S61/$C58,"-")</f>
        <v>-</v>
      </c>
      <c r="T62" s="367" t="str">
        <f t="shared" ref="T62" si="619">IFERROR(T61/$C58,"-")</f>
        <v>-</v>
      </c>
      <c r="U62" s="367" t="str">
        <f t="shared" ref="U62" si="620">IFERROR(U61/$C58,"-")</f>
        <v>-</v>
      </c>
      <c r="V62" s="367" t="str">
        <f t="shared" ref="V62" si="621">IFERROR(V61/$C58,"-")</f>
        <v>-</v>
      </c>
      <c r="W62" s="367" t="str">
        <f t="shared" ref="W62" si="622">IFERROR(W61/$C58,"-")</f>
        <v>-</v>
      </c>
      <c r="X62" s="367" t="str">
        <f t="shared" ref="X62" si="623">IFERROR(X61/$C58,"-")</f>
        <v>-</v>
      </c>
      <c r="Y62" s="367" t="str">
        <f t="shared" ref="Y62" si="624">IFERROR(Y61/$C58,"-")</f>
        <v>-</v>
      </c>
      <c r="Z62" s="367" t="str">
        <f t="shared" ref="Z62" si="625">IFERROR(Z61/$C58,"-")</f>
        <v>-</v>
      </c>
      <c r="AA62" s="367" t="str">
        <f t="shared" ref="AA62" si="626">IFERROR(AA61/$C58,"-")</f>
        <v>-</v>
      </c>
      <c r="AB62" s="367" t="str">
        <f t="shared" ref="AB62" si="627">IFERROR(AB61/$C58,"-")</f>
        <v>-</v>
      </c>
      <c r="AC62" s="367" t="str">
        <f t="shared" ref="AC62" si="628">IFERROR(AC61/$C58,"-")</f>
        <v>-</v>
      </c>
      <c r="AD62" s="367" t="str">
        <f t="shared" ref="AD62" si="629">IFERROR(AD61/$C58,"-")</f>
        <v>-</v>
      </c>
      <c r="AE62" s="367" t="str">
        <f t="shared" ref="AE62" si="630">IFERROR(AE61/$C58,"-")</f>
        <v>-</v>
      </c>
      <c r="AF62" s="367" t="str">
        <f t="shared" ref="AF62" si="631">IFERROR(AF61/$C58,"-")</f>
        <v>-</v>
      </c>
      <c r="AG62" s="367" t="str">
        <f t="shared" ref="AG62" si="632">IFERROR(AG61/$C58,"-")</f>
        <v>-</v>
      </c>
      <c r="AH62" s="367" t="str">
        <f t="shared" ref="AH62" si="633">IFERROR(AH61/$C58,"-")</f>
        <v>-</v>
      </c>
      <c r="AI62" s="367" t="str">
        <f t="shared" ref="AI62" si="634">IFERROR(AI61/$C58,"-")</f>
        <v>-</v>
      </c>
      <c r="AJ62" s="367" t="str">
        <f t="shared" ref="AJ62" si="635">IFERROR(AJ61/$C58,"-")</f>
        <v>-</v>
      </c>
      <c r="AK62" s="367" t="str">
        <f t="shared" ref="AK62" si="636">IFERROR(AK61/$C58,"-")</f>
        <v>-</v>
      </c>
      <c r="AL62" s="367" t="str">
        <f t="shared" ref="AL62" si="637">IFERROR(AL61/$C58,"-")</f>
        <v>-</v>
      </c>
      <c r="AM62" s="367" t="str">
        <f t="shared" ref="AM62" si="638">IFERROR(AM61/$C58,"-")</f>
        <v>-</v>
      </c>
      <c r="AN62" s="367" t="str">
        <f t="shared" ref="AN62" si="639">IFERROR(AN61/$C58,"-")</f>
        <v>-</v>
      </c>
      <c r="AO62" s="367" t="str">
        <f t="shared" ref="AO62" si="640">IFERROR(AO61/$C58,"-")</f>
        <v>-</v>
      </c>
      <c r="AP62" s="367" t="str">
        <f t="shared" ref="AP62" si="641">IFERROR(AP61/$C58,"-")</f>
        <v>-</v>
      </c>
      <c r="AQ62" s="367" t="str">
        <f t="shared" ref="AQ62" si="642">IFERROR(AQ61/$C58,"-")</f>
        <v>-</v>
      </c>
      <c r="AR62" s="367" t="str">
        <f t="shared" ref="AR62" si="643">IFERROR(AR61/$C58,"-")</f>
        <v>-</v>
      </c>
      <c r="AS62" s="367" t="str">
        <f t="shared" ref="AS62" si="644">IFERROR(AS61/$C58,"-")</f>
        <v>-</v>
      </c>
      <c r="AT62" s="367" t="str">
        <f t="shared" ref="AT62" si="645">IFERROR(AT61/$C58,"-")</f>
        <v>-</v>
      </c>
      <c r="AU62" s="367" t="str">
        <f t="shared" ref="AU62" si="646">IFERROR(AU61/$C58,"-")</f>
        <v>-</v>
      </c>
      <c r="AV62" s="367" t="str">
        <f t="shared" ref="AV62" si="647">IFERROR(AV61/$C58,"-")</f>
        <v>-</v>
      </c>
      <c r="AW62" s="367" t="str">
        <f t="shared" ref="AW62" si="648">IFERROR(AW61/$C58,"-")</f>
        <v>-</v>
      </c>
      <c r="AX62" s="367" t="str">
        <f t="shared" ref="AX62" si="649">IFERROR(AX61/$C58,"-")</f>
        <v>-</v>
      </c>
      <c r="AY62" s="367" t="str">
        <f t="shared" ref="AY62" si="650">IFERROR(AY61/$C58,"-")</f>
        <v>-</v>
      </c>
      <c r="AZ62" s="367" t="str">
        <f t="shared" ref="AZ62" si="651">IFERROR(AZ61/$C58,"-")</f>
        <v>-</v>
      </c>
      <c r="BA62" s="367" t="str">
        <f t="shared" ref="BA62" si="652">IFERROR(BA61/$C58,"-")</f>
        <v>-</v>
      </c>
      <c r="BB62" s="368" t="str">
        <f t="shared" ref="BB62" si="653">IFERROR(BB61/$C58,"-")</f>
        <v>-</v>
      </c>
    </row>
    <row r="63" spans="1:54" ht="17.25" customHeight="1" thickBot="1">
      <c r="J63" s="6"/>
      <c r="K63" s="6"/>
      <c r="L63" s="6"/>
      <c r="M63" s="6"/>
      <c r="O63" s="5"/>
      <c r="P63" s="5"/>
      <c r="Q63" s="5"/>
      <c r="R63" s="5"/>
    </row>
    <row r="64" spans="1:54" ht="18" thickBot="1">
      <c r="A64"/>
      <c r="B64" s="533" t="s">
        <v>298</v>
      </c>
      <c r="C64" s="534"/>
      <c r="D64" s="32"/>
      <c r="E64" s="275"/>
      <c r="J64" s="6"/>
      <c r="K64" s="6"/>
      <c r="L64" s="6"/>
      <c r="M64" s="6"/>
    </row>
    <row r="65" spans="1:54" ht="15.75" thickBot="1">
      <c r="B65" s="360" t="s">
        <v>11</v>
      </c>
      <c r="C65" s="369">
        <v>0</v>
      </c>
      <c r="D65" s="364"/>
      <c r="E65" s="365">
        <f t="shared" ref="E65:AJ65" si="654">E$9</f>
        <v>2024</v>
      </c>
      <c r="F65" s="279">
        <f t="shared" si="654"/>
        <v>2025</v>
      </c>
      <c r="G65" s="279">
        <f t="shared" si="654"/>
        <v>2026</v>
      </c>
      <c r="H65" s="279">
        <f t="shared" si="654"/>
        <v>2027</v>
      </c>
      <c r="I65" s="279">
        <f t="shared" si="654"/>
        <v>2028</v>
      </c>
      <c r="J65" s="279">
        <f t="shared" si="654"/>
        <v>2029</v>
      </c>
      <c r="K65" s="279">
        <f t="shared" si="654"/>
        <v>2030</v>
      </c>
      <c r="L65" s="279">
        <f t="shared" si="654"/>
        <v>2031</v>
      </c>
      <c r="M65" s="279">
        <f t="shared" si="654"/>
        <v>2032</v>
      </c>
      <c r="N65" s="279">
        <f t="shared" si="654"/>
        <v>2033</v>
      </c>
      <c r="O65" s="279">
        <f t="shared" si="654"/>
        <v>2034</v>
      </c>
      <c r="P65" s="279">
        <f t="shared" si="654"/>
        <v>2035</v>
      </c>
      <c r="Q65" s="279">
        <f t="shared" si="654"/>
        <v>2036</v>
      </c>
      <c r="R65" s="279">
        <f t="shared" si="654"/>
        <v>2037</v>
      </c>
      <c r="S65" s="279">
        <f t="shared" si="654"/>
        <v>2038</v>
      </c>
      <c r="T65" s="279">
        <f t="shared" si="654"/>
        <v>2039</v>
      </c>
      <c r="U65" s="279">
        <f t="shared" si="654"/>
        <v>2040</v>
      </c>
      <c r="V65" s="279">
        <f t="shared" si="654"/>
        <v>2041</v>
      </c>
      <c r="W65" s="279">
        <f t="shared" si="654"/>
        <v>2042</v>
      </c>
      <c r="X65" s="279">
        <f t="shared" si="654"/>
        <v>2043</v>
      </c>
      <c r="Y65" s="279">
        <f t="shared" si="654"/>
        <v>2044</v>
      </c>
      <c r="Z65" s="279">
        <f t="shared" si="654"/>
        <v>2045</v>
      </c>
      <c r="AA65" s="279">
        <f t="shared" si="654"/>
        <v>2046</v>
      </c>
      <c r="AB65" s="279">
        <f t="shared" si="654"/>
        <v>2047</v>
      </c>
      <c r="AC65" s="279">
        <f t="shared" si="654"/>
        <v>2048</v>
      </c>
      <c r="AD65" s="279">
        <f t="shared" si="654"/>
        <v>2049</v>
      </c>
      <c r="AE65" s="279">
        <f t="shared" si="654"/>
        <v>2050</v>
      </c>
      <c r="AF65" s="279">
        <f t="shared" si="654"/>
        <v>2051</v>
      </c>
      <c r="AG65" s="279">
        <f t="shared" si="654"/>
        <v>2052</v>
      </c>
      <c r="AH65" s="279">
        <f t="shared" si="654"/>
        <v>2053</v>
      </c>
      <c r="AI65" s="279">
        <f t="shared" si="654"/>
        <v>2054</v>
      </c>
      <c r="AJ65" s="279">
        <f t="shared" si="654"/>
        <v>2055</v>
      </c>
      <c r="AK65" s="279">
        <f t="shared" ref="AK65:BB65" si="655">AK$9</f>
        <v>2056</v>
      </c>
      <c r="AL65" s="279">
        <f t="shared" si="655"/>
        <v>2057</v>
      </c>
      <c r="AM65" s="279">
        <f t="shared" si="655"/>
        <v>2058</v>
      </c>
      <c r="AN65" s="279">
        <f t="shared" si="655"/>
        <v>2059</v>
      </c>
      <c r="AO65" s="279">
        <f t="shared" si="655"/>
        <v>2060</v>
      </c>
      <c r="AP65" s="279">
        <f t="shared" si="655"/>
        <v>2061</v>
      </c>
      <c r="AQ65" s="279">
        <f t="shared" si="655"/>
        <v>2062</v>
      </c>
      <c r="AR65" s="279">
        <f t="shared" si="655"/>
        <v>2063</v>
      </c>
      <c r="AS65" s="279">
        <f t="shared" si="655"/>
        <v>2064</v>
      </c>
      <c r="AT65" s="279">
        <f t="shared" si="655"/>
        <v>2065</v>
      </c>
      <c r="AU65" s="279">
        <f t="shared" si="655"/>
        <v>2066</v>
      </c>
      <c r="AV65" s="279">
        <f t="shared" si="655"/>
        <v>2067</v>
      </c>
      <c r="AW65" s="279">
        <f t="shared" si="655"/>
        <v>2068</v>
      </c>
      <c r="AX65" s="279">
        <f t="shared" si="655"/>
        <v>2069</v>
      </c>
      <c r="AY65" s="279">
        <f t="shared" si="655"/>
        <v>2070</v>
      </c>
      <c r="AZ65" s="279">
        <f t="shared" si="655"/>
        <v>2071</v>
      </c>
      <c r="BA65" s="279">
        <f t="shared" si="655"/>
        <v>2072</v>
      </c>
      <c r="BB65" s="280">
        <f t="shared" si="655"/>
        <v>2073</v>
      </c>
    </row>
    <row r="66" spans="1:54">
      <c r="A66"/>
      <c r="B66" s="485" t="s">
        <v>261</v>
      </c>
      <c r="C66" s="535"/>
      <c r="D66" s="486"/>
      <c r="E66" s="307">
        <v>0</v>
      </c>
      <c r="F66" s="281">
        <f>E68</f>
        <v>0</v>
      </c>
      <c r="G66" s="281">
        <f t="shared" ref="G66" si="656">F68</f>
        <v>0</v>
      </c>
      <c r="H66" s="281">
        <f t="shared" ref="H66" si="657">G68</f>
        <v>0</v>
      </c>
      <c r="I66" s="281">
        <f t="shared" ref="I66" si="658">H68</f>
        <v>0</v>
      </c>
      <c r="J66" s="281">
        <f t="shared" ref="J66" si="659">I68</f>
        <v>0</v>
      </c>
      <c r="K66" s="281">
        <f t="shared" ref="K66" si="660">J68</f>
        <v>0</v>
      </c>
      <c r="L66" s="281">
        <f t="shared" ref="L66" si="661">K68</f>
        <v>0</v>
      </c>
      <c r="M66" s="281">
        <f t="shared" ref="M66" si="662">L68</f>
        <v>0</v>
      </c>
      <c r="N66" s="281">
        <f t="shared" ref="N66" si="663">M68</f>
        <v>0</v>
      </c>
      <c r="O66" s="281">
        <f t="shared" ref="O66" si="664">N68</f>
        <v>0</v>
      </c>
      <c r="P66" s="281">
        <f t="shared" ref="P66" si="665">O68</f>
        <v>0</v>
      </c>
      <c r="Q66" s="281">
        <f t="shared" ref="Q66" si="666">P68</f>
        <v>0</v>
      </c>
      <c r="R66" s="281">
        <f t="shared" ref="R66" si="667">Q68</f>
        <v>0</v>
      </c>
      <c r="S66" s="281">
        <f t="shared" ref="S66" si="668">R68</f>
        <v>0</v>
      </c>
      <c r="T66" s="281">
        <f t="shared" ref="T66" si="669">S68</f>
        <v>0</v>
      </c>
      <c r="U66" s="281">
        <f t="shared" ref="U66" si="670">T68</f>
        <v>0</v>
      </c>
      <c r="V66" s="281">
        <f t="shared" ref="V66" si="671">U68</f>
        <v>0</v>
      </c>
      <c r="W66" s="281">
        <f t="shared" ref="W66" si="672">V68</f>
        <v>0</v>
      </c>
      <c r="X66" s="281">
        <f t="shared" ref="X66" si="673">W68</f>
        <v>0</v>
      </c>
      <c r="Y66" s="281">
        <f t="shared" ref="Y66" si="674">X68</f>
        <v>0</v>
      </c>
      <c r="Z66" s="281">
        <f t="shared" ref="Z66" si="675">Y68</f>
        <v>0</v>
      </c>
      <c r="AA66" s="281">
        <f t="shared" ref="AA66" si="676">Z68</f>
        <v>0</v>
      </c>
      <c r="AB66" s="281">
        <f t="shared" ref="AB66" si="677">AA68</f>
        <v>0</v>
      </c>
      <c r="AC66" s="281">
        <f t="shared" ref="AC66" si="678">AB68</f>
        <v>0</v>
      </c>
      <c r="AD66" s="281">
        <f t="shared" ref="AD66" si="679">AC68</f>
        <v>0</v>
      </c>
      <c r="AE66" s="281">
        <f t="shared" ref="AE66" si="680">AD68</f>
        <v>0</v>
      </c>
      <c r="AF66" s="281">
        <f t="shared" ref="AF66" si="681">AE68</f>
        <v>0</v>
      </c>
      <c r="AG66" s="281">
        <f t="shared" ref="AG66" si="682">AF68</f>
        <v>0</v>
      </c>
      <c r="AH66" s="281">
        <f t="shared" ref="AH66" si="683">AG68</f>
        <v>0</v>
      </c>
      <c r="AI66" s="281">
        <f t="shared" ref="AI66" si="684">AH68</f>
        <v>0</v>
      </c>
      <c r="AJ66" s="281">
        <f t="shared" ref="AJ66" si="685">AI68</f>
        <v>0</v>
      </c>
      <c r="AK66" s="281">
        <f t="shared" ref="AK66" si="686">AJ68</f>
        <v>0</v>
      </c>
      <c r="AL66" s="281">
        <f t="shared" ref="AL66" si="687">AK68</f>
        <v>0</v>
      </c>
      <c r="AM66" s="281">
        <f t="shared" ref="AM66" si="688">AL68</f>
        <v>0</v>
      </c>
      <c r="AN66" s="281">
        <f t="shared" ref="AN66" si="689">AM68</f>
        <v>0</v>
      </c>
      <c r="AO66" s="281">
        <f t="shared" ref="AO66" si="690">AN68</f>
        <v>0</v>
      </c>
      <c r="AP66" s="281">
        <f t="shared" ref="AP66" si="691">AO68</f>
        <v>0</v>
      </c>
      <c r="AQ66" s="281">
        <f t="shared" ref="AQ66" si="692">AP68</f>
        <v>0</v>
      </c>
      <c r="AR66" s="281">
        <f t="shared" ref="AR66" si="693">AQ68</f>
        <v>0</v>
      </c>
      <c r="AS66" s="281">
        <f t="shared" ref="AS66" si="694">AR68</f>
        <v>0</v>
      </c>
      <c r="AT66" s="281">
        <f t="shared" ref="AT66" si="695">AS68</f>
        <v>0</v>
      </c>
      <c r="AU66" s="281">
        <f t="shared" ref="AU66" si="696">AT68</f>
        <v>0</v>
      </c>
      <c r="AV66" s="281">
        <f t="shared" ref="AV66" si="697">AU68</f>
        <v>0</v>
      </c>
      <c r="AW66" s="281">
        <f t="shared" ref="AW66" si="698">AV68</f>
        <v>0</v>
      </c>
      <c r="AX66" s="281">
        <f t="shared" ref="AX66" si="699">AW68</f>
        <v>0</v>
      </c>
      <c r="AY66" s="281">
        <f t="shared" ref="AY66" si="700">AX68</f>
        <v>0</v>
      </c>
      <c r="AZ66" s="281">
        <f t="shared" ref="AZ66" si="701">AY68</f>
        <v>0</v>
      </c>
      <c r="BA66" s="281">
        <f t="shared" ref="BA66" si="702">AZ68</f>
        <v>0</v>
      </c>
      <c r="BB66" s="282">
        <f t="shared" ref="BB66" si="703">BA68</f>
        <v>0</v>
      </c>
    </row>
    <row r="67" spans="1:54">
      <c r="A67"/>
      <c r="B67" s="479" t="s">
        <v>99</v>
      </c>
      <c r="C67" s="536"/>
      <c r="D67" s="480"/>
      <c r="E67" s="289">
        <f>Cockpit!$H$31</f>
        <v>0.03</v>
      </c>
      <c r="F67" s="289">
        <f>Cockpit!$H$31</f>
        <v>0.03</v>
      </c>
      <c r="G67" s="289">
        <f>Cockpit!$H$31</f>
        <v>0.03</v>
      </c>
      <c r="H67" s="289">
        <f>Cockpit!$H$31</f>
        <v>0.03</v>
      </c>
      <c r="I67" s="289">
        <f>Cockpit!$H$31</f>
        <v>0.03</v>
      </c>
      <c r="J67" s="289">
        <f>Cockpit!$H$31</f>
        <v>0.03</v>
      </c>
      <c r="K67" s="289">
        <f>Cockpit!$H$31</f>
        <v>0.03</v>
      </c>
      <c r="L67" s="289">
        <f>Cockpit!$H$31</f>
        <v>0.03</v>
      </c>
      <c r="M67" s="289">
        <f>Cockpit!$H$31</f>
        <v>0.03</v>
      </c>
      <c r="N67" s="289">
        <f>Cockpit!$H$31</f>
        <v>0.03</v>
      </c>
      <c r="O67" s="289">
        <f>Cockpit!$H$31</f>
        <v>0.03</v>
      </c>
      <c r="P67" s="289">
        <f>Cockpit!$H$31</f>
        <v>0.03</v>
      </c>
      <c r="Q67" s="289">
        <f>Cockpit!$H$31</f>
        <v>0.03</v>
      </c>
      <c r="R67" s="289">
        <f>Cockpit!$H$31</f>
        <v>0.03</v>
      </c>
      <c r="S67" s="289">
        <f>Cockpit!$H$31</f>
        <v>0.03</v>
      </c>
      <c r="T67" s="289">
        <f>Cockpit!$H$31</f>
        <v>0.03</v>
      </c>
      <c r="U67" s="289">
        <f>Cockpit!$H$31</f>
        <v>0.03</v>
      </c>
      <c r="V67" s="289">
        <f>Cockpit!$H$31</f>
        <v>0.03</v>
      </c>
      <c r="W67" s="289">
        <f>Cockpit!$H$31</f>
        <v>0.03</v>
      </c>
      <c r="X67" s="289">
        <f>Cockpit!$H$31</f>
        <v>0.03</v>
      </c>
      <c r="Y67" s="289">
        <f>Cockpit!$H$31</f>
        <v>0.03</v>
      </c>
      <c r="Z67" s="289">
        <f>Cockpit!$H$31</f>
        <v>0.03</v>
      </c>
      <c r="AA67" s="289">
        <f>Cockpit!$H$31</f>
        <v>0.03</v>
      </c>
      <c r="AB67" s="289">
        <f>Cockpit!$H$31</f>
        <v>0.03</v>
      </c>
      <c r="AC67" s="289">
        <f>Cockpit!$H$31</f>
        <v>0.03</v>
      </c>
      <c r="AD67" s="289">
        <f>Cockpit!$H$31</f>
        <v>0.03</v>
      </c>
      <c r="AE67" s="289">
        <f>Cockpit!$H$31</f>
        <v>0.03</v>
      </c>
      <c r="AF67" s="289">
        <f>Cockpit!$H$31</f>
        <v>0.03</v>
      </c>
      <c r="AG67" s="289">
        <f>Cockpit!$H$31</f>
        <v>0.03</v>
      </c>
      <c r="AH67" s="289">
        <f>Cockpit!$H$31</f>
        <v>0.03</v>
      </c>
      <c r="AI67" s="289">
        <f>Cockpit!$H$31</f>
        <v>0.03</v>
      </c>
      <c r="AJ67" s="289">
        <f>Cockpit!$H$31</f>
        <v>0.03</v>
      </c>
      <c r="AK67" s="289">
        <f>Cockpit!$H$31</f>
        <v>0.03</v>
      </c>
      <c r="AL67" s="289">
        <f>Cockpit!$H$31</f>
        <v>0.03</v>
      </c>
      <c r="AM67" s="289">
        <f>Cockpit!$H$31</f>
        <v>0.03</v>
      </c>
      <c r="AN67" s="289">
        <f>Cockpit!$H$31</f>
        <v>0.03</v>
      </c>
      <c r="AO67" s="289">
        <f>Cockpit!$H$31</f>
        <v>0.03</v>
      </c>
      <c r="AP67" s="289">
        <f>Cockpit!$H$31</f>
        <v>0.03</v>
      </c>
      <c r="AQ67" s="289">
        <f>Cockpit!$H$31</f>
        <v>0.03</v>
      </c>
      <c r="AR67" s="289">
        <f>Cockpit!$H$31</f>
        <v>0.03</v>
      </c>
      <c r="AS67" s="289">
        <f>Cockpit!$H$31</f>
        <v>0.03</v>
      </c>
      <c r="AT67" s="289">
        <f>Cockpit!$H$31</f>
        <v>0.03</v>
      </c>
      <c r="AU67" s="289">
        <f>Cockpit!$H$31</f>
        <v>0.03</v>
      </c>
      <c r="AV67" s="289">
        <f>Cockpit!$H$31</f>
        <v>0.03</v>
      </c>
      <c r="AW67" s="289">
        <f>Cockpit!$H$31</f>
        <v>0.03</v>
      </c>
      <c r="AX67" s="289">
        <f>Cockpit!$H$31</f>
        <v>0.03</v>
      </c>
      <c r="AY67" s="289">
        <f>Cockpit!$H$31</f>
        <v>0.03</v>
      </c>
      <c r="AZ67" s="289">
        <f>Cockpit!$H$31</f>
        <v>0.03</v>
      </c>
      <c r="BA67" s="289">
        <f>Cockpit!$H$31</f>
        <v>0.03</v>
      </c>
      <c r="BB67" s="290">
        <f>Cockpit!$H$31</f>
        <v>0.03</v>
      </c>
    </row>
    <row r="68" spans="1:54">
      <c r="B68" s="479" t="s">
        <v>67</v>
      </c>
      <c r="C68" s="536"/>
      <c r="D68" s="480"/>
      <c r="E68" s="10">
        <f t="shared" ref="E68:BB68" si="704">E66*(1+E67)</f>
        <v>0</v>
      </c>
      <c r="F68" s="10">
        <f t="shared" si="704"/>
        <v>0</v>
      </c>
      <c r="G68" s="10">
        <f t="shared" si="704"/>
        <v>0</v>
      </c>
      <c r="H68" s="10">
        <f t="shared" si="704"/>
        <v>0</v>
      </c>
      <c r="I68" s="10">
        <f t="shared" si="704"/>
        <v>0</v>
      </c>
      <c r="J68" s="10">
        <f t="shared" si="704"/>
        <v>0</v>
      </c>
      <c r="K68" s="10">
        <f t="shared" si="704"/>
        <v>0</v>
      </c>
      <c r="L68" s="10">
        <f t="shared" si="704"/>
        <v>0</v>
      </c>
      <c r="M68" s="10">
        <f t="shared" si="704"/>
        <v>0</v>
      </c>
      <c r="N68" s="10">
        <f t="shared" si="704"/>
        <v>0</v>
      </c>
      <c r="O68" s="10">
        <f t="shared" si="704"/>
        <v>0</v>
      </c>
      <c r="P68" s="10">
        <f t="shared" si="704"/>
        <v>0</v>
      </c>
      <c r="Q68" s="10">
        <f t="shared" si="704"/>
        <v>0</v>
      </c>
      <c r="R68" s="10">
        <f t="shared" si="704"/>
        <v>0</v>
      </c>
      <c r="S68" s="10">
        <f t="shared" si="704"/>
        <v>0</v>
      </c>
      <c r="T68" s="10">
        <f t="shared" si="704"/>
        <v>0</v>
      </c>
      <c r="U68" s="10">
        <f t="shared" si="704"/>
        <v>0</v>
      </c>
      <c r="V68" s="10">
        <f t="shared" si="704"/>
        <v>0</v>
      </c>
      <c r="W68" s="10">
        <f t="shared" si="704"/>
        <v>0</v>
      </c>
      <c r="X68" s="10">
        <f t="shared" si="704"/>
        <v>0</v>
      </c>
      <c r="Y68" s="10">
        <f t="shared" si="704"/>
        <v>0</v>
      </c>
      <c r="Z68" s="10">
        <f t="shared" si="704"/>
        <v>0</v>
      </c>
      <c r="AA68" s="10">
        <f t="shared" si="704"/>
        <v>0</v>
      </c>
      <c r="AB68" s="10">
        <f t="shared" si="704"/>
        <v>0</v>
      </c>
      <c r="AC68" s="10">
        <f t="shared" si="704"/>
        <v>0</v>
      </c>
      <c r="AD68" s="10">
        <f t="shared" si="704"/>
        <v>0</v>
      </c>
      <c r="AE68" s="10">
        <f t="shared" si="704"/>
        <v>0</v>
      </c>
      <c r="AF68" s="10">
        <f t="shared" si="704"/>
        <v>0</v>
      </c>
      <c r="AG68" s="10">
        <f t="shared" si="704"/>
        <v>0</v>
      </c>
      <c r="AH68" s="10">
        <f t="shared" si="704"/>
        <v>0</v>
      </c>
      <c r="AI68" s="10">
        <f t="shared" si="704"/>
        <v>0</v>
      </c>
      <c r="AJ68" s="10">
        <f t="shared" si="704"/>
        <v>0</v>
      </c>
      <c r="AK68" s="10">
        <f t="shared" si="704"/>
        <v>0</v>
      </c>
      <c r="AL68" s="10">
        <f t="shared" si="704"/>
        <v>0</v>
      </c>
      <c r="AM68" s="10">
        <f t="shared" si="704"/>
        <v>0</v>
      </c>
      <c r="AN68" s="10">
        <f t="shared" si="704"/>
        <v>0</v>
      </c>
      <c r="AO68" s="10">
        <f t="shared" si="704"/>
        <v>0</v>
      </c>
      <c r="AP68" s="10">
        <f t="shared" si="704"/>
        <v>0</v>
      </c>
      <c r="AQ68" s="10">
        <f t="shared" si="704"/>
        <v>0</v>
      </c>
      <c r="AR68" s="10">
        <f t="shared" si="704"/>
        <v>0</v>
      </c>
      <c r="AS68" s="10">
        <f t="shared" si="704"/>
        <v>0</v>
      </c>
      <c r="AT68" s="10">
        <f t="shared" si="704"/>
        <v>0</v>
      </c>
      <c r="AU68" s="10">
        <f t="shared" si="704"/>
        <v>0</v>
      </c>
      <c r="AV68" s="10">
        <f t="shared" si="704"/>
        <v>0</v>
      </c>
      <c r="AW68" s="10">
        <f t="shared" si="704"/>
        <v>0</v>
      </c>
      <c r="AX68" s="10">
        <f t="shared" si="704"/>
        <v>0</v>
      </c>
      <c r="AY68" s="10">
        <f t="shared" si="704"/>
        <v>0</v>
      </c>
      <c r="AZ68" s="10">
        <f t="shared" si="704"/>
        <v>0</v>
      </c>
      <c r="BA68" s="10">
        <f t="shared" si="704"/>
        <v>0</v>
      </c>
      <c r="BB68" s="283">
        <f t="shared" si="704"/>
        <v>0</v>
      </c>
    </row>
    <row r="69" spans="1:54" ht="15.75" thickBot="1">
      <c r="B69" s="492" t="s">
        <v>301</v>
      </c>
      <c r="C69" s="537"/>
      <c r="D69" s="493"/>
      <c r="E69" s="367" t="str">
        <f>IFERROR(E68/$C65,"-")</f>
        <v>-</v>
      </c>
      <c r="F69" s="367" t="str">
        <f>IFERROR(F68/$C65,"-")</f>
        <v>-</v>
      </c>
      <c r="G69" s="367" t="str">
        <f t="shared" ref="G69" si="705">IFERROR(G68/$C65,"-")</f>
        <v>-</v>
      </c>
      <c r="H69" s="367" t="str">
        <f t="shared" ref="H69" si="706">IFERROR(H68/$C65,"-")</f>
        <v>-</v>
      </c>
      <c r="I69" s="367" t="str">
        <f t="shared" ref="I69" si="707">IFERROR(I68/$C65,"-")</f>
        <v>-</v>
      </c>
      <c r="J69" s="367" t="str">
        <f t="shared" ref="J69" si="708">IFERROR(J68/$C65,"-")</f>
        <v>-</v>
      </c>
      <c r="K69" s="367" t="str">
        <f t="shared" ref="K69" si="709">IFERROR(K68/$C65,"-")</f>
        <v>-</v>
      </c>
      <c r="L69" s="367" t="str">
        <f t="shared" ref="L69" si="710">IFERROR(L68/$C65,"-")</f>
        <v>-</v>
      </c>
      <c r="M69" s="367" t="str">
        <f t="shared" ref="M69" si="711">IFERROR(M68/$C65,"-")</f>
        <v>-</v>
      </c>
      <c r="N69" s="367" t="str">
        <f t="shared" ref="N69" si="712">IFERROR(N68/$C65,"-")</f>
        <v>-</v>
      </c>
      <c r="O69" s="367" t="str">
        <f t="shared" ref="O69" si="713">IFERROR(O68/$C65,"-")</f>
        <v>-</v>
      </c>
      <c r="P69" s="367" t="str">
        <f t="shared" ref="P69" si="714">IFERROR(P68/$C65,"-")</f>
        <v>-</v>
      </c>
      <c r="Q69" s="367" t="str">
        <f t="shared" ref="Q69" si="715">IFERROR(Q68/$C65,"-")</f>
        <v>-</v>
      </c>
      <c r="R69" s="367" t="str">
        <f t="shared" ref="R69" si="716">IFERROR(R68/$C65,"-")</f>
        <v>-</v>
      </c>
      <c r="S69" s="367" t="str">
        <f t="shared" ref="S69" si="717">IFERROR(S68/$C65,"-")</f>
        <v>-</v>
      </c>
      <c r="T69" s="367" t="str">
        <f t="shared" ref="T69" si="718">IFERROR(T68/$C65,"-")</f>
        <v>-</v>
      </c>
      <c r="U69" s="367" t="str">
        <f t="shared" ref="U69" si="719">IFERROR(U68/$C65,"-")</f>
        <v>-</v>
      </c>
      <c r="V69" s="367" t="str">
        <f t="shared" ref="V69" si="720">IFERROR(V68/$C65,"-")</f>
        <v>-</v>
      </c>
      <c r="W69" s="367" t="str">
        <f t="shared" ref="W69" si="721">IFERROR(W68/$C65,"-")</f>
        <v>-</v>
      </c>
      <c r="X69" s="367" t="str">
        <f t="shared" ref="X69" si="722">IFERROR(X68/$C65,"-")</f>
        <v>-</v>
      </c>
      <c r="Y69" s="367" t="str">
        <f t="shared" ref="Y69" si="723">IFERROR(Y68/$C65,"-")</f>
        <v>-</v>
      </c>
      <c r="Z69" s="367" t="str">
        <f t="shared" ref="Z69" si="724">IFERROR(Z68/$C65,"-")</f>
        <v>-</v>
      </c>
      <c r="AA69" s="367" t="str">
        <f t="shared" ref="AA69" si="725">IFERROR(AA68/$C65,"-")</f>
        <v>-</v>
      </c>
      <c r="AB69" s="367" t="str">
        <f t="shared" ref="AB69" si="726">IFERROR(AB68/$C65,"-")</f>
        <v>-</v>
      </c>
      <c r="AC69" s="367" t="str">
        <f t="shared" ref="AC69" si="727">IFERROR(AC68/$C65,"-")</f>
        <v>-</v>
      </c>
      <c r="AD69" s="367" t="str">
        <f t="shared" ref="AD69" si="728">IFERROR(AD68/$C65,"-")</f>
        <v>-</v>
      </c>
      <c r="AE69" s="367" t="str">
        <f t="shared" ref="AE69" si="729">IFERROR(AE68/$C65,"-")</f>
        <v>-</v>
      </c>
      <c r="AF69" s="367" t="str">
        <f t="shared" ref="AF69" si="730">IFERROR(AF68/$C65,"-")</f>
        <v>-</v>
      </c>
      <c r="AG69" s="367" t="str">
        <f t="shared" ref="AG69" si="731">IFERROR(AG68/$C65,"-")</f>
        <v>-</v>
      </c>
      <c r="AH69" s="367" t="str">
        <f t="shared" ref="AH69" si="732">IFERROR(AH68/$C65,"-")</f>
        <v>-</v>
      </c>
      <c r="AI69" s="367" t="str">
        <f t="shared" ref="AI69" si="733">IFERROR(AI68/$C65,"-")</f>
        <v>-</v>
      </c>
      <c r="AJ69" s="367" t="str">
        <f t="shared" ref="AJ69" si="734">IFERROR(AJ68/$C65,"-")</f>
        <v>-</v>
      </c>
      <c r="AK69" s="367" t="str">
        <f t="shared" ref="AK69" si="735">IFERROR(AK68/$C65,"-")</f>
        <v>-</v>
      </c>
      <c r="AL69" s="367" t="str">
        <f t="shared" ref="AL69" si="736">IFERROR(AL68/$C65,"-")</f>
        <v>-</v>
      </c>
      <c r="AM69" s="367" t="str">
        <f t="shared" ref="AM69" si="737">IFERROR(AM68/$C65,"-")</f>
        <v>-</v>
      </c>
      <c r="AN69" s="367" t="str">
        <f t="shared" ref="AN69" si="738">IFERROR(AN68/$C65,"-")</f>
        <v>-</v>
      </c>
      <c r="AO69" s="367" t="str">
        <f t="shared" ref="AO69" si="739">IFERROR(AO68/$C65,"-")</f>
        <v>-</v>
      </c>
      <c r="AP69" s="367" t="str">
        <f t="shared" ref="AP69" si="740">IFERROR(AP68/$C65,"-")</f>
        <v>-</v>
      </c>
      <c r="AQ69" s="367" t="str">
        <f t="shared" ref="AQ69" si="741">IFERROR(AQ68/$C65,"-")</f>
        <v>-</v>
      </c>
      <c r="AR69" s="367" t="str">
        <f t="shared" ref="AR69" si="742">IFERROR(AR68/$C65,"-")</f>
        <v>-</v>
      </c>
      <c r="AS69" s="367" t="str">
        <f t="shared" ref="AS69" si="743">IFERROR(AS68/$C65,"-")</f>
        <v>-</v>
      </c>
      <c r="AT69" s="367" t="str">
        <f t="shared" ref="AT69" si="744">IFERROR(AT68/$C65,"-")</f>
        <v>-</v>
      </c>
      <c r="AU69" s="367" t="str">
        <f t="shared" ref="AU69" si="745">IFERROR(AU68/$C65,"-")</f>
        <v>-</v>
      </c>
      <c r="AV69" s="367" t="str">
        <f t="shared" ref="AV69" si="746">IFERROR(AV68/$C65,"-")</f>
        <v>-</v>
      </c>
      <c r="AW69" s="367" t="str">
        <f t="shared" ref="AW69" si="747">IFERROR(AW68/$C65,"-")</f>
        <v>-</v>
      </c>
      <c r="AX69" s="367" t="str">
        <f t="shared" ref="AX69" si="748">IFERROR(AX68/$C65,"-")</f>
        <v>-</v>
      </c>
      <c r="AY69" s="367" t="str">
        <f t="shared" ref="AY69" si="749">IFERROR(AY68/$C65,"-")</f>
        <v>-</v>
      </c>
      <c r="AZ69" s="367" t="str">
        <f t="shared" ref="AZ69" si="750">IFERROR(AZ68/$C65,"-")</f>
        <v>-</v>
      </c>
      <c r="BA69" s="367" t="str">
        <f t="shared" ref="BA69" si="751">IFERROR(BA68/$C65,"-")</f>
        <v>-</v>
      </c>
      <c r="BB69" s="368" t="str">
        <f t="shared" ref="BB69" si="752">IFERROR(BB68/$C65,"-")</f>
        <v>-</v>
      </c>
    </row>
    <row r="70" spans="1:54" ht="17.25" customHeight="1" thickBot="1">
      <c r="J70" s="6"/>
      <c r="K70" s="6"/>
      <c r="L70" s="6"/>
      <c r="M70" s="6"/>
      <c r="O70" s="5"/>
      <c r="P70" s="5"/>
      <c r="Q70" s="5"/>
      <c r="R70" s="5"/>
    </row>
    <row r="71" spans="1:54" ht="18" thickBot="1">
      <c r="A71"/>
      <c r="B71" s="533" t="s">
        <v>306</v>
      </c>
      <c r="C71" s="534"/>
      <c r="D71" s="32"/>
      <c r="E71" s="275"/>
      <c r="J71" s="6"/>
      <c r="K71" s="6"/>
      <c r="L71" s="6"/>
      <c r="M71" s="6"/>
    </row>
    <row r="72" spans="1:54" ht="15.75" thickBot="1">
      <c r="B72" s="360" t="s">
        <v>11</v>
      </c>
      <c r="C72" s="369">
        <v>0</v>
      </c>
      <c r="D72" s="364"/>
      <c r="E72" s="365">
        <f t="shared" ref="E72:AJ72" si="753">E$9</f>
        <v>2024</v>
      </c>
      <c r="F72" s="279">
        <f t="shared" si="753"/>
        <v>2025</v>
      </c>
      <c r="G72" s="279">
        <f t="shared" si="753"/>
        <v>2026</v>
      </c>
      <c r="H72" s="279">
        <f t="shared" si="753"/>
        <v>2027</v>
      </c>
      <c r="I72" s="279">
        <f t="shared" si="753"/>
        <v>2028</v>
      </c>
      <c r="J72" s="279">
        <f t="shared" si="753"/>
        <v>2029</v>
      </c>
      <c r="K72" s="279">
        <f t="shared" si="753"/>
        <v>2030</v>
      </c>
      <c r="L72" s="279">
        <f t="shared" si="753"/>
        <v>2031</v>
      </c>
      <c r="M72" s="279">
        <f t="shared" si="753"/>
        <v>2032</v>
      </c>
      <c r="N72" s="279">
        <f t="shared" si="753"/>
        <v>2033</v>
      </c>
      <c r="O72" s="279">
        <f t="shared" si="753"/>
        <v>2034</v>
      </c>
      <c r="P72" s="279">
        <f t="shared" si="753"/>
        <v>2035</v>
      </c>
      <c r="Q72" s="279">
        <f t="shared" si="753"/>
        <v>2036</v>
      </c>
      <c r="R72" s="279">
        <f t="shared" si="753"/>
        <v>2037</v>
      </c>
      <c r="S72" s="279">
        <f t="shared" si="753"/>
        <v>2038</v>
      </c>
      <c r="T72" s="279">
        <f t="shared" si="753"/>
        <v>2039</v>
      </c>
      <c r="U72" s="279">
        <f t="shared" si="753"/>
        <v>2040</v>
      </c>
      <c r="V72" s="279">
        <f t="shared" si="753"/>
        <v>2041</v>
      </c>
      <c r="W72" s="279">
        <f t="shared" si="753"/>
        <v>2042</v>
      </c>
      <c r="X72" s="279">
        <f t="shared" si="753"/>
        <v>2043</v>
      </c>
      <c r="Y72" s="279">
        <f t="shared" si="753"/>
        <v>2044</v>
      </c>
      <c r="Z72" s="279">
        <f t="shared" si="753"/>
        <v>2045</v>
      </c>
      <c r="AA72" s="279">
        <f t="shared" si="753"/>
        <v>2046</v>
      </c>
      <c r="AB72" s="279">
        <f t="shared" si="753"/>
        <v>2047</v>
      </c>
      <c r="AC72" s="279">
        <f t="shared" si="753"/>
        <v>2048</v>
      </c>
      <c r="AD72" s="279">
        <f t="shared" si="753"/>
        <v>2049</v>
      </c>
      <c r="AE72" s="279">
        <f t="shared" si="753"/>
        <v>2050</v>
      </c>
      <c r="AF72" s="279">
        <f t="shared" si="753"/>
        <v>2051</v>
      </c>
      <c r="AG72" s="279">
        <f t="shared" si="753"/>
        <v>2052</v>
      </c>
      <c r="AH72" s="279">
        <f t="shared" si="753"/>
        <v>2053</v>
      </c>
      <c r="AI72" s="279">
        <f t="shared" si="753"/>
        <v>2054</v>
      </c>
      <c r="AJ72" s="279">
        <f t="shared" si="753"/>
        <v>2055</v>
      </c>
      <c r="AK72" s="279">
        <f t="shared" ref="AK72:BB72" si="754">AK$9</f>
        <v>2056</v>
      </c>
      <c r="AL72" s="279">
        <f t="shared" si="754"/>
        <v>2057</v>
      </c>
      <c r="AM72" s="279">
        <f t="shared" si="754"/>
        <v>2058</v>
      </c>
      <c r="AN72" s="279">
        <f t="shared" si="754"/>
        <v>2059</v>
      </c>
      <c r="AO72" s="279">
        <f t="shared" si="754"/>
        <v>2060</v>
      </c>
      <c r="AP72" s="279">
        <f t="shared" si="754"/>
        <v>2061</v>
      </c>
      <c r="AQ72" s="279">
        <f t="shared" si="754"/>
        <v>2062</v>
      </c>
      <c r="AR72" s="279">
        <f t="shared" si="754"/>
        <v>2063</v>
      </c>
      <c r="AS72" s="279">
        <f t="shared" si="754"/>
        <v>2064</v>
      </c>
      <c r="AT72" s="279">
        <f t="shared" si="754"/>
        <v>2065</v>
      </c>
      <c r="AU72" s="279">
        <f t="shared" si="754"/>
        <v>2066</v>
      </c>
      <c r="AV72" s="279">
        <f t="shared" si="754"/>
        <v>2067</v>
      </c>
      <c r="AW72" s="279">
        <f t="shared" si="754"/>
        <v>2068</v>
      </c>
      <c r="AX72" s="279">
        <f t="shared" si="754"/>
        <v>2069</v>
      </c>
      <c r="AY72" s="279">
        <f t="shared" si="754"/>
        <v>2070</v>
      </c>
      <c r="AZ72" s="279">
        <f t="shared" si="754"/>
        <v>2071</v>
      </c>
      <c r="BA72" s="279">
        <f t="shared" si="754"/>
        <v>2072</v>
      </c>
      <c r="BB72" s="280">
        <f t="shared" si="754"/>
        <v>2073</v>
      </c>
    </row>
    <row r="73" spans="1:54">
      <c r="A73"/>
      <c r="B73" s="485" t="s">
        <v>261</v>
      </c>
      <c r="C73" s="535"/>
      <c r="D73" s="486"/>
      <c r="E73" s="307">
        <v>0</v>
      </c>
      <c r="F73" s="281">
        <f>E75</f>
        <v>0</v>
      </c>
      <c r="G73" s="281">
        <f t="shared" ref="G73" si="755">F75</f>
        <v>0</v>
      </c>
      <c r="H73" s="281">
        <f t="shared" ref="H73" si="756">G75</f>
        <v>0</v>
      </c>
      <c r="I73" s="281">
        <f t="shared" ref="I73" si="757">H75</f>
        <v>0</v>
      </c>
      <c r="J73" s="281">
        <f t="shared" ref="J73" si="758">I75</f>
        <v>0</v>
      </c>
      <c r="K73" s="281">
        <f t="shared" ref="K73" si="759">J75</f>
        <v>0</v>
      </c>
      <c r="L73" s="281">
        <f t="shared" ref="L73" si="760">K75</f>
        <v>0</v>
      </c>
      <c r="M73" s="281">
        <f t="shared" ref="M73" si="761">L75</f>
        <v>0</v>
      </c>
      <c r="N73" s="281">
        <f t="shared" ref="N73" si="762">M75</f>
        <v>0</v>
      </c>
      <c r="O73" s="281">
        <f t="shared" ref="O73" si="763">N75</f>
        <v>0</v>
      </c>
      <c r="P73" s="281">
        <f t="shared" ref="P73" si="764">O75</f>
        <v>0</v>
      </c>
      <c r="Q73" s="281">
        <f t="shared" ref="Q73" si="765">P75</f>
        <v>0</v>
      </c>
      <c r="R73" s="281">
        <f t="shared" ref="R73" si="766">Q75</f>
        <v>0</v>
      </c>
      <c r="S73" s="281">
        <f t="shared" ref="S73" si="767">R75</f>
        <v>0</v>
      </c>
      <c r="T73" s="281">
        <f t="shared" ref="T73" si="768">S75</f>
        <v>0</v>
      </c>
      <c r="U73" s="281">
        <f t="shared" ref="U73" si="769">T75</f>
        <v>0</v>
      </c>
      <c r="V73" s="281">
        <f t="shared" ref="V73" si="770">U75</f>
        <v>0</v>
      </c>
      <c r="W73" s="281">
        <f t="shared" ref="W73" si="771">V75</f>
        <v>0</v>
      </c>
      <c r="X73" s="281">
        <f t="shared" ref="X73" si="772">W75</f>
        <v>0</v>
      </c>
      <c r="Y73" s="281">
        <f t="shared" ref="Y73" si="773">X75</f>
        <v>0</v>
      </c>
      <c r="Z73" s="281">
        <f t="shared" ref="Z73" si="774">Y75</f>
        <v>0</v>
      </c>
      <c r="AA73" s="281">
        <f t="shared" ref="AA73" si="775">Z75</f>
        <v>0</v>
      </c>
      <c r="AB73" s="281">
        <f t="shared" ref="AB73" si="776">AA75</f>
        <v>0</v>
      </c>
      <c r="AC73" s="281">
        <f t="shared" ref="AC73" si="777">AB75</f>
        <v>0</v>
      </c>
      <c r="AD73" s="281">
        <f t="shared" ref="AD73" si="778">AC75</f>
        <v>0</v>
      </c>
      <c r="AE73" s="281">
        <f t="shared" ref="AE73" si="779">AD75</f>
        <v>0</v>
      </c>
      <c r="AF73" s="281">
        <f t="shared" ref="AF73" si="780">AE75</f>
        <v>0</v>
      </c>
      <c r="AG73" s="281">
        <f t="shared" ref="AG73" si="781">AF75</f>
        <v>0</v>
      </c>
      <c r="AH73" s="281">
        <f t="shared" ref="AH73" si="782">AG75</f>
        <v>0</v>
      </c>
      <c r="AI73" s="281">
        <f t="shared" ref="AI73" si="783">AH75</f>
        <v>0</v>
      </c>
      <c r="AJ73" s="281">
        <f t="shared" ref="AJ73" si="784">AI75</f>
        <v>0</v>
      </c>
      <c r="AK73" s="281">
        <f t="shared" ref="AK73" si="785">AJ75</f>
        <v>0</v>
      </c>
      <c r="AL73" s="281">
        <f t="shared" ref="AL73" si="786">AK75</f>
        <v>0</v>
      </c>
      <c r="AM73" s="281">
        <f t="shared" ref="AM73" si="787">AL75</f>
        <v>0</v>
      </c>
      <c r="AN73" s="281">
        <f t="shared" ref="AN73" si="788">AM75</f>
        <v>0</v>
      </c>
      <c r="AO73" s="281">
        <f t="shared" ref="AO73" si="789">AN75</f>
        <v>0</v>
      </c>
      <c r="AP73" s="281">
        <f t="shared" ref="AP73" si="790">AO75</f>
        <v>0</v>
      </c>
      <c r="AQ73" s="281">
        <f t="shared" ref="AQ73" si="791">AP75</f>
        <v>0</v>
      </c>
      <c r="AR73" s="281">
        <f t="shared" ref="AR73" si="792">AQ75</f>
        <v>0</v>
      </c>
      <c r="AS73" s="281">
        <f t="shared" ref="AS73" si="793">AR75</f>
        <v>0</v>
      </c>
      <c r="AT73" s="281">
        <f t="shared" ref="AT73" si="794">AS75</f>
        <v>0</v>
      </c>
      <c r="AU73" s="281">
        <f t="shared" ref="AU73" si="795">AT75</f>
        <v>0</v>
      </c>
      <c r="AV73" s="281">
        <f t="shared" ref="AV73" si="796">AU75</f>
        <v>0</v>
      </c>
      <c r="AW73" s="281">
        <f t="shared" ref="AW73" si="797">AV75</f>
        <v>0</v>
      </c>
      <c r="AX73" s="281">
        <f t="shared" ref="AX73" si="798">AW75</f>
        <v>0</v>
      </c>
      <c r="AY73" s="281">
        <f t="shared" ref="AY73" si="799">AX75</f>
        <v>0</v>
      </c>
      <c r="AZ73" s="281">
        <f t="shared" ref="AZ73" si="800">AY75</f>
        <v>0</v>
      </c>
      <c r="BA73" s="281">
        <f t="shared" ref="BA73" si="801">AZ75</f>
        <v>0</v>
      </c>
      <c r="BB73" s="282">
        <f t="shared" ref="BB73" si="802">BA75</f>
        <v>0</v>
      </c>
    </row>
    <row r="74" spans="1:54">
      <c r="A74"/>
      <c r="B74" s="479" t="s">
        <v>99</v>
      </c>
      <c r="C74" s="536"/>
      <c r="D74" s="480"/>
      <c r="E74" s="289">
        <f>Cockpit!$H$31</f>
        <v>0.03</v>
      </c>
      <c r="F74" s="289">
        <f>Cockpit!$H$31</f>
        <v>0.03</v>
      </c>
      <c r="G74" s="289">
        <f>Cockpit!$H$31</f>
        <v>0.03</v>
      </c>
      <c r="H74" s="289">
        <f>Cockpit!$H$31</f>
        <v>0.03</v>
      </c>
      <c r="I74" s="289">
        <f>Cockpit!$H$31</f>
        <v>0.03</v>
      </c>
      <c r="J74" s="289">
        <f>Cockpit!$H$31</f>
        <v>0.03</v>
      </c>
      <c r="K74" s="289">
        <f>Cockpit!$H$31</f>
        <v>0.03</v>
      </c>
      <c r="L74" s="289">
        <f>Cockpit!$H$31</f>
        <v>0.03</v>
      </c>
      <c r="M74" s="289">
        <f>Cockpit!$H$31</f>
        <v>0.03</v>
      </c>
      <c r="N74" s="289">
        <f>Cockpit!$H$31</f>
        <v>0.03</v>
      </c>
      <c r="O74" s="289">
        <f>Cockpit!$H$31</f>
        <v>0.03</v>
      </c>
      <c r="P74" s="289">
        <f>Cockpit!$H$31</f>
        <v>0.03</v>
      </c>
      <c r="Q74" s="289">
        <f>Cockpit!$H$31</f>
        <v>0.03</v>
      </c>
      <c r="R74" s="289">
        <f>Cockpit!$H$31</f>
        <v>0.03</v>
      </c>
      <c r="S74" s="289">
        <f>Cockpit!$H$31</f>
        <v>0.03</v>
      </c>
      <c r="T74" s="289">
        <f>Cockpit!$H$31</f>
        <v>0.03</v>
      </c>
      <c r="U74" s="289">
        <f>Cockpit!$H$31</f>
        <v>0.03</v>
      </c>
      <c r="V74" s="289">
        <f>Cockpit!$H$31</f>
        <v>0.03</v>
      </c>
      <c r="W74" s="289">
        <f>Cockpit!$H$31</f>
        <v>0.03</v>
      </c>
      <c r="X74" s="289">
        <f>Cockpit!$H$31</f>
        <v>0.03</v>
      </c>
      <c r="Y74" s="289">
        <f>Cockpit!$H$31</f>
        <v>0.03</v>
      </c>
      <c r="Z74" s="289">
        <f>Cockpit!$H$31</f>
        <v>0.03</v>
      </c>
      <c r="AA74" s="289">
        <f>Cockpit!$H$31</f>
        <v>0.03</v>
      </c>
      <c r="AB74" s="289">
        <f>Cockpit!$H$31</f>
        <v>0.03</v>
      </c>
      <c r="AC74" s="289">
        <f>Cockpit!$H$31</f>
        <v>0.03</v>
      </c>
      <c r="AD74" s="289">
        <f>Cockpit!$H$31</f>
        <v>0.03</v>
      </c>
      <c r="AE74" s="289">
        <f>Cockpit!$H$31</f>
        <v>0.03</v>
      </c>
      <c r="AF74" s="289">
        <f>Cockpit!$H$31</f>
        <v>0.03</v>
      </c>
      <c r="AG74" s="289">
        <f>Cockpit!$H$31</f>
        <v>0.03</v>
      </c>
      <c r="AH74" s="289">
        <f>Cockpit!$H$31</f>
        <v>0.03</v>
      </c>
      <c r="AI74" s="289">
        <f>Cockpit!$H$31</f>
        <v>0.03</v>
      </c>
      <c r="AJ74" s="289">
        <f>Cockpit!$H$31</f>
        <v>0.03</v>
      </c>
      <c r="AK74" s="289">
        <f>Cockpit!$H$31</f>
        <v>0.03</v>
      </c>
      <c r="AL74" s="289">
        <f>Cockpit!$H$31</f>
        <v>0.03</v>
      </c>
      <c r="AM74" s="289">
        <f>Cockpit!$H$31</f>
        <v>0.03</v>
      </c>
      <c r="AN74" s="289">
        <f>Cockpit!$H$31</f>
        <v>0.03</v>
      </c>
      <c r="AO74" s="289">
        <f>Cockpit!$H$31</f>
        <v>0.03</v>
      </c>
      <c r="AP74" s="289">
        <f>Cockpit!$H$31</f>
        <v>0.03</v>
      </c>
      <c r="AQ74" s="289">
        <f>Cockpit!$H$31</f>
        <v>0.03</v>
      </c>
      <c r="AR74" s="289">
        <f>Cockpit!$H$31</f>
        <v>0.03</v>
      </c>
      <c r="AS74" s="289">
        <f>Cockpit!$H$31</f>
        <v>0.03</v>
      </c>
      <c r="AT74" s="289">
        <f>Cockpit!$H$31</f>
        <v>0.03</v>
      </c>
      <c r="AU74" s="289">
        <f>Cockpit!$H$31</f>
        <v>0.03</v>
      </c>
      <c r="AV74" s="289">
        <f>Cockpit!$H$31</f>
        <v>0.03</v>
      </c>
      <c r="AW74" s="289">
        <f>Cockpit!$H$31</f>
        <v>0.03</v>
      </c>
      <c r="AX74" s="289">
        <f>Cockpit!$H$31</f>
        <v>0.03</v>
      </c>
      <c r="AY74" s="289">
        <f>Cockpit!$H$31</f>
        <v>0.03</v>
      </c>
      <c r="AZ74" s="289">
        <f>Cockpit!$H$31</f>
        <v>0.03</v>
      </c>
      <c r="BA74" s="289">
        <f>Cockpit!$H$31</f>
        <v>0.03</v>
      </c>
      <c r="BB74" s="290">
        <f>Cockpit!$H$31</f>
        <v>0.03</v>
      </c>
    </row>
    <row r="75" spans="1:54">
      <c r="B75" s="479" t="s">
        <v>67</v>
      </c>
      <c r="C75" s="536"/>
      <c r="D75" s="480"/>
      <c r="E75" s="10">
        <f t="shared" ref="E75:BB75" si="803">E73*(1+E74)</f>
        <v>0</v>
      </c>
      <c r="F75" s="10">
        <f t="shared" si="803"/>
        <v>0</v>
      </c>
      <c r="G75" s="10">
        <f t="shared" si="803"/>
        <v>0</v>
      </c>
      <c r="H75" s="10">
        <f t="shared" si="803"/>
        <v>0</v>
      </c>
      <c r="I75" s="10">
        <f t="shared" si="803"/>
        <v>0</v>
      </c>
      <c r="J75" s="10">
        <f t="shared" si="803"/>
        <v>0</v>
      </c>
      <c r="K75" s="10">
        <f t="shared" si="803"/>
        <v>0</v>
      </c>
      <c r="L75" s="10">
        <f t="shared" si="803"/>
        <v>0</v>
      </c>
      <c r="M75" s="10">
        <f t="shared" si="803"/>
        <v>0</v>
      </c>
      <c r="N75" s="10">
        <f t="shared" si="803"/>
        <v>0</v>
      </c>
      <c r="O75" s="10">
        <f t="shared" si="803"/>
        <v>0</v>
      </c>
      <c r="P75" s="10">
        <f t="shared" si="803"/>
        <v>0</v>
      </c>
      <c r="Q75" s="10">
        <f t="shared" si="803"/>
        <v>0</v>
      </c>
      <c r="R75" s="10">
        <f t="shared" si="803"/>
        <v>0</v>
      </c>
      <c r="S75" s="10">
        <f t="shared" si="803"/>
        <v>0</v>
      </c>
      <c r="T75" s="10">
        <f t="shared" si="803"/>
        <v>0</v>
      </c>
      <c r="U75" s="10">
        <f t="shared" si="803"/>
        <v>0</v>
      </c>
      <c r="V75" s="10">
        <f t="shared" si="803"/>
        <v>0</v>
      </c>
      <c r="W75" s="10">
        <f t="shared" si="803"/>
        <v>0</v>
      </c>
      <c r="X75" s="10">
        <f t="shared" si="803"/>
        <v>0</v>
      </c>
      <c r="Y75" s="10">
        <f t="shared" si="803"/>
        <v>0</v>
      </c>
      <c r="Z75" s="10">
        <f t="shared" si="803"/>
        <v>0</v>
      </c>
      <c r="AA75" s="10">
        <f t="shared" si="803"/>
        <v>0</v>
      </c>
      <c r="AB75" s="10">
        <f t="shared" si="803"/>
        <v>0</v>
      </c>
      <c r="AC75" s="10">
        <f t="shared" si="803"/>
        <v>0</v>
      </c>
      <c r="AD75" s="10">
        <f t="shared" si="803"/>
        <v>0</v>
      </c>
      <c r="AE75" s="10">
        <f t="shared" si="803"/>
        <v>0</v>
      </c>
      <c r="AF75" s="10">
        <f t="shared" si="803"/>
        <v>0</v>
      </c>
      <c r="AG75" s="10">
        <f t="shared" si="803"/>
        <v>0</v>
      </c>
      <c r="AH75" s="10">
        <f t="shared" si="803"/>
        <v>0</v>
      </c>
      <c r="AI75" s="10">
        <f t="shared" si="803"/>
        <v>0</v>
      </c>
      <c r="AJ75" s="10">
        <f t="shared" si="803"/>
        <v>0</v>
      </c>
      <c r="AK75" s="10">
        <f t="shared" si="803"/>
        <v>0</v>
      </c>
      <c r="AL75" s="10">
        <f t="shared" si="803"/>
        <v>0</v>
      </c>
      <c r="AM75" s="10">
        <f t="shared" si="803"/>
        <v>0</v>
      </c>
      <c r="AN75" s="10">
        <f t="shared" si="803"/>
        <v>0</v>
      </c>
      <c r="AO75" s="10">
        <f t="shared" si="803"/>
        <v>0</v>
      </c>
      <c r="AP75" s="10">
        <f t="shared" si="803"/>
        <v>0</v>
      </c>
      <c r="AQ75" s="10">
        <f t="shared" si="803"/>
        <v>0</v>
      </c>
      <c r="AR75" s="10">
        <f t="shared" si="803"/>
        <v>0</v>
      </c>
      <c r="AS75" s="10">
        <f t="shared" si="803"/>
        <v>0</v>
      </c>
      <c r="AT75" s="10">
        <f t="shared" si="803"/>
        <v>0</v>
      </c>
      <c r="AU75" s="10">
        <f t="shared" si="803"/>
        <v>0</v>
      </c>
      <c r="AV75" s="10">
        <f t="shared" si="803"/>
        <v>0</v>
      </c>
      <c r="AW75" s="10">
        <f t="shared" si="803"/>
        <v>0</v>
      </c>
      <c r="AX75" s="10">
        <f t="shared" si="803"/>
        <v>0</v>
      </c>
      <c r="AY75" s="10">
        <f t="shared" si="803"/>
        <v>0</v>
      </c>
      <c r="AZ75" s="10">
        <f t="shared" si="803"/>
        <v>0</v>
      </c>
      <c r="BA75" s="10">
        <f t="shared" si="803"/>
        <v>0</v>
      </c>
      <c r="BB75" s="283">
        <f t="shared" si="803"/>
        <v>0</v>
      </c>
    </row>
    <row r="76" spans="1:54" ht="15.75" thickBot="1">
      <c r="B76" s="492" t="s">
        <v>301</v>
      </c>
      <c r="C76" s="537"/>
      <c r="D76" s="493"/>
      <c r="E76" s="367" t="str">
        <f>IFERROR(E75/$C72,"-")</f>
        <v>-</v>
      </c>
      <c r="F76" s="367" t="str">
        <f>IFERROR(F75/$C72,"-")</f>
        <v>-</v>
      </c>
      <c r="G76" s="367" t="str">
        <f t="shared" ref="G76" si="804">IFERROR(G75/$C72,"-")</f>
        <v>-</v>
      </c>
      <c r="H76" s="367" t="str">
        <f t="shared" ref="H76" si="805">IFERROR(H75/$C72,"-")</f>
        <v>-</v>
      </c>
      <c r="I76" s="367" t="str">
        <f t="shared" ref="I76" si="806">IFERROR(I75/$C72,"-")</f>
        <v>-</v>
      </c>
      <c r="J76" s="367" t="str">
        <f t="shared" ref="J76" si="807">IFERROR(J75/$C72,"-")</f>
        <v>-</v>
      </c>
      <c r="K76" s="367" t="str">
        <f t="shared" ref="K76" si="808">IFERROR(K75/$C72,"-")</f>
        <v>-</v>
      </c>
      <c r="L76" s="367" t="str">
        <f t="shared" ref="L76" si="809">IFERROR(L75/$C72,"-")</f>
        <v>-</v>
      </c>
      <c r="M76" s="367" t="str">
        <f t="shared" ref="M76" si="810">IFERROR(M75/$C72,"-")</f>
        <v>-</v>
      </c>
      <c r="N76" s="367" t="str">
        <f t="shared" ref="N76" si="811">IFERROR(N75/$C72,"-")</f>
        <v>-</v>
      </c>
      <c r="O76" s="367" t="str">
        <f t="shared" ref="O76" si="812">IFERROR(O75/$C72,"-")</f>
        <v>-</v>
      </c>
      <c r="P76" s="367" t="str">
        <f t="shared" ref="P76" si="813">IFERROR(P75/$C72,"-")</f>
        <v>-</v>
      </c>
      <c r="Q76" s="367" t="str">
        <f t="shared" ref="Q76" si="814">IFERROR(Q75/$C72,"-")</f>
        <v>-</v>
      </c>
      <c r="R76" s="367" t="str">
        <f t="shared" ref="R76" si="815">IFERROR(R75/$C72,"-")</f>
        <v>-</v>
      </c>
      <c r="S76" s="367" t="str">
        <f t="shared" ref="S76" si="816">IFERROR(S75/$C72,"-")</f>
        <v>-</v>
      </c>
      <c r="T76" s="367" t="str">
        <f t="shared" ref="T76" si="817">IFERROR(T75/$C72,"-")</f>
        <v>-</v>
      </c>
      <c r="U76" s="367" t="str">
        <f t="shared" ref="U76" si="818">IFERROR(U75/$C72,"-")</f>
        <v>-</v>
      </c>
      <c r="V76" s="367" t="str">
        <f t="shared" ref="V76" si="819">IFERROR(V75/$C72,"-")</f>
        <v>-</v>
      </c>
      <c r="W76" s="367" t="str">
        <f t="shared" ref="W76" si="820">IFERROR(W75/$C72,"-")</f>
        <v>-</v>
      </c>
      <c r="X76" s="367" t="str">
        <f t="shared" ref="X76" si="821">IFERROR(X75/$C72,"-")</f>
        <v>-</v>
      </c>
      <c r="Y76" s="367" t="str">
        <f t="shared" ref="Y76" si="822">IFERROR(Y75/$C72,"-")</f>
        <v>-</v>
      </c>
      <c r="Z76" s="367" t="str">
        <f t="shared" ref="Z76" si="823">IFERROR(Z75/$C72,"-")</f>
        <v>-</v>
      </c>
      <c r="AA76" s="367" t="str">
        <f t="shared" ref="AA76" si="824">IFERROR(AA75/$C72,"-")</f>
        <v>-</v>
      </c>
      <c r="AB76" s="367" t="str">
        <f t="shared" ref="AB76" si="825">IFERROR(AB75/$C72,"-")</f>
        <v>-</v>
      </c>
      <c r="AC76" s="367" t="str">
        <f t="shared" ref="AC76" si="826">IFERROR(AC75/$C72,"-")</f>
        <v>-</v>
      </c>
      <c r="AD76" s="367" t="str">
        <f t="shared" ref="AD76" si="827">IFERROR(AD75/$C72,"-")</f>
        <v>-</v>
      </c>
      <c r="AE76" s="367" t="str">
        <f t="shared" ref="AE76" si="828">IFERROR(AE75/$C72,"-")</f>
        <v>-</v>
      </c>
      <c r="AF76" s="367" t="str">
        <f t="shared" ref="AF76" si="829">IFERROR(AF75/$C72,"-")</f>
        <v>-</v>
      </c>
      <c r="AG76" s="367" t="str">
        <f t="shared" ref="AG76" si="830">IFERROR(AG75/$C72,"-")</f>
        <v>-</v>
      </c>
      <c r="AH76" s="367" t="str">
        <f t="shared" ref="AH76" si="831">IFERROR(AH75/$C72,"-")</f>
        <v>-</v>
      </c>
      <c r="AI76" s="367" t="str">
        <f t="shared" ref="AI76" si="832">IFERROR(AI75/$C72,"-")</f>
        <v>-</v>
      </c>
      <c r="AJ76" s="367" t="str">
        <f t="shared" ref="AJ76" si="833">IFERROR(AJ75/$C72,"-")</f>
        <v>-</v>
      </c>
      <c r="AK76" s="367" t="str">
        <f t="shared" ref="AK76" si="834">IFERROR(AK75/$C72,"-")</f>
        <v>-</v>
      </c>
      <c r="AL76" s="367" t="str">
        <f t="shared" ref="AL76" si="835">IFERROR(AL75/$C72,"-")</f>
        <v>-</v>
      </c>
      <c r="AM76" s="367" t="str">
        <f t="shared" ref="AM76" si="836">IFERROR(AM75/$C72,"-")</f>
        <v>-</v>
      </c>
      <c r="AN76" s="367" t="str">
        <f t="shared" ref="AN76" si="837">IFERROR(AN75/$C72,"-")</f>
        <v>-</v>
      </c>
      <c r="AO76" s="367" t="str">
        <f t="shared" ref="AO76" si="838">IFERROR(AO75/$C72,"-")</f>
        <v>-</v>
      </c>
      <c r="AP76" s="367" t="str">
        <f t="shared" ref="AP76" si="839">IFERROR(AP75/$C72,"-")</f>
        <v>-</v>
      </c>
      <c r="AQ76" s="367" t="str">
        <f t="shared" ref="AQ76" si="840">IFERROR(AQ75/$C72,"-")</f>
        <v>-</v>
      </c>
      <c r="AR76" s="367" t="str">
        <f t="shared" ref="AR76" si="841">IFERROR(AR75/$C72,"-")</f>
        <v>-</v>
      </c>
      <c r="AS76" s="367" t="str">
        <f t="shared" ref="AS76" si="842">IFERROR(AS75/$C72,"-")</f>
        <v>-</v>
      </c>
      <c r="AT76" s="367" t="str">
        <f t="shared" ref="AT76" si="843">IFERROR(AT75/$C72,"-")</f>
        <v>-</v>
      </c>
      <c r="AU76" s="367" t="str">
        <f t="shared" ref="AU76" si="844">IFERROR(AU75/$C72,"-")</f>
        <v>-</v>
      </c>
      <c r="AV76" s="367" t="str">
        <f t="shared" ref="AV76" si="845">IFERROR(AV75/$C72,"-")</f>
        <v>-</v>
      </c>
      <c r="AW76" s="367" t="str">
        <f t="shared" ref="AW76" si="846">IFERROR(AW75/$C72,"-")</f>
        <v>-</v>
      </c>
      <c r="AX76" s="367" t="str">
        <f t="shared" ref="AX76" si="847">IFERROR(AX75/$C72,"-")</f>
        <v>-</v>
      </c>
      <c r="AY76" s="367" t="str">
        <f t="shared" ref="AY76" si="848">IFERROR(AY75/$C72,"-")</f>
        <v>-</v>
      </c>
      <c r="AZ76" s="367" t="str">
        <f t="shared" ref="AZ76" si="849">IFERROR(AZ75/$C72,"-")</f>
        <v>-</v>
      </c>
      <c r="BA76" s="367" t="str">
        <f t="shared" ref="BA76" si="850">IFERROR(BA75/$C72,"-")</f>
        <v>-</v>
      </c>
      <c r="BB76" s="368" t="str">
        <f t="shared" ref="BB76" si="851">IFERROR(BB75/$C72,"-")</f>
        <v>-</v>
      </c>
    </row>
    <row r="77" spans="1:54" ht="17.25" customHeight="1" thickBot="1">
      <c r="J77" s="6"/>
      <c r="K77" s="6"/>
      <c r="L77" s="6"/>
      <c r="M77" s="6"/>
      <c r="O77" s="5"/>
      <c r="P77" s="5"/>
      <c r="Q77" s="5"/>
      <c r="R77" s="5"/>
    </row>
    <row r="78" spans="1:54" ht="18" thickBot="1">
      <c r="A78"/>
      <c r="B78" s="533" t="s">
        <v>299</v>
      </c>
      <c r="C78" s="534"/>
      <c r="D78" s="32"/>
      <c r="E78" s="275"/>
      <c r="J78" s="6"/>
      <c r="K78" s="6"/>
      <c r="L78" s="6"/>
      <c r="M78" s="6"/>
    </row>
    <row r="79" spans="1:54" ht="15.75" thickBot="1">
      <c r="B79" s="360" t="s">
        <v>11</v>
      </c>
      <c r="C79" s="369">
        <v>0</v>
      </c>
      <c r="D79" s="364"/>
      <c r="E79" s="365">
        <f t="shared" ref="E79:AJ79" si="852">E$9</f>
        <v>2024</v>
      </c>
      <c r="F79" s="279">
        <f t="shared" si="852"/>
        <v>2025</v>
      </c>
      <c r="G79" s="279">
        <f t="shared" si="852"/>
        <v>2026</v>
      </c>
      <c r="H79" s="279">
        <f t="shared" si="852"/>
        <v>2027</v>
      </c>
      <c r="I79" s="279">
        <f t="shared" si="852"/>
        <v>2028</v>
      </c>
      <c r="J79" s="279">
        <f t="shared" si="852"/>
        <v>2029</v>
      </c>
      <c r="K79" s="279">
        <f t="shared" si="852"/>
        <v>2030</v>
      </c>
      <c r="L79" s="279">
        <f t="shared" si="852"/>
        <v>2031</v>
      </c>
      <c r="M79" s="279">
        <f t="shared" si="852"/>
        <v>2032</v>
      </c>
      <c r="N79" s="279">
        <f t="shared" si="852"/>
        <v>2033</v>
      </c>
      <c r="O79" s="279">
        <f t="shared" si="852"/>
        <v>2034</v>
      </c>
      <c r="P79" s="279">
        <f t="shared" si="852"/>
        <v>2035</v>
      </c>
      <c r="Q79" s="279">
        <f t="shared" si="852"/>
        <v>2036</v>
      </c>
      <c r="R79" s="279">
        <f t="shared" si="852"/>
        <v>2037</v>
      </c>
      <c r="S79" s="279">
        <f t="shared" si="852"/>
        <v>2038</v>
      </c>
      <c r="T79" s="279">
        <f t="shared" si="852"/>
        <v>2039</v>
      </c>
      <c r="U79" s="279">
        <f t="shared" si="852"/>
        <v>2040</v>
      </c>
      <c r="V79" s="279">
        <f t="shared" si="852"/>
        <v>2041</v>
      </c>
      <c r="W79" s="279">
        <f t="shared" si="852"/>
        <v>2042</v>
      </c>
      <c r="X79" s="279">
        <f t="shared" si="852"/>
        <v>2043</v>
      </c>
      <c r="Y79" s="279">
        <f t="shared" si="852"/>
        <v>2044</v>
      </c>
      <c r="Z79" s="279">
        <f t="shared" si="852"/>
        <v>2045</v>
      </c>
      <c r="AA79" s="279">
        <f t="shared" si="852"/>
        <v>2046</v>
      </c>
      <c r="AB79" s="279">
        <f t="shared" si="852"/>
        <v>2047</v>
      </c>
      <c r="AC79" s="279">
        <f t="shared" si="852"/>
        <v>2048</v>
      </c>
      <c r="AD79" s="279">
        <f t="shared" si="852"/>
        <v>2049</v>
      </c>
      <c r="AE79" s="279">
        <f t="shared" si="852"/>
        <v>2050</v>
      </c>
      <c r="AF79" s="279">
        <f t="shared" si="852"/>
        <v>2051</v>
      </c>
      <c r="AG79" s="279">
        <f t="shared" si="852"/>
        <v>2052</v>
      </c>
      <c r="AH79" s="279">
        <f t="shared" si="852"/>
        <v>2053</v>
      </c>
      <c r="AI79" s="279">
        <f t="shared" si="852"/>
        <v>2054</v>
      </c>
      <c r="AJ79" s="279">
        <f t="shared" si="852"/>
        <v>2055</v>
      </c>
      <c r="AK79" s="279">
        <f t="shared" ref="AK79:BB79" si="853">AK$9</f>
        <v>2056</v>
      </c>
      <c r="AL79" s="279">
        <f t="shared" si="853"/>
        <v>2057</v>
      </c>
      <c r="AM79" s="279">
        <f t="shared" si="853"/>
        <v>2058</v>
      </c>
      <c r="AN79" s="279">
        <f t="shared" si="853"/>
        <v>2059</v>
      </c>
      <c r="AO79" s="279">
        <f t="shared" si="853"/>
        <v>2060</v>
      </c>
      <c r="AP79" s="279">
        <f t="shared" si="853"/>
        <v>2061</v>
      </c>
      <c r="AQ79" s="279">
        <f t="shared" si="853"/>
        <v>2062</v>
      </c>
      <c r="AR79" s="279">
        <f t="shared" si="853"/>
        <v>2063</v>
      </c>
      <c r="AS79" s="279">
        <f t="shared" si="853"/>
        <v>2064</v>
      </c>
      <c r="AT79" s="279">
        <f t="shared" si="853"/>
        <v>2065</v>
      </c>
      <c r="AU79" s="279">
        <f t="shared" si="853"/>
        <v>2066</v>
      </c>
      <c r="AV79" s="279">
        <f t="shared" si="853"/>
        <v>2067</v>
      </c>
      <c r="AW79" s="279">
        <f t="shared" si="853"/>
        <v>2068</v>
      </c>
      <c r="AX79" s="279">
        <f t="shared" si="853"/>
        <v>2069</v>
      </c>
      <c r="AY79" s="279">
        <f t="shared" si="853"/>
        <v>2070</v>
      </c>
      <c r="AZ79" s="279">
        <f t="shared" si="853"/>
        <v>2071</v>
      </c>
      <c r="BA79" s="279">
        <f t="shared" si="853"/>
        <v>2072</v>
      </c>
      <c r="BB79" s="280">
        <f t="shared" si="853"/>
        <v>2073</v>
      </c>
    </row>
    <row r="80" spans="1:54">
      <c r="A80"/>
      <c r="B80" s="485" t="s">
        <v>261</v>
      </c>
      <c r="C80" s="535"/>
      <c r="D80" s="486"/>
      <c r="E80" s="307">
        <v>0</v>
      </c>
      <c r="F80" s="281">
        <f>E82</f>
        <v>0</v>
      </c>
      <c r="G80" s="281">
        <f t="shared" ref="G80" si="854">F82</f>
        <v>0</v>
      </c>
      <c r="H80" s="281">
        <f t="shared" ref="H80" si="855">G82</f>
        <v>0</v>
      </c>
      <c r="I80" s="281">
        <f t="shared" ref="I80" si="856">H82</f>
        <v>0</v>
      </c>
      <c r="J80" s="281">
        <f t="shared" ref="J80" si="857">I82</f>
        <v>0</v>
      </c>
      <c r="K80" s="281">
        <f t="shared" ref="K80" si="858">J82</f>
        <v>0</v>
      </c>
      <c r="L80" s="281">
        <f t="shared" ref="L80" si="859">K82</f>
        <v>0</v>
      </c>
      <c r="M80" s="281">
        <f t="shared" ref="M80" si="860">L82</f>
        <v>0</v>
      </c>
      <c r="N80" s="281">
        <f t="shared" ref="N80" si="861">M82</f>
        <v>0</v>
      </c>
      <c r="O80" s="281">
        <f t="shared" ref="O80" si="862">N82</f>
        <v>0</v>
      </c>
      <c r="P80" s="281">
        <f t="shared" ref="P80" si="863">O82</f>
        <v>0</v>
      </c>
      <c r="Q80" s="281">
        <f t="shared" ref="Q80" si="864">P82</f>
        <v>0</v>
      </c>
      <c r="R80" s="281">
        <f t="shared" ref="R80" si="865">Q82</f>
        <v>0</v>
      </c>
      <c r="S80" s="281">
        <f t="shared" ref="S80" si="866">R82</f>
        <v>0</v>
      </c>
      <c r="T80" s="281">
        <f t="shared" ref="T80" si="867">S82</f>
        <v>0</v>
      </c>
      <c r="U80" s="281">
        <f t="shared" ref="U80" si="868">T82</f>
        <v>0</v>
      </c>
      <c r="V80" s="281">
        <f t="shared" ref="V80" si="869">U82</f>
        <v>0</v>
      </c>
      <c r="W80" s="281">
        <f t="shared" ref="W80" si="870">V82</f>
        <v>0</v>
      </c>
      <c r="X80" s="281">
        <f t="shared" ref="X80" si="871">W82</f>
        <v>0</v>
      </c>
      <c r="Y80" s="281">
        <f t="shared" ref="Y80" si="872">X82</f>
        <v>0</v>
      </c>
      <c r="Z80" s="281">
        <f t="shared" ref="Z80" si="873">Y82</f>
        <v>0</v>
      </c>
      <c r="AA80" s="281">
        <f t="shared" ref="AA80" si="874">Z82</f>
        <v>0</v>
      </c>
      <c r="AB80" s="281">
        <f t="shared" ref="AB80" si="875">AA82</f>
        <v>0</v>
      </c>
      <c r="AC80" s="281">
        <f t="shared" ref="AC80" si="876">AB82</f>
        <v>0</v>
      </c>
      <c r="AD80" s="281">
        <f t="shared" ref="AD80" si="877">AC82</f>
        <v>0</v>
      </c>
      <c r="AE80" s="281">
        <f t="shared" ref="AE80" si="878">AD82</f>
        <v>0</v>
      </c>
      <c r="AF80" s="281">
        <f t="shared" ref="AF80" si="879">AE82</f>
        <v>0</v>
      </c>
      <c r="AG80" s="281">
        <f t="shared" ref="AG80" si="880">AF82</f>
        <v>0</v>
      </c>
      <c r="AH80" s="281">
        <f t="shared" ref="AH80" si="881">AG82</f>
        <v>0</v>
      </c>
      <c r="AI80" s="281">
        <f t="shared" ref="AI80" si="882">AH82</f>
        <v>0</v>
      </c>
      <c r="AJ80" s="281">
        <f t="shared" ref="AJ80" si="883">AI82</f>
        <v>0</v>
      </c>
      <c r="AK80" s="281">
        <f t="shared" ref="AK80" si="884">AJ82</f>
        <v>0</v>
      </c>
      <c r="AL80" s="281">
        <f t="shared" ref="AL80" si="885">AK82</f>
        <v>0</v>
      </c>
      <c r="AM80" s="281">
        <f t="shared" ref="AM80" si="886">AL82</f>
        <v>0</v>
      </c>
      <c r="AN80" s="281">
        <f t="shared" ref="AN80" si="887">AM82</f>
        <v>0</v>
      </c>
      <c r="AO80" s="281">
        <f t="shared" ref="AO80" si="888">AN82</f>
        <v>0</v>
      </c>
      <c r="AP80" s="281">
        <f t="shared" ref="AP80" si="889">AO82</f>
        <v>0</v>
      </c>
      <c r="AQ80" s="281">
        <f t="shared" ref="AQ80" si="890">AP82</f>
        <v>0</v>
      </c>
      <c r="AR80" s="281">
        <f t="shared" ref="AR80" si="891">AQ82</f>
        <v>0</v>
      </c>
      <c r="AS80" s="281">
        <f t="shared" ref="AS80" si="892">AR82</f>
        <v>0</v>
      </c>
      <c r="AT80" s="281">
        <f t="shared" ref="AT80" si="893">AS82</f>
        <v>0</v>
      </c>
      <c r="AU80" s="281">
        <f t="shared" ref="AU80" si="894">AT82</f>
        <v>0</v>
      </c>
      <c r="AV80" s="281">
        <f t="shared" ref="AV80" si="895">AU82</f>
        <v>0</v>
      </c>
      <c r="AW80" s="281">
        <f t="shared" ref="AW80" si="896">AV82</f>
        <v>0</v>
      </c>
      <c r="AX80" s="281">
        <f t="shared" ref="AX80" si="897">AW82</f>
        <v>0</v>
      </c>
      <c r="AY80" s="281">
        <f t="shared" ref="AY80" si="898">AX82</f>
        <v>0</v>
      </c>
      <c r="AZ80" s="281">
        <f t="shared" ref="AZ80" si="899">AY82</f>
        <v>0</v>
      </c>
      <c r="BA80" s="281">
        <f t="shared" ref="BA80" si="900">AZ82</f>
        <v>0</v>
      </c>
      <c r="BB80" s="282">
        <f t="shared" ref="BB80" si="901">BA82</f>
        <v>0</v>
      </c>
    </row>
    <row r="81" spans="1:54">
      <c r="A81"/>
      <c r="B81" s="479" t="s">
        <v>99</v>
      </c>
      <c r="C81" s="536"/>
      <c r="D81" s="480"/>
      <c r="E81" s="289">
        <f>Cockpit!$H$31</f>
        <v>0.03</v>
      </c>
      <c r="F81" s="289">
        <f>Cockpit!$H$31</f>
        <v>0.03</v>
      </c>
      <c r="G81" s="289">
        <f>Cockpit!$H$31</f>
        <v>0.03</v>
      </c>
      <c r="H81" s="289">
        <f>Cockpit!$H$31</f>
        <v>0.03</v>
      </c>
      <c r="I81" s="289">
        <f>Cockpit!$H$31</f>
        <v>0.03</v>
      </c>
      <c r="J81" s="289">
        <f>Cockpit!$H$31</f>
        <v>0.03</v>
      </c>
      <c r="K81" s="289">
        <f>Cockpit!$H$31</f>
        <v>0.03</v>
      </c>
      <c r="L81" s="289">
        <f>Cockpit!$H$31</f>
        <v>0.03</v>
      </c>
      <c r="M81" s="289">
        <f>Cockpit!$H$31</f>
        <v>0.03</v>
      </c>
      <c r="N81" s="289">
        <f>Cockpit!$H$31</f>
        <v>0.03</v>
      </c>
      <c r="O81" s="289">
        <f>Cockpit!$H$31</f>
        <v>0.03</v>
      </c>
      <c r="P81" s="289">
        <f>Cockpit!$H$31</f>
        <v>0.03</v>
      </c>
      <c r="Q81" s="289">
        <f>Cockpit!$H$31</f>
        <v>0.03</v>
      </c>
      <c r="R81" s="289">
        <f>Cockpit!$H$31</f>
        <v>0.03</v>
      </c>
      <c r="S81" s="289">
        <f>Cockpit!$H$31</f>
        <v>0.03</v>
      </c>
      <c r="T81" s="289">
        <f>Cockpit!$H$31</f>
        <v>0.03</v>
      </c>
      <c r="U81" s="289">
        <f>Cockpit!$H$31</f>
        <v>0.03</v>
      </c>
      <c r="V81" s="289">
        <f>Cockpit!$H$31</f>
        <v>0.03</v>
      </c>
      <c r="W81" s="289">
        <f>Cockpit!$H$31</f>
        <v>0.03</v>
      </c>
      <c r="X81" s="289">
        <f>Cockpit!$H$31</f>
        <v>0.03</v>
      </c>
      <c r="Y81" s="289">
        <f>Cockpit!$H$31</f>
        <v>0.03</v>
      </c>
      <c r="Z81" s="289">
        <f>Cockpit!$H$31</f>
        <v>0.03</v>
      </c>
      <c r="AA81" s="289">
        <f>Cockpit!$H$31</f>
        <v>0.03</v>
      </c>
      <c r="AB81" s="289">
        <f>Cockpit!$H$31</f>
        <v>0.03</v>
      </c>
      <c r="AC81" s="289">
        <f>Cockpit!$H$31</f>
        <v>0.03</v>
      </c>
      <c r="AD81" s="289">
        <f>Cockpit!$H$31</f>
        <v>0.03</v>
      </c>
      <c r="AE81" s="289">
        <f>Cockpit!$H$31</f>
        <v>0.03</v>
      </c>
      <c r="AF81" s="289">
        <f>Cockpit!$H$31</f>
        <v>0.03</v>
      </c>
      <c r="AG81" s="289">
        <f>Cockpit!$H$31</f>
        <v>0.03</v>
      </c>
      <c r="AH81" s="289">
        <f>Cockpit!$H$31</f>
        <v>0.03</v>
      </c>
      <c r="AI81" s="289">
        <f>Cockpit!$H$31</f>
        <v>0.03</v>
      </c>
      <c r="AJ81" s="289">
        <f>Cockpit!$H$31</f>
        <v>0.03</v>
      </c>
      <c r="AK81" s="289">
        <f>Cockpit!$H$31</f>
        <v>0.03</v>
      </c>
      <c r="AL81" s="289">
        <f>Cockpit!$H$31</f>
        <v>0.03</v>
      </c>
      <c r="AM81" s="289">
        <f>Cockpit!$H$31</f>
        <v>0.03</v>
      </c>
      <c r="AN81" s="289">
        <f>Cockpit!$H$31</f>
        <v>0.03</v>
      </c>
      <c r="AO81" s="289">
        <f>Cockpit!$H$31</f>
        <v>0.03</v>
      </c>
      <c r="AP81" s="289">
        <f>Cockpit!$H$31</f>
        <v>0.03</v>
      </c>
      <c r="AQ81" s="289">
        <f>Cockpit!$H$31</f>
        <v>0.03</v>
      </c>
      <c r="AR81" s="289">
        <f>Cockpit!$H$31</f>
        <v>0.03</v>
      </c>
      <c r="AS81" s="289">
        <f>Cockpit!$H$31</f>
        <v>0.03</v>
      </c>
      <c r="AT81" s="289">
        <f>Cockpit!$H$31</f>
        <v>0.03</v>
      </c>
      <c r="AU81" s="289">
        <f>Cockpit!$H$31</f>
        <v>0.03</v>
      </c>
      <c r="AV81" s="289">
        <f>Cockpit!$H$31</f>
        <v>0.03</v>
      </c>
      <c r="AW81" s="289">
        <f>Cockpit!$H$31</f>
        <v>0.03</v>
      </c>
      <c r="AX81" s="289">
        <f>Cockpit!$H$31</f>
        <v>0.03</v>
      </c>
      <c r="AY81" s="289">
        <f>Cockpit!$H$31</f>
        <v>0.03</v>
      </c>
      <c r="AZ81" s="289">
        <f>Cockpit!$H$31</f>
        <v>0.03</v>
      </c>
      <c r="BA81" s="289">
        <f>Cockpit!$H$31</f>
        <v>0.03</v>
      </c>
      <c r="BB81" s="290">
        <f>Cockpit!$H$31</f>
        <v>0.03</v>
      </c>
    </row>
    <row r="82" spans="1:54">
      <c r="B82" s="479" t="s">
        <v>67</v>
      </c>
      <c r="C82" s="536"/>
      <c r="D82" s="480"/>
      <c r="E82" s="10">
        <f t="shared" ref="E82:BB82" si="902">E80*(1+E81)</f>
        <v>0</v>
      </c>
      <c r="F82" s="10">
        <f t="shared" si="902"/>
        <v>0</v>
      </c>
      <c r="G82" s="10">
        <f t="shared" si="902"/>
        <v>0</v>
      </c>
      <c r="H82" s="10">
        <f t="shared" si="902"/>
        <v>0</v>
      </c>
      <c r="I82" s="10">
        <f t="shared" si="902"/>
        <v>0</v>
      </c>
      <c r="J82" s="10">
        <f t="shared" si="902"/>
        <v>0</v>
      </c>
      <c r="K82" s="10">
        <f t="shared" si="902"/>
        <v>0</v>
      </c>
      <c r="L82" s="10">
        <f t="shared" si="902"/>
        <v>0</v>
      </c>
      <c r="M82" s="10">
        <f t="shared" si="902"/>
        <v>0</v>
      </c>
      <c r="N82" s="10">
        <f t="shared" si="902"/>
        <v>0</v>
      </c>
      <c r="O82" s="10">
        <f t="shared" si="902"/>
        <v>0</v>
      </c>
      <c r="P82" s="10">
        <f t="shared" si="902"/>
        <v>0</v>
      </c>
      <c r="Q82" s="10">
        <f t="shared" si="902"/>
        <v>0</v>
      </c>
      <c r="R82" s="10">
        <f t="shared" si="902"/>
        <v>0</v>
      </c>
      <c r="S82" s="10">
        <f t="shared" si="902"/>
        <v>0</v>
      </c>
      <c r="T82" s="10">
        <f t="shared" si="902"/>
        <v>0</v>
      </c>
      <c r="U82" s="10">
        <f t="shared" si="902"/>
        <v>0</v>
      </c>
      <c r="V82" s="10">
        <f t="shared" si="902"/>
        <v>0</v>
      </c>
      <c r="W82" s="10">
        <f t="shared" si="902"/>
        <v>0</v>
      </c>
      <c r="X82" s="10">
        <f t="shared" si="902"/>
        <v>0</v>
      </c>
      <c r="Y82" s="10">
        <f t="shared" si="902"/>
        <v>0</v>
      </c>
      <c r="Z82" s="10">
        <f t="shared" si="902"/>
        <v>0</v>
      </c>
      <c r="AA82" s="10">
        <f t="shared" si="902"/>
        <v>0</v>
      </c>
      <c r="AB82" s="10">
        <f t="shared" si="902"/>
        <v>0</v>
      </c>
      <c r="AC82" s="10">
        <f t="shared" si="902"/>
        <v>0</v>
      </c>
      <c r="AD82" s="10">
        <f t="shared" si="902"/>
        <v>0</v>
      </c>
      <c r="AE82" s="10">
        <f t="shared" si="902"/>
        <v>0</v>
      </c>
      <c r="AF82" s="10">
        <f t="shared" si="902"/>
        <v>0</v>
      </c>
      <c r="AG82" s="10">
        <f t="shared" si="902"/>
        <v>0</v>
      </c>
      <c r="AH82" s="10">
        <f t="shared" si="902"/>
        <v>0</v>
      </c>
      <c r="AI82" s="10">
        <f t="shared" si="902"/>
        <v>0</v>
      </c>
      <c r="AJ82" s="10">
        <f t="shared" si="902"/>
        <v>0</v>
      </c>
      <c r="AK82" s="10">
        <f t="shared" si="902"/>
        <v>0</v>
      </c>
      <c r="AL82" s="10">
        <f t="shared" si="902"/>
        <v>0</v>
      </c>
      <c r="AM82" s="10">
        <f t="shared" si="902"/>
        <v>0</v>
      </c>
      <c r="AN82" s="10">
        <f t="shared" si="902"/>
        <v>0</v>
      </c>
      <c r="AO82" s="10">
        <f t="shared" si="902"/>
        <v>0</v>
      </c>
      <c r="AP82" s="10">
        <f t="shared" si="902"/>
        <v>0</v>
      </c>
      <c r="AQ82" s="10">
        <f t="shared" si="902"/>
        <v>0</v>
      </c>
      <c r="AR82" s="10">
        <f t="shared" si="902"/>
        <v>0</v>
      </c>
      <c r="AS82" s="10">
        <f t="shared" si="902"/>
        <v>0</v>
      </c>
      <c r="AT82" s="10">
        <f t="shared" si="902"/>
        <v>0</v>
      </c>
      <c r="AU82" s="10">
        <f t="shared" si="902"/>
        <v>0</v>
      </c>
      <c r="AV82" s="10">
        <f t="shared" si="902"/>
        <v>0</v>
      </c>
      <c r="AW82" s="10">
        <f t="shared" si="902"/>
        <v>0</v>
      </c>
      <c r="AX82" s="10">
        <f t="shared" si="902"/>
        <v>0</v>
      </c>
      <c r="AY82" s="10">
        <f t="shared" si="902"/>
        <v>0</v>
      </c>
      <c r="AZ82" s="10">
        <f t="shared" si="902"/>
        <v>0</v>
      </c>
      <c r="BA82" s="10">
        <f t="shared" si="902"/>
        <v>0</v>
      </c>
      <c r="BB82" s="283">
        <f t="shared" si="902"/>
        <v>0</v>
      </c>
    </row>
    <row r="83" spans="1:54" ht="15.75" thickBot="1">
      <c r="B83" s="492" t="s">
        <v>301</v>
      </c>
      <c r="C83" s="537"/>
      <c r="D83" s="493"/>
      <c r="E83" s="367" t="str">
        <f>IFERROR(E82/$C79,"-")</f>
        <v>-</v>
      </c>
      <c r="F83" s="367" t="str">
        <f>IFERROR(F82/$C79,"-")</f>
        <v>-</v>
      </c>
      <c r="G83" s="367" t="str">
        <f t="shared" ref="G83" si="903">IFERROR(G82/$C79,"-")</f>
        <v>-</v>
      </c>
      <c r="H83" s="367" t="str">
        <f t="shared" ref="H83" si="904">IFERROR(H82/$C79,"-")</f>
        <v>-</v>
      </c>
      <c r="I83" s="367" t="str">
        <f t="shared" ref="I83" si="905">IFERROR(I82/$C79,"-")</f>
        <v>-</v>
      </c>
      <c r="J83" s="367" t="str">
        <f t="shared" ref="J83" si="906">IFERROR(J82/$C79,"-")</f>
        <v>-</v>
      </c>
      <c r="K83" s="367" t="str">
        <f t="shared" ref="K83" si="907">IFERROR(K82/$C79,"-")</f>
        <v>-</v>
      </c>
      <c r="L83" s="367" t="str">
        <f t="shared" ref="L83" si="908">IFERROR(L82/$C79,"-")</f>
        <v>-</v>
      </c>
      <c r="M83" s="367" t="str">
        <f t="shared" ref="M83" si="909">IFERROR(M82/$C79,"-")</f>
        <v>-</v>
      </c>
      <c r="N83" s="367" t="str">
        <f t="shared" ref="N83" si="910">IFERROR(N82/$C79,"-")</f>
        <v>-</v>
      </c>
      <c r="O83" s="367" t="str">
        <f t="shared" ref="O83" si="911">IFERROR(O82/$C79,"-")</f>
        <v>-</v>
      </c>
      <c r="P83" s="367" t="str">
        <f t="shared" ref="P83" si="912">IFERROR(P82/$C79,"-")</f>
        <v>-</v>
      </c>
      <c r="Q83" s="367" t="str">
        <f t="shared" ref="Q83" si="913">IFERROR(Q82/$C79,"-")</f>
        <v>-</v>
      </c>
      <c r="R83" s="367" t="str">
        <f t="shared" ref="R83" si="914">IFERROR(R82/$C79,"-")</f>
        <v>-</v>
      </c>
      <c r="S83" s="367" t="str">
        <f t="shared" ref="S83" si="915">IFERROR(S82/$C79,"-")</f>
        <v>-</v>
      </c>
      <c r="T83" s="367" t="str">
        <f t="shared" ref="T83" si="916">IFERROR(T82/$C79,"-")</f>
        <v>-</v>
      </c>
      <c r="U83" s="367" t="str">
        <f t="shared" ref="U83" si="917">IFERROR(U82/$C79,"-")</f>
        <v>-</v>
      </c>
      <c r="V83" s="367" t="str">
        <f t="shared" ref="V83" si="918">IFERROR(V82/$C79,"-")</f>
        <v>-</v>
      </c>
      <c r="W83" s="367" t="str">
        <f t="shared" ref="W83" si="919">IFERROR(W82/$C79,"-")</f>
        <v>-</v>
      </c>
      <c r="X83" s="367" t="str">
        <f t="shared" ref="X83" si="920">IFERROR(X82/$C79,"-")</f>
        <v>-</v>
      </c>
      <c r="Y83" s="367" t="str">
        <f t="shared" ref="Y83" si="921">IFERROR(Y82/$C79,"-")</f>
        <v>-</v>
      </c>
      <c r="Z83" s="367" t="str">
        <f t="shared" ref="Z83" si="922">IFERROR(Z82/$C79,"-")</f>
        <v>-</v>
      </c>
      <c r="AA83" s="367" t="str">
        <f t="shared" ref="AA83" si="923">IFERROR(AA82/$C79,"-")</f>
        <v>-</v>
      </c>
      <c r="AB83" s="367" t="str">
        <f t="shared" ref="AB83" si="924">IFERROR(AB82/$C79,"-")</f>
        <v>-</v>
      </c>
      <c r="AC83" s="367" t="str">
        <f t="shared" ref="AC83" si="925">IFERROR(AC82/$C79,"-")</f>
        <v>-</v>
      </c>
      <c r="AD83" s="367" t="str">
        <f t="shared" ref="AD83" si="926">IFERROR(AD82/$C79,"-")</f>
        <v>-</v>
      </c>
      <c r="AE83" s="367" t="str">
        <f t="shared" ref="AE83" si="927">IFERROR(AE82/$C79,"-")</f>
        <v>-</v>
      </c>
      <c r="AF83" s="367" t="str">
        <f t="shared" ref="AF83" si="928">IFERROR(AF82/$C79,"-")</f>
        <v>-</v>
      </c>
      <c r="AG83" s="367" t="str">
        <f t="shared" ref="AG83" si="929">IFERROR(AG82/$C79,"-")</f>
        <v>-</v>
      </c>
      <c r="AH83" s="367" t="str">
        <f t="shared" ref="AH83" si="930">IFERROR(AH82/$C79,"-")</f>
        <v>-</v>
      </c>
      <c r="AI83" s="367" t="str">
        <f t="shared" ref="AI83" si="931">IFERROR(AI82/$C79,"-")</f>
        <v>-</v>
      </c>
      <c r="AJ83" s="367" t="str">
        <f t="shared" ref="AJ83" si="932">IFERROR(AJ82/$C79,"-")</f>
        <v>-</v>
      </c>
      <c r="AK83" s="367" t="str">
        <f t="shared" ref="AK83" si="933">IFERROR(AK82/$C79,"-")</f>
        <v>-</v>
      </c>
      <c r="AL83" s="367" t="str">
        <f t="shared" ref="AL83" si="934">IFERROR(AL82/$C79,"-")</f>
        <v>-</v>
      </c>
      <c r="AM83" s="367" t="str">
        <f t="shared" ref="AM83" si="935">IFERROR(AM82/$C79,"-")</f>
        <v>-</v>
      </c>
      <c r="AN83" s="367" t="str">
        <f t="shared" ref="AN83" si="936">IFERROR(AN82/$C79,"-")</f>
        <v>-</v>
      </c>
      <c r="AO83" s="367" t="str">
        <f t="shared" ref="AO83" si="937">IFERROR(AO82/$C79,"-")</f>
        <v>-</v>
      </c>
      <c r="AP83" s="367" t="str">
        <f t="shared" ref="AP83" si="938">IFERROR(AP82/$C79,"-")</f>
        <v>-</v>
      </c>
      <c r="AQ83" s="367" t="str">
        <f t="shared" ref="AQ83" si="939">IFERROR(AQ82/$C79,"-")</f>
        <v>-</v>
      </c>
      <c r="AR83" s="367" t="str">
        <f t="shared" ref="AR83" si="940">IFERROR(AR82/$C79,"-")</f>
        <v>-</v>
      </c>
      <c r="AS83" s="367" t="str">
        <f t="shared" ref="AS83" si="941">IFERROR(AS82/$C79,"-")</f>
        <v>-</v>
      </c>
      <c r="AT83" s="367" t="str">
        <f t="shared" ref="AT83" si="942">IFERROR(AT82/$C79,"-")</f>
        <v>-</v>
      </c>
      <c r="AU83" s="367" t="str">
        <f t="shared" ref="AU83" si="943">IFERROR(AU82/$C79,"-")</f>
        <v>-</v>
      </c>
      <c r="AV83" s="367" t="str">
        <f t="shared" ref="AV83" si="944">IFERROR(AV82/$C79,"-")</f>
        <v>-</v>
      </c>
      <c r="AW83" s="367" t="str">
        <f t="shared" ref="AW83" si="945">IFERROR(AW82/$C79,"-")</f>
        <v>-</v>
      </c>
      <c r="AX83" s="367" t="str">
        <f t="shared" ref="AX83" si="946">IFERROR(AX82/$C79,"-")</f>
        <v>-</v>
      </c>
      <c r="AY83" s="367" t="str">
        <f t="shared" ref="AY83" si="947">IFERROR(AY82/$C79,"-")</f>
        <v>-</v>
      </c>
      <c r="AZ83" s="367" t="str">
        <f t="shared" ref="AZ83" si="948">IFERROR(AZ82/$C79,"-")</f>
        <v>-</v>
      </c>
      <c r="BA83" s="367" t="str">
        <f t="shared" ref="BA83" si="949">IFERROR(BA82/$C79,"-")</f>
        <v>-</v>
      </c>
      <c r="BB83" s="368" t="str">
        <f t="shared" ref="BB83" si="950">IFERROR(BB82/$C79,"-")</f>
        <v>-</v>
      </c>
    </row>
    <row r="84" spans="1:54" ht="17.25" customHeight="1" thickBot="1">
      <c r="J84" s="6"/>
      <c r="K84" s="6"/>
      <c r="L84" s="6"/>
      <c r="M84" s="6"/>
      <c r="O84" s="5"/>
      <c r="P84" s="5"/>
      <c r="Q84" s="5"/>
      <c r="R84" s="5"/>
    </row>
    <row r="85" spans="1:54" ht="18" thickBot="1">
      <c r="A85"/>
      <c r="B85" s="533" t="s">
        <v>300</v>
      </c>
      <c r="C85" s="534"/>
      <c r="D85" s="32"/>
      <c r="E85" s="275"/>
      <c r="J85" s="6"/>
      <c r="K85" s="6"/>
      <c r="L85" s="6"/>
      <c r="M85" s="6"/>
    </row>
    <row r="86" spans="1:54" ht="15.75" thickBot="1">
      <c r="B86" s="360" t="s">
        <v>11</v>
      </c>
      <c r="C86" s="369">
        <v>0</v>
      </c>
      <c r="D86" s="364"/>
      <c r="E86" s="365">
        <f t="shared" ref="E86:AJ86" si="951">E$9</f>
        <v>2024</v>
      </c>
      <c r="F86" s="279">
        <f t="shared" si="951"/>
        <v>2025</v>
      </c>
      <c r="G86" s="279">
        <f t="shared" si="951"/>
        <v>2026</v>
      </c>
      <c r="H86" s="279">
        <f t="shared" si="951"/>
        <v>2027</v>
      </c>
      <c r="I86" s="279">
        <f t="shared" si="951"/>
        <v>2028</v>
      </c>
      <c r="J86" s="279">
        <f t="shared" si="951"/>
        <v>2029</v>
      </c>
      <c r="K86" s="279">
        <f t="shared" si="951"/>
        <v>2030</v>
      </c>
      <c r="L86" s="279">
        <f t="shared" si="951"/>
        <v>2031</v>
      </c>
      <c r="M86" s="279">
        <f t="shared" si="951"/>
        <v>2032</v>
      </c>
      <c r="N86" s="279">
        <f t="shared" si="951"/>
        <v>2033</v>
      </c>
      <c r="O86" s="279">
        <f t="shared" si="951"/>
        <v>2034</v>
      </c>
      <c r="P86" s="279">
        <f t="shared" si="951"/>
        <v>2035</v>
      </c>
      <c r="Q86" s="279">
        <f t="shared" si="951"/>
        <v>2036</v>
      </c>
      <c r="R86" s="279">
        <f t="shared" si="951"/>
        <v>2037</v>
      </c>
      <c r="S86" s="279">
        <f t="shared" si="951"/>
        <v>2038</v>
      </c>
      <c r="T86" s="279">
        <f t="shared" si="951"/>
        <v>2039</v>
      </c>
      <c r="U86" s="279">
        <f t="shared" si="951"/>
        <v>2040</v>
      </c>
      <c r="V86" s="279">
        <f t="shared" si="951"/>
        <v>2041</v>
      </c>
      <c r="W86" s="279">
        <f t="shared" si="951"/>
        <v>2042</v>
      </c>
      <c r="X86" s="279">
        <f t="shared" si="951"/>
        <v>2043</v>
      </c>
      <c r="Y86" s="279">
        <f t="shared" si="951"/>
        <v>2044</v>
      </c>
      <c r="Z86" s="279">
        <f t="shared" si="951"/>
        <v>2045</v>
      </c>
      <c r="AA86" s="279">
        <f t="shared" si="951"/>
        <v>2046</v>
      </c>
      <c r="AB86" s="279">
        <f t="shared" si="951"/>
        <v>2047</v>
      </c>
      <c r="AC86" s="279">
        <f t="shared" si="951"/>
        <v>2048</v>
      </c>
      <c r="AD86" s="279">
        <f t="shared" si="951"/>
        <v>2049</v>
      </c>
      <c r="AE86" s="279">
        <f t="shared" si="951"/>
        <v>2050</v>
      </c>
      <c r="AF86" s="279">
        <f t="shared" si="951"/>
        <v>2051</v>
      </c>
      <c r="AG86" s="279">
        <f t="shared" si="951"/>
        <v>2052</v>
      </c>
      <c r="AH86" s="279">
        <f t="shared" si="951"/>
        <v>2053</v>
      </c>
      <c r="AI86" s="279">
        <f t="shared" si="951"/>
        <v>2054</v>
      </c>
      <c r="AJ86" s="279">
        <f t="shared" si="951"/>
        <v>2055</v>
      </c>
      <c r="AK86" s="279">
        <f t="shared" ref="AK86:BB86" si="952">AK$9</f>
        <v>2056</v>
      </c>
      <c r="AL86" s="279">
        <f t="shared" si="952"/>
        <v>2057</v>
      </c>
      <c r="AM86" s="279">
        <f t="shared" si="952"/>
        <v>2058</v>
      </c>
      <c r="AN86" s="279">
        <f t="shared" si="952"/>
        <v>2059</v>
      </c>
      <c r="AO86" s="279">
        <f t="shared" si="952"/>
        <v>2060</v>
      </c>
      <c r="AP86" s="279">
        <f t="shared" si="952"/>
        <v>2061</v>
      </c>
      <c r="AQ86" s="279">
        <f t="shared" si="952"/>
        <v>2062</v>
      </c>
      <c r="AR86" s="279">
        <f t="shared" si="952"/>
        <v>2063</v>
      </c>
      <c r="AS86" s="279">
        <f t="shared" si="952"/>
        <v>2064</v>
      </c>
      <c r="AT86" s="279">
        <f t="shared" si="952"/>
        <v>2065</v>
      </c>
      <c r="AU86" s="279">
        <f t="shared" si="952"/>
        <v>2066</v>
      </c>
      <c r="AV86" s="279">
        <f t="shared" si="952"/>
        <v>2067</v>
      </c>
      <c r="AW86" s="279">
        <f t="shared" si="952"/>
        <v>2068</v>
      </c>
      <c r="AX86" s="279">
        <f t="shared" si="952"/>
        <v>2069</v>
      </c>
      <c r="AY86" s="279">
        <f t="shared" si="952"/>
        <v>2070</v>
      </c>
      <c r="AZ86" s="279">
        <f t="shared" si="952"/>
        <v>2071</v>
      </c>
      <c r="BA86" s="279">
        <f t="shared" si="952"/>
        <v>2072</v>
      </c>
      <c r="BB86" s="280">
        <f t="shared" si="952"/>
        <v>2073</v>
      </c>
    </row>
    <row r="87" spans="1:54">
      <c r="A87"/>
      <c r="B87" s="485" t="s">
        <v>261</v>
      </c>
      <c r="C87" s="535"/>
      <c r="D87" s="486"/>
      <c r="E87" s="307">
        <v>0</v>
      </c>
      <c r="F87" s="281">
        <f>E89</f>
        <v>0</v>
      </c>
      <c r="G87" s="281">
        <f t="shared" ref="G87" si="953">F89</f>
        <v>0</v>
      </c>
      <c r="H87" s="281">
        <f t="shared" ref="H87" si="954">G89</f>
        <v>0</v>
      </c>
      <c r="I87" s="281">
        <f t="shared" ref="I87" si="955">H89</f>
        <v>0</v>
      </c>
      <c r="J87" s="281">
        <f t="shared" ref="J87" si="956">I89</f>
        <v>0</v>
      </c>
      <c r="K87" s="281">
        <f t="shared" ref="K87" si="957">J89</f>
        <v>0</v>
      </c>
      <c r="L87" s="281">
        <f t="shared" ref="L87" si="958">K89</f>
        <v>0</v>
      </c>
      <c r="M87" s="281">
        <f t="shared" ref="M87" si="959">L89</f>
        <v>0</v>
      </c>
      <c r="N87" s="281">
        <f t="shared" ref="N87" si="960">M89</f>
        <v>0</v>
      </c>
      <c r="O87" s="281">
        <f t="shared" ref="O87" si="961">N89</f>
        <v>0</v>
      </c>
      <c r="P87" s="281">
        <f t="shared" ref="P87" si="962">O89</f>
        <v>0</v>
      </c>
      <c r="Q87" s="281">
        <f t="shared" ref="Q87" si="963">P89</f>
        <v>0</v>
      </c>
      <c r="R87" s="281">
        <f t="shared" ref="R87" si="964">Q89</f>
        <v>0</v>
      </c>
      <c r="S87" s="281">
        <f t="shared" ref="S87" si="965">R89</f>
        <v>0</v>
      </c>
      <c r="T87" s="281">
        <f t="shared" ref="T87" si="966">S89</f>
        <v>0</v>
      </c>
      <c r="U87" s="281">
        <f t="shared" ref="U87" si="967">T89</f>
        <v>0</v>
      </c>
      <c r="V87" s="281">
        <f t="shared" ref="V87" si="968">U89</f>
        <v>0</v>
      </c>
      <c r="W87" s="281">
        <f t="shared" ref="W87" si="969">V89</f>
        <v>0</v>
      </c>
      <c r="X87" s="281">
        <f t="shared" ref="X87" si="970">W89</f>
        <v>0</v>
      </c>
      <c r="Y87" s="281">
        <f t="shared" ref="Y87" si="971">X89</f>
        <v>0</v>
      </c>
      <c r="Z87" s="281">
        <f t="shared" ref="Z87" si="972">Y89</f>
        <v>0</v>
      </c>
      <c r="AA87" s="281">
        <f t="shared" ref="AA87" si="973">Z89</f>
        <v>0</v>
      </c>
      <c r="AB87" s="281">
        <f t="shared" ref="AB87" si="974">AA89</f>
        <v>0</v>
      </c>
      <c r="AC87" s="281">
        <f t="shared" ref="AC87" si="975">AB89</f>
        <v>0</v>
      </c>
      <c r="AD87" s="281">
        <f t="shared" ref="AD87" si="976">AC89</f>
        <v>0</v>
      </c>
      <c r="AE87" s="281">
        <f t="shared" ref="AE87" si="977">AD89</f>
        <v>0</v>
      </c>
      <c r="AF87" s="281">
        <f t="shared" ref="AF87" si="978">AE89</f>
        <v>0</v>
      </c>
      <c r="AG87" s="281">
        <f t="shared" ref="AG87" si="979">AF89</f>
        <v>0</v>
      </c>
      <c r="AH87" s="281">
        <f t="shared" ref="AH87" si="980">AG89</f>
        <v>0</v>
      </c>
      <c r="AI87" s="281">
        <f t="shared" ref="AI87" si="981">AH89</f>
        <v>0</v>
      </c>
      <c r="AJ87" s="281">
        <f t="shared" ref="AJ87" si="982">AI89</f>
        <v>0</v>
      </c>
      <c r="AK87" s="281">
        <f t="shared" ref="AK87" si="983">AJ89</f>
        <v>0</v>
      </c>
      <c r="AL87" s="281">
        <f t="shared" ref="AL87" si="984">AK89</f>
        <v>0</v>
      </c>
      <c r="AM87" s="281">
        <f t="shared" ref="AM87" si="985">AL89</f>
        <v>0</v>
      </c>
      <c r="AN87" s="281">
        <f t="shared" ref="AN87" si="986">AM89</f>
        <v>0</v>
      </c>
      <c r="AO87" s="281">
        <f t="shared" ref="AO87" si="987">AN89</f>
        <v>0</v>
      </c>
      <c r="AP87" s="281">
        <f t="shared" ref="AP87" si="988">AO89</f>
        <v>0</v>
      </c>
      <c r="AQ87" s="281">
        <f t="shared" ref="AQ87" si="989">AP89</f>
        <v>0</v>
      </c>
      <c r="AR87" s="281">
        <f t="shared" ref="AR87" si="990">AQ89</f>
        <v>0</v>
      </c>
      <c r="AS87" s="281">
        <f t="shared" ref="AS87" si="991">AR89</f>
        <v>0</v>
      </c>
      <c r="AT87" s="281">
        <f t="shared" ref="AT87" si="992">AS89</f>
        <v>0</v>
      </c>
      <c r="AU87" s="281">
        <f t="shared" ref="AU87" si="993">AT89</f>
        <v>0</v>
      </c>
      <c r="AV87" s="281">
        <f t="shared" ref="AV87" si="994">AU89</f>
        <v>0</v>
      </c>
      <c r="AW87" s="281">
        <f t="shared" ref="AW87" si="995">AV89</f>
        <v>0</v>
      </c>
      <c r="AX87" s="281">
        <f t="shared" ref="AX87" si="996">AW89</f>
        <v>0</v>
      </c>
      <c r="AY87" s="281">
        <f t="shared" ref="AY87" si="997">AX89</f>
        <v>0</v>
      </c>
      <c r="AZ87" s="281">
        <f t="shared" ref="AZ87" si="998">AY89</f>
        <v>0</v>
      </c>
      <c r="BA87" s="281">
        <f t="shared" ref="BA87" si="999">AZ89</f>
        <v>0</v>
      </c>
      <c r="BB87" s="282">
        <f t="shared" ref="BB87" si="1000">BA89</f>
        <v>0</v>
      </c>
    </row>
    <row r="88" spans="1:54">
      <c r="A88"/>
      <c r="B88" s="479" t="s">
        <v>99</v>
      </c>
      <c r="C88" s="536"/>
      <c r="D88" s="480"/>
      <c r="E88" s="289">
        <f>Cockpit!$H$31</f>
        <v>0.03</v>
      </c>
      <c r="F88" s="289">
        <f>Cockpit!$H$31</f>
        <v>0.03</v>
      </c>
      <c r="G88" s="289">
        <f>Cockpit!$H$31</f>
        <v>0.03</v>
      </c>
      <c r="H88" s="289">
        <f>Cockpit!$H$31</f>
        <v>0.03</v>
      </c>
      <c r="I88" s="289">
        <f>Cockpit!$H$31</f>
        <v>0.03</v>
      </c>
      <c r="J88" s="289">
        <f>Cockpit!$H$31</f>
        <v>0.03</v>
      </c>
      <c r="K88" s="289">
        <f>Cockpit!$H$31</f>
        <v>0.03</v>
      </c>
      <c r="L88" s="289">
        <f>Cockpit!$H$31</f>
        <v>0.03</v>
      </c>
      <c r="M88" s="289">
        <f>Cockpit!$H$31</f>
        <v>0.03</v>
      </c>
      <c r="N88" s="289">
        <f>Cockpit!$H$31</f>
        <v>0.03</v>
      </c>
      <c r="O88" s="289">
        <f>Cockpit!$H$31</f>
        <v>0.03</v>
      </c>
      <c r="P88" s="289">
        <f>Cockpit!$H$31</f>
        <v>0.03</v>
      </c>
      <c r="Q88" s="289">
        <f>Cockpit!$H$31</f>
        <v>0.03</v>
      </c>
      <c r="R88" s="289">
        <f>Cockpit!$H$31</f>
        <v>0.03</v>
      </c>
      <c r="S88" s="289">
        <f>Cockpit!$H$31</f>
        <v>0.03</v>
      </c>
      <c r="T88" s="289">
        <f>Cockpit!$H$31</f>
        <v>0.03</v>
      </c>
      <c r="U88" s="289">
        <f>Cockpit!$H$31</f>
        <v>0.03</v>
      </c>
      <c r="V88" s="289">
        <f>Cockpit!$H$31</f>
        <v>0.03</v>
      </c>
      <c r="W88" s="289">
        <f>Cockpit!$H$31</f>
        <v>0.03</v>
      </c>
      <c r="X88" s="289">
        <f>Cockpit!$H$31</f>
        <v>0.03</v>
      </c>
      <c r="Y88" s="289">
        <f>Cockpit!$H$31</f>
        <v>0.03</v>
      </c>
      <c r="Z88" s="289">
        <f>Cockpit!$H$31</f>
        <v>0.03</v>
      </c>
      <c r="AA88" s="289">
        <f>Cockpit!$H$31</f>
        <v>0.03</v>
      </c>
      <c r="AB88" s="289">
        <f>Cockpit!$H$31</f>
        <v>0.03</v>
      </c>
      <c r="AC88" s="289">
        <f>Cockpit!$H$31</f>
        <v>0.03</v>
      </c>
      <c r="AD88" s="289">
        <f>Cockpit!$H$31</f>
        <v>0.03</v>
      </c>
      <c r="AE88" s="289">
        <f>Cockpit!$H$31</f>
        <v>0.03</v>
      </c>
      <c r="AF88" s="289">
        <f>Cockpit!$H$31</f>
        <v>0.03</v>
      </c>
      <c r="AG88" s="289">
        <f>Cockpit!$H$31</f>
        <v>0.03</v>
      </c>
      <c r="AH88" s="289">
        <f>Cockpit!$H$31</f>
        <v>0.03</v>
      </c>
      <c r="AI88" s="289">
        <f>Cockpit!$H$31</f>
        <v>0.03</v>
      </c>
      <c r="AJ88" s="289">
        <f>Cockpit!$H$31</f>
        <v>0.03</v>
      </c>
      <c r="AK88" s="289">
        <f>Cockpit!$H$31</f>
        <v>0.03</v>
      </c>
      <c r="AL88" s="289">
        <f>Cockpit!$H$31</f>
        <v>0.03</v>
      </c>
      <c r="AM88" s="289">
        <f>Cockpit!$H$31</f>
        <v>0.03</v>
      </c>
      <c r="AN88" s="289">
        <f>Cockpit!$H$31</f>
        <v>0.03</v>
      </c>
      <c r="AO88" s="289">
        <f>Cockpit!$H$31</f>
        <v>0.03</v>
      </c>
      <c r="AP88" s="289">
        <f>Cockpit!$H$31</f>
        <v>0.03</v>
      </c>
      <c r="AQ88" s="289">
        <f>Cockpit!$H$31</f>
        <v>0.03</v>
      </c>
      <c r="AR88" s="289">
        <f>Cockpit!$H$31</f>
        <v>0.03</v>
      </c>
      <c r="AS88" s="289">
        <f>Cockpit!$H$31</f>
        <v>0.03</v>
      </c>
      <c r="AT88" s="289">
        <f>Cockpit!$H$31</f>
        <v>0.03</v>
      </c>
      <c r="AU88" s="289">
        <f>Cockpit!$H$31</f>
        <v>0.03</v>
      </c>
      <c r="AV88" s="289">
        <f>Cockpit!$H$31</f>
        <v>0.03</v>
      </c>
      <c r="AW88" s="289">
        <f>Cockpit!$H$31</f>
        <v>0.03</v>
      </c>
      <c r="AX88" s="289">
        <f>Cockpit!$H$31</f>
        <v>0.03</v>
      </c>
      <c r="AY88" s="289">
        <f>Cockpit!$H$31</f>
        <v>0.03</v>
      </c>
      <c r="AZ88" s="289">
        <f>Cockpit!$H$31</f>
        <v>0.03</v>
      </c>
      <c r="BA88" s="289">
        <f>Cockpit!$H$31</f>
        <v>0.03</v>
      </c>
      <c r="BB88" s="290">
        <f>Cockpit!$H$31</f>
        <v>0.03</v>
      </c>
    </row>
    <row r="89" spans="1:54">
      <c r="B89" s="479" t="s">
        <v>67</v>
      </c>
      <c r="C89" s="536"/>
      <c r="D89" s="480"/>
      <c r="E89" s="10">
        <f t="shared" ref="E89:BB89" si="1001">E87*(1+E88)</f>
        <v>0</v>
      </c>
      <c r="F89" s="10">
        <f t="shared" si="1001"/>
        <v>0</v>
      </c>
      <c r="G89" s="10">
        <f t="shared" si="1001"/>
        <v>0</v>
      </c>
      <c r="H89" s="10">
        <f t="shared" si="1001"/>
        <v>0</v>
      </c>
      <c r="I89" s="10">
        <f t="shared" si="1001"/>
        <v>0</v>
      </c>
      <c r="J89" s="10">
        <f t="shared" si="1001"/>
        <v>0</v>
      </c>
      <c r="K89" s="10">
        <f t="shared" si="1001"/>
        <v>0</v>
      </c>
      <c r="L89" s="10">
        <f t="shared" si="1001"/>
        <v>0</v>
      </c>
      <c r="M89" s="10">
        <f t="shared" si="1001"/>
        <v>0</v>
      </c>
      <c r="N89" s="10">
        <f t="shared" si="1001"/>
        <v>0</v>
      </c>
      <c r="O89" s="10">
        <f t="shared" si="1001"/>
        <v>0</v>
      </c>
      <c r="P89" s="10">
        <f t="shared" si="1001"/>
        <v>0</v>
      </c>
      <c r="Q89" s="10">
        <f t="shared" si="1001"/>
        <v>0</v>
      </c>
      <c r="R89" s="10">
        <f t="shared" si="1001"/>
        <v>0</v>
      </c>
      <c r="S89" s="10">
        <f t="shared" si="1001"/>
        <v>0</v>
      </c>
      <c r="T89" s="10">
        <f t="shared" si="1001"/>
        <v>0</v>
      </c>
      <c r="U89" s="10">
        <f t="shared" si="1001"/>
        <v>0</v>
      </c>
      <c r="V89" s="10">
        <f t="shared" si="1001"/>
        <v>0</v>
      </c>
      <c r="W89" s="10">
        <f t="shared" si="1001"/>
        <v>0</v>
      </c>
      <c r="X89" s="10">
        <f t="shared" si="1001"/>
        <v>0</v>
      </c>
      <c r="Y89" s="10">
        <f t="shared" si="1001"/>
        <v>0</v>
      </c>
      <c r="Z89" s="10">
        <f t="shared" si="1001"/>
        <v>0</v>
      </c>
      <c r="AA89" s="10">
        <f t="shared" si="1001"/>
        <v>0</v>
      </c>
      <c r="AB89" s="10">
        <f t="shared" si="1001"/>
        <v>0</v>
      </c>
      <c r="AC89" s="10">
        <f t="shared" si="1001"/>
        <v>0</v>
      </c>
      <c r="AD89" s="10">
        <f t="shared" si="1001"/>
        <v>0</v>
      </c>
      <c r="AE89" s="10">
        <f t="shared" si="1001"/>
        <v>0</v>
      </c>
      <c r="AF89" s="10">
        <f t="shared" si="1001"/>
        <v>0</v>
      </c>
      <c r="AG89" s="10">
        <f t="shared" si="1001"/>
        <v>0</v>
      </c>
      <c r="AH89" s="10">
        <f t="shared" si="1001"/>
        <v>0</v>
      </c>
      <c r="AI89" s="10">
        <f t="shared" si="1001"/>
        <v>0</v>
      </c>
      <c r="AJ89" s="10">
        <f t="shared" si="1001"/>
        <v>0</v>
      </c>
      <c r="AK89" s="10">
        <f t="shared" si="1001"/>
        <v>0</v>
      </c>
      <c r="AL89" s="10">
        <f t="shared" si="1001"/>
        <v>0</v>
      </c>
      <c r="AM89" s="10">
        <f t="shared" si="1001"/>
        <v>0</v>
      </c>
      <c r="AN89" s="10">
        <f t="shared" si="1001"/>
        <v>0</v>
      </c>
      <c r="AO89" s="10">
        <f t="shared" si="1001"/>
        <v>0</v>
      </c>
      <c r="AP89" s="10">
        <f t="shared" si="1001"/>
        <v>0</v>
      </c>
      <c r="AQ89" s="10">
        <f t="shared" si="1001"/>
        <v>0</v>
      </c>
      <c r="AR89" s="10">
        <f t="shared" si="1001"/>
        <v>0</v>
      </c>
      <c r="AS89" s="10">
        <f t="shared" si="1001"/>
        <v>0</v>
      </c>
      <c r="AT89" s="10">
        <f t="shared" si="1001"/>
        <v>0</v>
      </c>
      <c r="AU89" s="10">
        <f t="shared" si="1001"/>
        <v>0</v>
      </c>
      <c r="AV89" s="10">
        <f t="shared" si="1001"/>
        <v>0</v>
      </c>
      <c r="AW89" s="10">
        <f t="shared" si="1001"/>
        <v>0</v>
      </c>
      <c r="AX89" s="10">
        <f t="shared" si="1001"/>
        <v>0</v>
      </c>
      <c r="AY89" s="10">
        <f t="shared" si="1001"/>
        <v>0</v>
      </c>
      <c r="AZ89" s="10">
        <f t="shared" si="1001"/>
        <v>0</v>
      </c>
      <c r="BA89" s="10">
        <f t="shared" si="1001"/>
        <v>0</v>
      </c>
      <c r="BB89" s="283">
        <f t="shared" si="1001"/>
        <v>0</v>
      </c>
    </row>
    <row r="90" spans="1:54" ht="15.75" thickBot="1">
      <c r="B90" s="492" t="s">
        <v>301</v>
      </c>
      <c r="C90" s="537"/>
      <c r="D90" s="493"/>
      <c r="E90" s="367" t="str">
        <f>IFERROR(E89/$C86,"-")</f>
        <v>-</v>
      </c>
      <c r="F90" s="367" t="str">
        <f>IFERROR(F89/$C86,"-")</f>
        <v>-</v>
      </c>
      <c r="G90" s="367" t="str">
        <f t="shared" ref="G90" si="1002">IFERROR(G89/$C86,"-")</f>
        <v>-</v>
      </c>
      <c r="H90" s="367" t="str">
        <f t="shared" ref="H90" si="1003">IFERROR(H89/$C86,"-")</f>
        <v>-</v>
      </c>
      <c r="I90" s="367" t="str">
        <f t="shared" ref="I90" si="1004">IFERROR(I89/$C86,"-")</f>
        <v>-</v>
      </c>
      <c r="J90" s="367" t="str">
        <f t="shared" ref="J90" si="1005">IFERROR(J89/$C86,"-")</f>
        <v>-</v>
      </c>
      <c r="K90" s="367" t="str">
        <f t="shared" ref="K90" si="1006">IFERROR(K89/$C86,"-")</f>
        <v>-</v>
      </c>
      <c r="L90" s="367" t="str">
        <f t="shared" ref="L90" si="1007">IFERROR(L89/$C86,"-")</f>
        <v>-</v>
      </c>
      <c r="M90" s="367" t="str">
        <f t="shared" ref="M90" si="1008">IFERROR(M89/$C86,"-")</f>
        <v>-</v>
      </c>
      <c r="N90" s="367" t="str">
        <f t="shared" ref="N90" si="1009">IFERROR(N89/$C86,"-")</f>
        <v>-</v>
      </c>
      <c r="O90" s="367" t="str">
        <f t="shared" ref="O90" si="1010">IFERROR(O89/$C86,"-")</f>
        <v>-</v>
      </c>
      <c r="P90" s="367" t="str">
        <f t="shared" ref="P90" si="1011">IFERROR(P89/$C86,"-")</f>
        <v>-</v>
      </c>
      <c r="Q90" s="367" t="str">
        <f t="shared" ref="Q90" si="1012">IFERROR(Q89/$C86,"-")</f>
        <v>-</v>
      </c>
      <c r="R90" s="367" t="str">
        <f t="shared" ref="R90" si="1013">IFERROR(R89/$C86,"-")</f>
        <v>-</v>
      </c>
      <c r="S90" s="367" t="str">
        <f t="shared" ref="S90" si="1014">IFERROR(S89/$C86,"-")</f>
        <v>-</v>
      </c>
      <c r="T90" s="367" t="str">
        <f t="shared" ref="T90" si="1015">IFERROR(T89/$C86,"-")</f>
        <v>-</v>
      </c>
      <c r="U90" s="367" t="str">
        <f t="shared" ref="U90" si="1016">IFERROR(U89/$C86,"-")</f>
        <v>-</v>
      </c>
      <c r="V90" s="367" t="str">
        <f t="shared" ref="V90" si="1017">IFERROR(V89/$C86,"-")</f>
        <v>-</v>
      </c>
      <c r="W90" s="367" t="str">
        <f t="shared" ref="W90" si="1018">IFERROR(W89/$C86,"-")</f>
        <v>-</v>
      </c>
      <c r="X90" s="367" t="str">
        <f t="shared" ref="X90" si="1019">IFERROR(X89/$C86,"-")</f>
        <v>-</v>
      </c>
      <c r="Y90" s="367" t="str">
        <f t="shared" ref="Y90" si="1020">IFERROR(Y89/$C86,"-")</f>
        <v>-</v>
      </c>
      <c r="Z90" s="367" t="str">
        <f t="shared" ref="Z90" si="1021">IFERROR(Z89/$C86,"-")</f>
        <v>-</v>
      </c>
      <c r="AA90" s="367" t="str">
        <f t="shared" ref="AA90" si="1022">IFERROR(AA89/$C86,"-")</f>
        <v>-</v>
      </c>
      <c r="AB90" s="367" t="str">
        <f t="shared" ref="AB90" si="1023">IFERROR(AB89/$C86,"-")</f>
        <v>-</v>
      </c>
      <c r="AC90" s="367" t="str">
        <f t="shared" ref="AC90" si="1024">IFERROR(AC89/$C86,"-")</f>
        <v>-</v>
      </c>
      <c r="AD90" s="367" t="str">
        <f t="shared" ref="AD90" si="1025">IFERROR(AD89/$C86,"-")</f>
        <v>-</v>
      </c>
      <c r="AE90" s="367" t="str">
        <f t="shared" ref="AE90" si="1026">IFERROR(AE89/$C86,"-")</f>
        <v>-</v>
      </c>
      <c r="AF90" s="367" t="str">
        <f t="shared" ref="AF90" si="1027">IFERROR(AF89/$C86,"-")</f>
        <v>-</v>
      </c>
      <c r="AG90" s="367" t="str">
        <f t="shared" ref="AG90" si="1028">IFERROR(AG89/$C86,"-")</f>
        <v>-</v>
      </c>
      <c r="AH90" s="367" t="str">
        <f t="shared" ref="AH90" si="1029">IFERROR(AH89/$C86,"-")</f>
        <v>-</v>
      </c>
      <c r="AI90" s="367" t="str">
        <f t="shared" ref="AI90" si="1030">IFERROR(AI89/$C86,"-")</f>
        <v>-</v>
      </c>
      <c r="AJ90" s="367" t="str">
        <f t="shared" ref="AJ90" si="1031">IFERROR(AJ89/$C86,"-")</f>
        <v>-</v>
      </c>
      <c r="AK90" s="367" t="str">
        <f t="shared" ref="AK90" si="1032">IFERROR(AK89/$C86,"-")</f>
        <v>-</v>
      </c>
      <c r="AL90" s="367" t="str">
        <f t="shared" ref="AL90" si="1033">IFERROR(AL89/$C86,"-")</f>
        <v>-</v>
      </c>
      <c r="AM90" s="367" t="str">
        <f t="shared" ref="AM90" si="1034">IFERROR(AM89/$C86,"-")</f>
        <v>-</v>
      </c>
      <c r="AN90" s="367" t="str">
        <f t="shared" ref="AN90" si="1035">IFERROR(AN89/$C86,"-")</f>
        <v>-</v>
      </c>
      <c r="AO90" s="367" t="str">
        <f t="shared" ref="AO90" si="1036">IFERROR(AO89/$C86,"-")</f>
        <v>-</v>
      </c>
      <c r="AP90" s="367" t="str">
        <f t="shared" ref="AP90" si="1037">IFERROR(AP89/$C86,"-")</f>
        <v>-</v>
      </c>
      <c r="AQ90" s="367" t="str">
        <f t="shared" ref="AQ90" si="1038">IFERROR(AQ89/$C86,"-")</f>
        <v>-</v>
      </c>
      <c r="AR90" s="367" t="str">
        <f t="shared" ref="AR90" si="1039">IFERROR(AR89/$C86,"-")</f>
        <v>-</v>
      </c>
      <c r="AS90" s="367" t="str">
        <f t="shared" ref="AS90" si="1040">IFERROR(AS89/$C86,"-")</f>
        <v>-</v>
      </c>
      <c r="AT90" s="367" t="str">
        <f t="shared" ref="AT90" si="1041">IFERROR(AT89/$C86,"-")</f>
        <v>-</v>
      </c>
      <c r="AU90" s="367" t="str">
        <f t="shared" ref="AU90" si="1042">IFERROR(AU89/$C86,"-")</f>
        <v>-</v>
      </c>
      <c r="AV90" s="367" t="str">
        <f t="shared" ref="AV90" si="1043">IFERROR(AV89/$C86,"-")</f>
        <v>-</v>
      </c>
      <c r="AW90" s="367" t="str">
        <f t="shared" ref="AW90" si="1044">IFERROR(AW89/$C86,"-")</f>
        <v>-</v>
      </c>
      <c r="AX90" s="367" t="str">
        <f t="shared" ref="AX90" si="1045">IFERROR(AX89/$C86,"-")</f>
        <v>-</v>
      </c>
      <c r="AY90" s="367" t="str">
        <f t="shared" ref="AY90" si="1046">IFERROR(AY89/$C86,"-")</f>
        <v>-</v>
      </c>
      <c r="AZ90" s="367" t="str">
        <f t="shared" ref="AZ90" si="1047">IFERROR(AZ89/$C86,"-")</f>
        <v>-</v>
      </c>
      <c r="BA90" s="367" t="str">
        <f t="shared" ref="BA90" si="1048">IFERROR(BA89/$C86,"-")</f>
        <v>-</v>
      </c>
      <c r="BB90" s="368" t="str">
        <f t="shared" ref="BB90" si="1049">IFERROR(BB89/$C86,"-")</f>
        <v>-</v>
      </c>
    </row>
    <row r="91" spans="1:54" ht="17.25" customHeight="1" thickBot="1">
      <c r="J91" s="6"/>
      <c r="K91" s="6"/>
      <c r="L91" s="6"/>
      <c r="M91" s="6"/>
      <c r="O91" s="5"/>
      <c r="P91" s="5"/>
      <c r="Q91" s="5"/>
      <c r="R91" s="5"/>
    </row>
    <row r="92" spans="1:54" ht="18" thickBot="1">
      <c r="A92"/>
      <c r="B92" s="533" t="s">
        <v>307</v>
      </c>
      <c r="C92" s="534"/>
      <c r="D92" s="32"/>
      <c r="E92" s="275"/>
      <c r="J92" s="6"/>
      <c r="K92" s="6"/>
      <c r="L92" s="6"/>
      <c r="M92" s="6"/>
    </row>
    <row r="93" spans="1:54" ht="15.75" thickBot="1">
      <c r="B93" s="360" t="s">
        <v>11</v>
      </c>
      <c r="C93" s="369">
        <v>0</v>
      </c>
      <c r="D93" s="364"/>
      <c r="E93" s="365">
        <f t="shared" ref="E93:AJ93" si="1050">E$9</f>
        <v>2024</v>
      </c>
      <c r="F93" s="279">
        <f t="shared" si="1050"/>
        <v>2025</v>
      </c>
      <c r="G93" s="279">
        <f t="shared" si="1050"/>
        <v>2026</v>
      </c>
      <c r="H93" s="279">
        <f t="shared" si="1050"/>
        <v>2027</v>
      </c>
      <c r="I93" s="279">
        <f t="shared" si="1050"/>
        <v>2028</v>
      </c>
      <c r="J93" s="279">
        <f t="shared" si="1050"/>
        <v>2029</v>
      </c>
      <c r="K93" s="279">
        <f t="shared" si="1050"/>
        <v>2030</v>
      </c>
      <c r="L93" s="279">
        <f t="shared" si="1050"/>
        <v>2031</v>
      </c>
      <c r="M93" s="279">
        <f t="shared" si="1050"/>
        <v>2032</v>
      </c>
      <c r="N93" s="279">
        <f t="shared" si="1050"/>
        <v>2033</v>
      </c>
      <c r="O93" s="279">
        <f t="shared" si="1050"/>
        <v>2034</v>
      </c>
      <c r="P93" s="279">
        <f t="shared" si="1050"/>
        <v>2035</v>
      </c>
      <c r="Q93" s="279">
        <f t="shared" si="1050"/>
        <v>2036</v>
      </c>
      <c r="R93" s="279">
        <f t="shared" si="1050"/>
        <v>2037</v>
      </c>
      <c r="S93" s="279">
        <f t="shared" si="1050"/>
        <v>2038</v>
      </c>
      <c r="T93" s="279">
        <f t="shared" si="1050"/>
        <v>2039</v>
      </c>
      <c r="U93" s="279">
        <f t="shared" si="1050"/>
        <v>2040</v>
      </c>
      <c r="V93" s="279">
        <f t="shared" si="1050"/>
        <v>2041</v>
      </c>
      <c r="W93" s="279">
        <f t="shared" si="1050"/>
        <v>2042</v>
      </c>
      <c r="X93" s="279">
        <f t="shared" si="1050"/>
        <v>2043</v>
      </c>
      <c r="Y93" s="279">
        <f t="shared" si="1050"/>
        <v>2044</v>
      </c>
      <c r="Z93" s="279">
        <f t="shared" si="1050"/>
        <v>2045</v>
      </c>
      <c r="AA93" s="279">
        <f t="shared" si="1050"/>
        <v>2046</v>
      </c>
      <c r="AB93" s="279">
        <f t="shared" si="1050"/>
        <v>2047</v>
      </c>
      <c r="AC93" s="279">
        <f t="shared" si="1050"/>
        <v>2048</v>
      </c>
      <c r="AD93" s="279">
        <f t="shared" si="1050"/>
        <v>2049</v>
      </c>
      <c r="AE93" s="279">
        <f t="shared" si="1050"/>
        <v>2050</v>
      </c>
      <c r="AF93" s="279">
        <f t="shared" si="1050"/>
        <v>2051</v>
      </c>
      <c r="AG93" s="279">
        <f t="shared" si="1050"/>
        <v>2052</v>
      </c>
      <c r="AH93" s="279">
        <f t="shared" si="1050"/>
        <v>2053</v>
      </c>
      <c r="AI93" s="279">
        <f t="shared" si="1050"/>
        <v>2054</v>
      </c>
      <c r="AJ93" s="279">
        <f t="shared" si="1050"/>
        <v>2055</v>
      </c>
      <c r="AK93" s="279">
        <f t="shared" ref="AK93:BB93" si="1051">AK$9</f>
        <v>2056</v>
      </c>
      <c r="AL93" s="279">
        <f t="shared" si="1051"/>
        <v>2057</v>
      </c>
      <c r="AM93" s="279">
        <f t="shared" si="1051"/>
        <v>2058</v>
      </c>
      <c r="AN93" s="279">
        <f t="shared" si="1051"/>
        <v>2059</v>
      </c>
      <c r="AO93" s="279">
        <f t="shared" si="1051"/>
        <v>2060</v>
      </c>
      <c r="AP93" s="279">
        <f t="shared" si="1051"/>
        <v>2061</v>
      </c>
      <c r="AQ93" s="279">
        <f t="shared" si="1051"/>
        <v>2062</v>
      </c>
      <c r="AR93" s="279">
        <f t="shared" si="1051"/>
        <v>2063</v>
      </c>
      <c r="AS93" s="279">
        <f t="shared" si="1051"/>
        <v>2064</v>
      </c>
      <c r="AT93" s="279">
        <f t="shared" si="1051"/>
        <v>2065</v>
      </c>
      <c r="AU93" s="279">
        <f t="shared" si="1051"/>
        <v>2066</v>
      </c>
      <c r="AV93" s="279">
        <f t="shared" si="1051"/>
        <v>2067</v>
      </c>
      <c r="AW93" s="279">
        <f t="shared" si="1051"/>
        <v>2068</v>
      </c>
      <c r="AX93" s="279">
        <f t="shared" si="1051"/>
        <v>2069</v>
      </c>
      <c r="AY93" s="279">
        <f t="shared" si="1051"/>
        <v>2070</v>
      </c>
      <c r="AZ93" s="279">
        <f t="shared" si="1051"/>
        <v>2071</v>
      </c>
      <c r="BA93" s="279">
        <f t="shared" si="1051"/>
        <v>2072</v>
      </c>
      <c r="BB93" s="280">
        <f t="shared" si="1051"/>
        <v>2073</v>
      </c>
    </row>
    <row r="94" spans="1:54">
      <c r="A94"/>
      <c r="B94" s="485" t="s">
        <v>261</v>
      </c>
      <c r="C94" s="535"/>
      <c r="D94" s="486"/>
      <c r="E94" s="307">
        <v>0</v>
      </c>
      <c r="F94" s="281">
        <f>E96</f>
        <v>0</v>
      </c>
      <c r="G94" s="281">
        <f t="shared" ref="G94" si="1052">F96</f>
        <v>0</v>
      </c>
      <c r="H94" s="281">
        <f t="shared" ref="H94" si="1053">G96</f>
        <v>0</v>
      </c>
      <c r="I94" s="281">
        <f t="shared" ref="I94" si="1054">H96</f>
        <v>0</v>
      </c>
      <c r="J94" s="281">
        <f t="shared" ref="J94" si="1055">I96</f>
        <v>0</v>
      </c>
      <c r="K94" s="281">
        <f t="shared" ref="K94" si="1056">J96</f>
        <v>0</v>
      </c>
      <c r="L94" s="281">
        <f t="shared" ref="L94" si="1057">K96</f>
        <v>0</v>
      </c>
      <c r="M94" s="281">
        <f t="shared" ref="M94" si="1058">L96</f>
        <v>0</v>
      </c>
      <c r="N94" s="281">
        <f t="shared" ref="N94" si="1059">M96</f>
        <v>0</v>
      </c>
      <c r="O94" s="281">
        <f t="shared" ref="O94" si="1060">N96</f>
        <v>0</v>
      </c>
      <c r="P94" s="281">
        <f t="shared" ref="P94" si="1061">O96</f>
        <v>0</v>
      </c>
      <c r="Q94" s="281">
        <f t="shared" ref="Q94" si="1062">P96</f>
        <v>0</v>
      </c>
      <c r="R94" s="281">
        <f t="shared" ref="R94" si="1063">Q96</f>
        <v>0</v>
      </c>
      <c r="S94" s="281">
        <f t="shared" ref="S94" si="1064">R96</f>
        <v>0</v>
      </c>
      <c r="T94" s="281">
        <f t="shared" ref="T94" si="1065">S96</f>
        <v>0</v>
      </c>
      <c r="U94" s="281">
        <f t="shared" ref="U94" si="1066">T96</f>
        <v>0</v>
      </c>
      <c r="V94" s="281">
        <f t="shared" ref="V94" si="1067">U96</f>
        <v>0</v>
      </c>
      <c r="W94" s="281">
        <f t="shared" ref="W94" si="1068">V96</f>
        <v>0</v>
      </c>
      <c r="X94" s="281">
        <f t="shared" ref="X94" si="1069">W96</f>
        <v>0</v>
      </c>
      <c r="Y94" s="281">
        <f t="shared" ref="Y94" si="1070">X96</f>
        <v>0</v>
      </c>
      <c r="Z94" s="281">
        <f t="shared" ref="Z94" si="1071">Y96</f>
        <v>0</v>
      </c>
      <c r="AA94" s="281">
        <f t="shared" ref="AA94" si="1072">Z96</f>
        <v>0</v>
      </c>
      <c r="AB94" s="281">
        <f t="shared" ref="AB94" si="1073">AA96</f>
        <v>0</v>
      </c>
      <c r="AC94" s="281">
        <f t="shared" ref="AC94" si="1074">AB96</f>
        <v>0</v>
      </c>
      <c r="AD94" s="281">
        <f t="shared" ref="AD94" si="1075">AC96</f>
        <v>0</v>
      </c>
      <c r="AE94" s="281">
        <f t="shared" ref="AE94" si="1076">AD96</f>
        <v>0</v>
      </c>
      <c r="AF94" s="281">
        <f t="shared" ref="AF94" si="1077">AE96</f>
        <v>0</v>
      </c>
      <c r="AG94" s="281">
        <f t="shared" ref="AG94" si="1078">AF96</f>
        <v>0</v>
      </c>
      <c r="AH94" s="281">
        <f t="shared" ref="AH94" si="1079">AG96</f>
        <v>0</v>
      </c>
      <c r="AI94" s="281">
        <f t="shared" ref="AI94" si="1080">AH96</f>
        <v>0</v>
      </c>
      <c r="AJ94" s="281">
        <f t="shared" ref="AJ94" si="1081">AI96</f>
        <v>0</v>
      </c>
      <c r="AK94" s="281">
        <f t="shared" ref="AK94" si="1082">AJ96</f>
        <v>0</v>
      </c>
      <c r="AL94" s="281">
        <f t="shared" ref="AL94" si="1083">AK96</f>
        <v>0</v>
      </c>
      <c r="AM94" s="281">
        <f t="shared" ref="AM94" si="1084">AL96</f>
        <v>0</v>
      </c>
      <c r="AN94" s="281">
        <f t="shared" ref="AN94" si="1085">AM96</f>
        <v>0</v>
      </c>
      <c r="AO94" s="281">
        <f t="shared" ref="AO94" si="1086">AN96</f>
        <v>0</v>
      </c>
      <c r="AP94" s="281">
        <f t="shared" ref="AP94" si="1087">AO96</f>
        <v>0</v>
      </c>
      <c r="AQ94" s="281">
        <f t="shared" ref="AQ94" si="1088">AP96</f>
        <v>0</v>
      </c>
      <c r="AR94" s="281">
        <f t="shared" ref="AR94" si="1089">AQ96</f>
        <v>0</v>
      </c>
      <c r="AS94" s="281">
        <f t="shared" ref="AS94" si="1090">AR96</f>
        <v>0</v>
      </c>
      <c r="AT94" s="281">
        <f t="shared" ref="AT94" si="1091">AS96</f>
        <v>0</v>
      </c>
      <c r="AU94" s="281">
        <f t="shared" ref="AU94" si="1092">AT96</f>
        <v>0</v>
      </c>
      <c r="AV94" s="281">
        <f t="shared" ref="AV94" si="1093">AU96</f>
        <v>0</v>
      </c>
      <c r="AW94" s="281">
        <f t="shared" ref="AW94" si="1094">AV96</f>
        <v>0</v>
      </c>
      <c r="AX94" s="281">
        <f t="shared" ref="AX94" si="1095">AW96</f>
        <v>0</v>
      </c>
      <c r="AY94" s="281">
        <f t="shared" ref="AY94" si="1096">AX96</f>
        <v>0</v>
      </c>
      <c r="AZ94" s="281">
        <f t="shared" ref="AZ94" si="1097">AY96</f>
        <v>0</v>
      </c>
      <c r="BA94" s="281">
        <f t="shared" ref="BA94" si="1098">AZ96</f>
        <v>0</v>
      </c>
      <c r="BB94" s="282">
        <f t="shared" ref="BB94" si="1099">BA96</f>
        <v>0</v>
      </c>
    </row>
    <row r="95" spans="1:54">
      <c r="A95"/>
      <c r="B95" s="479" t="s">
        <v>99</v>
      </c>
      <c r="C95" s="536"/>
      <c r="D95" s="480"/>
      <c r="E95" s="289">
        <f>Cockpit!$H$31</f>
        <v>0.03</v>
      </c>
      <c r="F95" s="289">
        <f>Cockpit!$H$31</f>
        <v>0.03</v>
      </c>
      <c r="G95" s="289">
        <f>Cockpit!$H$31</f>
        <v>0.03</v>
      </c>
      <c r="H95" s="289">
        <f>Cockpit!$H$31</f>
        <v>0.03</v>
      </c>
      <c r="I95" s="289">
        <f>Cockpit!$H$31</f>
        <v>0.03</v>
      </c>
      <c r="J95" s="289">
        <f>Cockpit!$H$31</f>
        <v>0.03</v>
      </c>
      <c r="K95" s="289">
        <f>Cockpit!$H$31</f>
        <v>0.03</v>
      </c>
      <c r="L95" s="289">
        <f>Cockpit!$H$31</f>
        <v>0.03</v>
      </c>
      <c r="M95" s="289">
        <f>Cockpit!$H$31</f>
        <v>0.03</v>
      </c>
      <c r="N95" s="289">
        <f>Cockpit!$H$31</f>
        <v>0.03</v>
      </c>
      <c r="O95" s="289">
        <f>Cockpit!$H$31</f>
        <v>0.03</v>
      </c>
      <c r="P95" s="289">
        <f>Cockpit!$H$31</f>
        <v>0.03</v>
      </c>
      <c r="Q95" s="289">
        <f>Cockpit!$H$31</f>
        <v>0.03</v>
      </c>
      <c r="R95" s="289">
        <f>Cockpit!$H$31</f>
        <v>0.03</v>
      </c>
      <c r="S95" s="289">
        <f>Cockpit!$H$31</f>
        <v>0.03</v>
      </c>
      <c r="T95" s="289">
        <f>Cockpit!$H$31</f>
        <v>0.03</v>
      </c>
      <c r="U95" s="289">
        <f>Cockpit!$H$31</f>
        <v>0.03</v>
      </c>
      <c r="V95" s="289">
        <f>Cockpit!$H$31</f>
        <v>0.03</v>
      </c>
      <c r="W95" s="289">
        <f>Cockpit!$H$31</f>
        <v>0.03</v>
      </c>
      <c r="X95" s="289">
        <f>Cockpit!$H$31</f>
        <v>0.03</v>
      </c>
      <c r="Y95" s="289">
        <f>Cockpit!$H$31</f>
        <v>0.03</v>
      </c>
      <c r="Z95" s="289">
        <f>Cockpit!$H$31</f>
        <v>0.03</v>
      </c>
      <c r="AA95" s="289">
        <f>Cockpit!$H$31</f>
        <v>0.03</v>
      </c>
      <c r="AB95" s="289">
        <f>Cockpit!$H$31</f>
        <v>0.03</v>
      </c>
      <c r="AC95" s="289">
        <f>Cockpit!$H$31</f>
        <v>0.03</v>
      </c>
      <c r="AD95" s="289">
        <f>Cockpit!$H$31</f>
        <v>0.03</v>
      </c>
      <c r="AE95" s="289">
        <f>Cockpit!$H$31</f>
        <v>0.03</v>
      </c>
      <c r="AF95" s="289">
        <f>Cockpit!$H$31</f>
        <v>0.03</v>
      </c>
      <c r="AG95" s="289">
        <f>Cockpit!$H$31</f>
        <v>0.03</v>
      </c>
      <c r="AH95" s="289">
        <f>Cockpit!$H$31</f>
        <v>0.03</v>
      </c>
      <c r="AI95" s="289">
        <f>Cockpit!$H$31</f>
        <v>0.03</v>
      </c>
      <c r="AJ95" s="289">
        <f>Cockpit!$H$31</f>
        <v>0.03</v>
      </c>
      <c r="AK95" s="289">
        <f>Cockpit!$H$31</f>
        <v>0.03</v>
      </c>
      <c r="AL95" s="289">
        <f>Cockpit!$H$31</f>
        <v>0.03</v>
      </c>
      <c r="AM95" s="289">
        <f>Cockpit!$H$31</f>
        <v>0.03</v>
      </c>
      <c r="AN95" s="289">
        <f>Cockpit!$H$31</f>
        <v>0.03</v>
      </c>
      <c r="AO95" s="289">
        <f>Cockpit!$H$31</f>
        <v>0.03</v>
      </c>
      <c r="AP95" s="289">
        <f>Cockpit!$H$31</f>
        <v>0.03</v>
      </c>
      <c r="AQ95" s="289">
        <f>Cockpit!$H$31</f>
        <v>0.03</v>
      </c>
      <c r="AR95" s="289">
        <f>Cockpit!$H$31</f>
        <v>0.03</v>
      </c>
      <c r="AS95" s="289">
        <f>Cockpit!$H$31</f>
        <v>0.03</v>
      </c>
      <c r="AT95" s="289">
        <f>Cockpit!$H$31</f>
        <v>0.03</v>
      </c>
      <c r="AU95" s="289">
        <f>Cockpit!$H$31</f>
        <v>0.03</v>
      </c>
      <c r="AV95" s="289">
        <f>Cockpit!$H$31</f>
        <v>0.03</v>
      </c>
      <c r="AW95" s="289">
        <f>Cockpit!$H$31</f>
        <v>0.03</v>
      </c>
      <c r="AX95" s="289">
        <f>Cockpit!$H$31</f>
        <v>0.03</v>
      </c>
      <c r="AY95" s="289">
        <f>Cockpit!$H$31</f>
        <v>0.03</v>
      </c>
      <c r="AZ95" s="289">
        <f>Cockpit!$H$31</f>
        <v>0.03</v>
      </c>
      <c r="BA95" s="289">
        <f>Cockpit!$H$31</f>
        <v>0.03</v>
      </c>
      <c r="BB95" s="290">
        <f>Cockpit!$H$31</f>
        <v>0.03</v>
      </c>
    </row>
    <row r="96" spans="1:54">
      <c r="B96" s="479" t="s">
        <v>67</v>
      </c>
      <c r="C96" s="536"/>
      <c r="D96" s="480"/>
      <c r="E96" s="10">
        <f t="shared" ref="E96:BB96" si="1100">E94*(1+E95)</f>
        <v>0</v>
      </c>
      <c r="F96" s="10">
        <f t="shared" si="1100"/>
        <v>0</v>
      </c>
      <c r="G96" s="10">
        <f t="shared" si="1100"/>
        <v>0</v>
      </c>
      <c r="H96" s="10">
        <f t="shared" si="1100"/>
        <v>0</v>
      </c>
      <c r="I96" s="10">
        <f t="shared" si="1100"/>
        <v>0</v>
      </c>
      <c r="J96" s="10">
        <f t="shared" si="1100"/>
        <v>0</v>
      </c>
      <c r="K96" s="10">
        <f t="shared" si="1100"/>
        <v>0</v>
      </c>
      <c r="L96" s="10">
        <f t="shared" si="1100"/>
        <v>0</v>
      </c>
      <c r="M96" s="10">
        <f t="shared" si="1100"/>
        <v>0</v>
      </c>
      <c r="N96" s="10">
        <f t="shared" si="1100"/>
        <v>0</v>
      </c>
      <c r="O96" s="10">
        <f t="shared" si="1100"/>
        <v>0</v>
      </c>
      <c r="P96" s="10">
        <f t="shared" si="1100"/>
        <v>0</v>
      </c>
      <c r="Q96" s="10">
        <f t="shared" si="1100"/>
        <v>0</v>
      </c>
      <c r="R96" s="10">
        <f t="shared" si="1100"/>
        <v>0</v>
      </c>
      <c r="S96" s="10">
        <f t="shared" si="1100"/>
        <v>0</v>
      </c>
      <c r="T96" s="10">
        <f t="shared" si="1100"/>
        <v>0</v>
      </c>
      <c r="U96" s="10">
        <f t="shared" si="1100"/>
        <v>0</v>
      </c>
      <c r="V96" s="10">
        <f t="shared" si="1100"/>
        <v>0</v>
      </c>
      <c r="W96" s="10">
        <f t="shared" si="1100"/>
        <v>0</v>
      </c>
      <c r="X96" s="10">
        <f t="shared" si="1100"/>
        <v>0</v>
      </c>
      <c r="Y96" s="10">
        <f t="shared" si="1100"/>
        <v>0</v>
      </c>
      <c r="Z96" s="10">
        <f t="shared" si="1100"/>
        <v>0</v>
      </c>
      <c r="AA96" s="10">
        <f t="shared" si="1100"/>
        <v>0</v>
      </c>
      <c r="AB96" s="10">
        <f t="shared" si="1100"/>
        <v>0</v>
      </c>
      <c r="AC96" s="10">
        <f t="shared" si="1100"/>
        <v>0</v>
      </c>
      <c r="AD96" s="10">
        <f t="shared" si="1100"/>
        <v>0</v>
      </c>
      <c r="AE96" s="10">
        <f t="shared" si="1100"/>
        <v>0</v>
      </c>
      <c r="AF96" s="10">
        <f t="shared" si="1100"/>
        <v>0</v>
      </c>
      <c r="AG96" s="10">
        <f t="shared" si="1100"/>
        <v>0</v>
      </c>
      <c r="AH96" s="10">
        <f t="shared" si="1100"/>
        <v>0</v>
      </c>
      <c r="AI96" s="10">
        <f t="shared" si="1100"/>
        <v>0</v>
      </c>
      <c r="AJ96" s="10">
        <f t="shared" si="1100"/>
        <v>0</v>
      </c>
      <c r="AK96" s="10">
        <f t="shared" si="1100"/>
        <v>0</v>
      </c>
      <c r="AL96" s="10">
        <f t="shared" si="1100"/>
        <v>0</v>
      </c>
      <c r="AM96" s="10">
        <f t="shared" si="1100"/>
        <v>0</v>
      </c>
      <c r="AN96" s="10">
        <f t="shared" si="1100"/>
        <v>0</v>
      </c>
      <c r="AO96" s="10">
        <f t="shared" si="1100"/>
        <v>0</v>
      </c>
      <c r="AP96" s="10">
        <f t="shared" si="1100"/>
        <v>0</v>
      </c>
      <c r="AQ96" s="10">
        <f t="shared" si="1100"/>
        <v>0</v>
      </c>
      <c r="AR96" s="10">
        <f t="shared" si="1100"/>
        <v>0</v>
      </c>
      <c r="AS96" s="10">
        <f t="shared" si="1100"/>
        <v>0</v>
      </c>
      <c r="AT96" s="10">
        <f t="shared" si="1100"/>
        <v>0</v>
      </c>
      <c r="AU96" s="10">
        <f t="shared" si="1100"/>
        <v>0</v>
      </c>
      <c r="AV96" s="10">
        <f t="shared" si="1100"/>
        <v>0</v>
      </c>
      <c r="AW96" s="10">
        <f t="shared" si="1100"/>
        <v>0</v>
      </c>
      <c r="AX96" s="10">
        <f t="shared" si="1100"/>
        <v>0</v>
      </c>
      <c r="AY96" s="10">
        <f t="shared" si="1100"/>
        <v>0</v>
      </c>
      <c r="AZ96" s="10">
        <f t="shared" si="1100"/>
        <v>0</v>
      </c>
      <c r="BA96" s="10">
        <f t="shared" si="1100"/>
        <v>0</v>
      </c>
      <c r="BB96" s="283">
        <f t="shared" si="1100"/>
        <v>0</v>
      </c>
    </row>
    <row r="97" spans="1:54" ht="15.75" thickBot="1">
      <c r="B97" s="492" t="s">
        <v>301</v>
      </c>
      <c r="C97" s="537"/>
      <c r="D97" s="493"/>
      <c r="E97" s="367" t="str">
        <f>IFERROR(E96/$C93,"-")</f>
        <v>-</v>
      </c>
      <c r="F97" s="367" t="str">
        <f>IFERROR(F96/$C93,"-")</f>
        <v>-</v>
      </c>
      <c r="G97" s="367" t="str">
        <f t="shared" ref="G97" si="1101">IFERROR(G96/$C93,"-")</f>
        <v>-</v>
      </c>
      <c r="H97" s="367" t="str">
        <f t="shared" ref="H97" si="1102">IFERROR(H96/$C93,"-")</f>
        <v>-</v>
      </c>
      <c r="I97" s="367" t="str">
        <f t="shared" ref="I97" si="1103">IFERROR(I96/$C93,"-")</f>
        <v>-</v>
      </c>
      <c r="J97" s="367" t="str">
        <f t="shared" ref="J97" si="1104">IFERROR(J96/$C93,"-")</f>
        <v>-</v>
      </c>
      <c r="K97" s="367" t="str">
        <f t="shared" ref="K97" si="1105">IFERROR(K96/$C93,"-")</f>
        <v>-</v>
      </c>
      <c r="L97" s="367" t="str">
        <f t="shared" ref="L97" si="1106">IFERROR(L96/$C93,"-")</f>
        <v>-</v>
      </c>
      <c r="M97" s="367" t="str">
        <f t="shared" ref="M97" si="1107">IFERROR(M96/$C93,"-")</f>
        <v>-</v>
      </c>
      <c r="N97" s="367" t="str">
        <f t="shared" ref="N97" si="1108">IFERROR(N96/$C93,"-")</f>
        <v>-</v>
      </c>
      <c r="O97" s="367" t="str">
        <f t="shared" ref="O97" si="1109">IFERROR(O96/$C93,"-")</f>
        <v>-</v>
      </c>
      <c r="P97" s="367" t="str">
        <f t="shared" ref="P97" si="1110">IFERROR(P96/$C93,"-")</f>
        <v>-</v>
      </c>
      <c r="Q97" s="367" t="str">
        <f t="shared" ref="Q97" si="1111">IFERROR(Q96/$C93,"-")</f>
        <v>-</v>
      </c>
      <c r="R97" s="367" t="str">
        <f t="shared" ref="R97" si="1112">IFERROR(R96/$C93,"-")</f>
        <v>-</v>
      </c>
      <c r="S97" s="367" t="str">
        <f t="shared" ref="S97" si="1113">IFERROR(S96/$C93,"-")</f>
        <v>-</v>
      </c>
      <c r="T97" s="367" t="str">
        <f t="shared" ref="T97" si="1114">IFERROR(T96/$C93,"-")</f>
        <v>-</v>
      </c>
      <c r="U97" s="367" t="str">
        <f t="shared" ref="U97" si="1115">IFERROR(U96/$C93,"-")</f>
        <v>-</v>
      </c>
      <c r="V97" s="367" t="str">
        <f t="shared" ref="V97" si="1116">IFERROR(V96/$C93,"-")</f>
        <v>-</v>
      </c>
      <c r="W97" s="367" t="str">
        <f t="shared" ref="W97" si="1117">IFERROR(W96/$C93,"-")</f>
        <v>-</v>
      </c>
      <c r="X97" s="367" t="str">
        <f t="shared" ref="X97" si="1118">IFERROR(X96/$C93,"-")</f>
        <v>-</v>
      </c>
      <c r="Y97" s="367" t="str">
        <f t="shared" ref="Y97" si="1119">IFERROR(Y96/$C93,"-")</f>
        <v>-</v>
      </c>
      <c r="Z97" s="367" t="str">
        <f t="shared" ref="Z97" si="1120">IFERROR(Z96/$C93,"-")</f>
        <v>-</v>
      </c>
      <c r="AA97" s="367" t="str">
        <f t="shared" ref="AA97" si="1121">IFERROR(AA96/$C93,"-")</f>
        <v>-</v>
      </c>
      <c r="AB97" s="367" t="str">
        <f t="shared" ref="AB97" si="1122">IFERROR(AB96/$C93,"-")</f>
        <v>-</v>
      </c>
      <c r="AC97" s="367" t="str">
        <f t="shared" ref="AC97" si="1123">IFERROR(AC96/$C93,"-")</f>
        <v>-</v>
      </c>
      <c r="AD97" s="367" t="str">
        <f t="shared" ref="AD97" si="1124">IFERROR(AD96/$C93,"-")</f>
        <v>-</v>
      </c>
      <c r="AE97" s="367" t="str">
        <f t="shared" ref="AE97" si="1125">IFERROR(AE96/$C93,"-")</f>
        <v>-</v>
      </c>
      <c r="AF97" s="367" t="str">
        <f t="shared" ref="AF97" si="1126">IFERROR(AF96/$C93,"-")</f>
        <v>-</v>
      </c>
      <c r="AG97" s="367" t="str">
        <f t="shared" ref="AG97" si="1127">IFERROR(AG96/$C93,"-")</f>
        <v>-</v>
      </c>
      <c r="AH97" s="367" t="str">
        <f t="shared" ref="AH97" si="1128">IFERROR(AH96/$C93,"-")</f>
        <v>-</v>
      </c>
      <c r="AI97" s="367" t="str">
        <f t="shared" ref="AI97" si="1129">IFERROR(AI96/$C93,"-")</f>
        <v>-</v>
      </c>
      <c r="AJ97" s="367" t="str">
        <f t="shared" ref="AJ97" si="1130">IFERROR(AJ96/$C93,"-")</f>
        <v>-</v>
      </c>
      <c r="AK97" s="367" t="str">
        <f t="shared" ref="AK97" si="1131">IFERROR(AK96/$C93,"-")</f>
        <v>-</v>
      </c>
      <c r="AL97" s="367" t="str">
        <f t="shared" ref="AL97" si="1132">IFERROR(AL96/$C93,"-")</f>
        <v>-</v>
      </c>
      <c r="AM97" s="367" t="str">
        <f t="shared" ref="AM97" si="1133">IFERROR(AM96/$C93,"-")</f>
        <v>-</v>
      </c>
      <c r="AN97" s="367" t="str">
        <f t="shared" ref="AN97" si="1134">IFERROR(AN96/$C93,"-")</f>
        <v>-</v>
      </c>
      <c r="AO97" s="367" t="str">
        <f t="shared" ref="AO97" si="1135">IFERROR(AO96/$C93,"-")</f>
        <v>-</v>
      </c>
      <c r="AP97" s="367" t="str">
        <f t="shared" ref="AP97" si="1136">IFERROR(AP96/$C93,"-")</f>
        <v>-</v>
      </c>
      <c r="AQ97" s="367" t="str">
        <f t="shared" ref="AQ97" si="1137">IFERROR(AQ96/$C93,"-")</f>
        <v>-</v>
      </c>
      <c r="AR97" s="367" t="str">
        <f t="shared" ref="AR97" si="1138">IFERROR(AR96/$C93,"-")</f>
        <v>-</v>
      </c>
      <c r="AS97" s="367" t="str">
        <f t="shared" ref="AS97" si="1139">IFERROR(AS96/$C93,"-")</f>
        <v>-</v>
      </c>
      <c r="AT97" s="367" t="str">
        <f t="shared" ref="AT97" si="1140">IFERROR(AT96/$C93,"-")</f>
        <v>-</v>
      </c>
      <c r="AU97" s="367" t="str">
        <f t="shared" ref="AU97" si="1141">IFERROR(AU96/$C93,"-")</f>
        <v>-</v>
      </c>
      <c r="AV97" s="367" t="str">
        <f t="shared" ref="AV97" si="1142">IFERROR(AV96/$C93,"-")</f>
        <v>-</v>
      </c>
      <c r="AW97" s="367" t="str">
        <f t="shared" ref="AW97" si="1143">IFERROR(AW96/$C93,"-")</f>
        <v>-</v>
      </c>
      <c r="AX97" s="367" t="str">
        <f t="shared" ref="AX97" si="1144">IFERROR(AX96/$C93,"-")</f>
        <v>-</v>
      </c>
      <c r="AY97" s="367" t="str">
        <f t="shared" ref="AY97" si="1145">IFERROR(AY96/$C93,"-")</f>
        <v>-</v>
      </c>
      <c r="AZ97" s="367" t="str">
        <f t="shared" ref="AZ97" si="1146">IFERROR(AZ96/$C93,"-")</f>
        <v>-</v>
      </c>
      <c r="BA97" s="367" t="str">
        <f t="shared" ref="BA97" si="1147">IFERROR(BA96/$C93,"-")</f>
        <v>-</v>
      </c>
      <c r="BB97" s="368" t="str">
        <f t="shared" ref="BB97" si="1148">IFERROR(BB96/$C93,"-")</f>
        <v>-</v>
      </c>
    </row>
    <row r="98" spans="1:54" ht="17.25" customHeight="1" thickBot="1">
      <c r="J98" s="6"/>
      <c r="K98" s="6"/>
      <c r="L98" s="6"/>
      <c r="M98" s="6"/>
      <c r="O98" s="5"/>
      <c r="P98" s="5"/>
      <c r="Q98" s="5"/>
      <c r="R98" s="5"/>
    </row>
    <row r="99" spans="1:54" ht="18" thickBot="1">
      <c r="A99"/>
      <c r="B99" s="533" t="s">
        <v>308</v>
      </c>
      <c r="C99" s="534"/>
      <c r="D99" s="32"/>
      <c r="E99" s="275"/>
      <c r="J99" s="6"/>
      <c r="K99" s="6"/>
      <c r="L99" s="6"/>
      <c r="M99" s="6"/>
    </row>
    <row r="100" spans="1:54" ht="15.75" thickBot="1">
      <c r="B100" s="360" t="s">
        <v>11</v>
      </c>
      <c r="C100" s="369">
        <v>0</v>
      </c>
      <c r="D100" s="364"/>
      <c r="E100" s="365">
        <f t="shared" ref="E100:AJ100" si="1149">E$9</f>
        <v>2024</v>
      </c>
      <c r="F100" s="279">
        <f t="shared" si="1149"/>
        <v>2025</v>
      </c>
      <c r="G100" s="279">
        <f t="shared" si="1149"/>
        <v>2026</v>
      </c>
      <c r="H100" s="279">
        <f t="shared" si="1149"/>
        <v>2027</v>
      </c>
      <c r="I100" s="279">
        <f t="shared" si="1149"/>
        <v>2028</v>
      </c>
      <c r="J100" s="279">
        <f t="shared" si="1149"/>
        <v>2029</v>
      </c>
      <c r="K100" s="279">
        <f t="shared" si="1149"/>
        <v>2030</v>
      </c>
      <c r="L100" s="279">
        <f t="shared" si="1149"/>
        <v>2031</v>
      </c>
      <c r="M100" s="279">
        <f t="shared" si="1149"/>
        <v>2032</v>
      </c>
      <c r="N100" s="279">
        <f t="shared" si="1149"/>
        <v>2033</v>
      </c>
      <c r="O100" s="279">
        <f t="shared" si="1149"/>
        <v>2034</v>
      </c>
      <c r="P100" s="279">
        <f t="shared" si="1149"/>
        <v>2035</v>
      </c>
      <c r="Q100" s="279">
        <f t="shared" si="1149"/>
        <v>2036</v>
      </c>
      <c r="R100" s="279">
        <f t="shared" si="1149"/>
        <v>2037</v>
      </c>
      <c r="S100" s="279">
        <f t="shared" si="1149"/>
        <v>2038</v>
      </c>
      <c r="T100" s="279">
        <f t="shared" si="1149"/>
        <v>2039</v>
      </c>
      <c r="U100" s="279">
        <f t="shared" si="1149"/>
        <v>2040</v>
      </c>
      <c r="V100" s="279">
        <f t="shared" si="1149"/>
        <v>2041</v>
      </c>
      <c r="W100" s="279">
        <f t="shared" si="1149"/>
        <v>2042</v>
      </c>
      <c r="X100" s="279">
        <f t="shared" si="1149"/>
        <v>2043</v>
      </c>
      <c r="Y100" s="279">
        <f t="shared" si="1149"/>
        <v>2044</v>
      </c>
      <c r="Z100" s="279">
        <f t="shared" si="1149"/>
        <v>2045</v>
      </c>
      <c r="AA100" s="279">
        <f t="shared" si="1149"/>
        <v>2046</v>
      </c>
      <c r="AB100" s="279">
        <f t="shared" si="1149"/>
        <v>2047</v>
      </c>
      <c r="AC100" s="279">
        <f t="shared" si="1149"/>
        <v>2048</v>
      </c>
      <c r="AD100" s="279">
        <f t="shared" si="1149"/>
        <v>2049</v>
      </c>
      <c r="AE100" s="279">
        <f t="shared" si="1149"/>
        <v>2050</v>
      </c>
      <c r="AF100" s="279">
        <f t="shared" si="1149"/>
        <v>2051</v>
      </c>
      <c r="AG100" s="279">
        <f t="shared" si="1149"/>
        <v>2052</v>
      </c>
      <c r="AH100" s="279">
        <f t="shared" si="1149"/>
        <v>2053</v>
      </c>
      <c r="AI100" s="279">
        <f t="shared" si="1149"/>
        <v>2054</v>
      </c>
      <c r="AJ100" s="279">
        <f t="shared" si="1149"/>
        <v>2055</v>
      </c>
      <c r="AK100" s="279">
        <f t="shared" ref="AK100:BB100" si="1150">AK$9</f>
        <v>2056</v>
      </c>
      <c r="AL100" s="279">
        <f t="shared" si="1150"/>
        <v>2057</v>
      </c>
      <c r="AM100" s="279">
        <f t="shared" si="1150"/>
        <v>2058</v>
      </c>
      <c r="AN100" s="279">
        <f t="shared" si="1150"/>
        <v>2059</v>
      </c>
      <c r="AO100" s="279">
        <f t="shared" si="1150"/>
        <v>2060</v>
      </c>
      <c r="AP100" s="279">
        <f t="shared" si="1150"/>
        <v>2061</v>
      </c>
      <c r="AQ100" s="279">
        <f t="shared" si="1150"/>
        <v>2062</v>
      </c>
      <c r="AR100" s="279">
        <f t="shared" si="1150"/>
        <v>2063</v>
      </c>
      <c r="AS100" s="279">
        <f t="shared" si="1150"/>
        <v>2064</v>
      </c>
      <c r="AT100" s="279">
        <f t="shared" si="1150"/>
        <v>2065</v>
      </c>
      <c r="AU100" s="279">
        <f t="shared" si="1150"/>
        <v>2066</v>
      </c>
      <c r="AV100" s="279">
        <f t="shared" si="1150"/>
        <v>2067</v>
      </c>
      <c r="AW100" s="279">
        <f t="shared" si="1150"/>
        <v>2068</v>
      </c>
      <c r="AX100" s="279">
        <f t="shared" si="1150"/>
        <v>2069</v>
      </c>
      <c r="AY100" s="279">
        <f t="shared" si="1150"/>
        <v>2070</v>
      </c>
      <c r="AZ100" s="279">
        <f t="shared" si="1150"/>
        <v>2071</v>
      </c>
      <c r="BA100" s="279">
        <f t="shared" si="1150"/>
        <v>2072</v>
      </c>
      <c r="BB100" s="280">
        <f t="shared" si="1150"/>
        <v>2073</v>
      </c>
    </row>
    <row r="101" spans="1:54">
      <c r="A101"/>
      <c r="B101" s="485" t="s">
        <v>261</v>
      </c>
      <c r="C101" s="535"/>
      <c r="D101" s="486"/>
      <c r="E101" s="307">
        <v>0</v>
      </c>
      <c r="F101" s="281">
        <f>E103</f>
        <v>0</v>
      </c>
      <c r="G101" s="281">
        <f t="shared" ref="G101" si="1151">F103</f>
        <v>0</v>
      </c>
      <c r="H101" s="281">
        <f t="shared" ref="H101" si="1152">G103</f>
        <v>0</v>
      </c>
      <c r="I101" s="281">
        <f t="shared" ref="I101" si="1153">H103</f>
        <v>0</v>
      </c>
      <c r="J101" s="281">
        <f t="shared" ref="J101" si="1154">I103</f>
        <v>0</v>
      </c>
      <c r="K101" s="281">
        <f t="shared" ref="K101" si="1155">J103</f>
        <v>0</v>
      </c>
      <c r="L101" s="281">
        <f t="shared" ref="L101" si="1156">K103</f>
        <v>0</v>
      </c>
      <c r="M101" s="281">
        <f t="shared" ref="M101" si="1157">L103</f>
        <v>0</v>
      </c>
      <c r="N101" s="281">
        <f t="shared" ref="N101" si="1158">M103</f>
        <v>0</v>
      </c>
      <c r="O101" s="281">
        <f t="shared" ref="O101" si="1159">N103</f>
        <v>0</v>
      </c>
      <c r="P101" s="281">
        <f t="shared" ref="P101" si="1160">O103</f>
        <v>0</v>
      </c>
      <c r="Q101" s="281">
        <f t="shared" ref="Q101" si="1161">P103</f>
        <v>0</v>
      </c>
      <c r="R101" s="281">
        <f t="shared" ref="R101" si="1162">Q103</f>
        <v>0</v>
      </c>
      <c r="S101" s="281">
        <f t="shared" ref="S101" si="1163">R103</f>
        <v>0</v>
      </c>
      <c r="T101" s="281">
        <f t="shared" ref="T101" si="1164">S103</f>
        <v>0</v>
      </c>
      <c r="U101" s="281">
        <f t="shared" ref="U101" si="1165">T103</f>
        <v>0</v>
      </c>
      <c r="V101" s="281">
        <f t="shared" ref="V101" si="1166">U103</f>
        <v>0</v>
      </c>
      <c r="W101" s="281">
        <f t="shared" ref="W101" si="1167">V103</f>
        <v>0</v>
      </c>
      <c r="X101" s="281">
        <f t="shared" ref="X101" si="1168">W103</f>
        <v>0</v>
      </c>
      <c r="Y101" s="281">
        <f t="shared" ref="Y101" si="1169">X103</f>
        <v>0</v>
      </c>
      <c r="Z101" s="281">
        <f t="shared" ref="Z101" si="1170">Y103</f>
        <v>0</v>
      </c>
      <c r="AA101" s="281">
        <f t="shared" ref="AA101" si="1171">Z103</f>
        <v>0</v>
      </c>
      <c r="AB101" s="281">
        <f t="shared" ref="AB101" si="1172">AA103</f>
        <v>0</v>
      </c>
      <c r="AC101" s="281">
        <f t="shared" ref="AC101" si="1173">AB103</f>
        <v>0</v>
      </c>
      <c r="AD101" s="281">
        <f t="shared" ref="AD101" si="1174">AC103</f>
        <v>0</v>
      </c>
      <c r="AE101" s="281">
        <f t="shared" ref="AE101" si="1175">AD103</f>
        <v>0</v>
      </c>
      <c r="AF101" s="281">
        <f t="shared" ref="AF101" si="1176">AE103</f>
        <v>0</v>
      </c>
      <c r="AG101" s="281">
        <f t="shared" ref="AG101" si="1177">AF103</f>
        <v>0</v>
      </c>
      <c r="AH101" s="281">
        <f t="shared" ref="AH101" si="1178">AG103</f>
        <v>0</v>
      </c>
      <c r="AI101" s="281">
        <f t="shared" ref="AI101" si="1179">AH103</f>
        <v>0</v>
      </c>
      <c r="AJ101" s="281">
        <f t="shared" ref="AJ101" si="1180">AI103</f>
        <v>0</v>
      </c>
      <c r="AK101" s="281">
        <f t="shared" ref="AK101" si="1181">AJ103</f>
        <v>0</v>
      </c>
      <c r="AL101" s="281">
        <f t="shared" ref="AL101" si="1182">AK103</f>
        <v>0</v>
      </c>
      <c r="AM101" s="281">
        <f t="shared" ref="AM101" si="1183">AL103</f>
        <v>0</v>
      </c>
      <c r="AN101" s="281">
        <f t="shared" ref="AN101" si="1184">AM103</f>
        <v>0</v>
      </c>
      <c r="AO101" s="281">
        <f t="shared" ref="AO101" si="1185">AN103</f>
        <v>0</v>
      </c>
      <c r="AP101" s="281">
        <f t="shared" ref="AP101" si="1186">AO103</f>
        <v>0</v>
      </c>
      <c r="AQ101" s="281">
        <f t="shared" ref="AQ101" si="1187">AP103</f>
        <v>0</v>
      </c>
      <c r="AR101" s="281">
        <f t="shared" ref="AR101" si="1188">AQ103</f>
        <v>0</v>
      </c>
      <c r="AS101" s="281">
        <f t="shared" ref="AS101" si="1189">AR103</f>
        <v>0</v>
      </c>
      <c r="AT101" s="281">
        <f t="shared" ref="AT101" si="1190">AS103</f>
        <v>0</v>
      </c>
      <c r="AU101" s="281">
        <f t="shared" ref="AU101" si="1191">AT103</f>
        <v>0</v>
      </c>
      <c r="AV101" s="281">
        <f t="shared" ref="AV101" si="1192">AU103</f>
        <v>0</v>
      </c>
      <c r="AW101" s="281">
        <f t="shared" ref="AW101" si="1193">AV103</f>
        <v>0</v>
      </c>
      <c r="AX101" s="281">
        <f t="shared" ref="AX101" si="1194">AW103</f>
        <v>0</v>
      </c>
      <c r="AY101" s="281">
        <f t="shared" ref="AY101" si="1195">AX103</f>
        <v>0</v>
      </c>
      <c r="AZ101" s="281">
        <f t="shared" ref="AZ101" si="1196">AY103</f>
        <v>0</v>
      </c>
      <c r="BA101" s="281">
        <f t="shared" ref="BA101" si="1197">AZ103</f>
        <v>0</v>
      </c>
      <c r="BB101" s="282">
        <f t="shared" ref="BB101" si="1198">BA103</f>
        <v>0</v>
      </c>
    </row>
    <row r="102" spans="1:54">
      <c r="A102"/>
      <c r="B102" s="479" t="s">
        <v>99</v>
      </c>
      <c r="C102" s="536"/>
      <c r="D102" s="480"/>
      <c r="E102" s="289">
        <f>Cockpit!$H$31</f>
        <v>0.03</v>
      </c>
      <c r="F102" s="289">
        <f>Cockpit!$H$31</f>
        <v>0.03</v>
      </c>
      <c r="G102" s="289">
        <f>Cockpit!$H$31</f>
        <v>0.03</v>
      </c>
      <c r="H102" s="289">
        <f>Cockpit!$H$31</f>
        <v>0.03</v>
      </c>
      <c r="I102" s="289">
        <f>Cockpit!$H$31</f>
        <v>0.03</v>
      </c>
      <c r="J102" s="289">
        <f>Cockpit!$H$31</f>
        <v>0.03</v>
      </c>
      <c r="K102" s="289">
        <f>Cockpit!$H$31</f>
        <v>0.03</v>
      </c>
      <c r="L102" s="289">
        <f>Cockpit!$H$31</f>
        <v>0.03</v>
      </c>
      <c r="M102" s="289">
        <f>Cockpit!$H$31</f>
        <v>0.03</v>
      </c>
      <c r="N102" s="289">
        <f>Cockpit!$H$31</f>
        <v>0.03</v>
      </c>
      <c r="O102" s="289">
        <f>Cockpit!$H$31</f>
        <v>0.03</v>
      </c>
      <c r="P102" s="289">
        <f>Cockpit!$H$31</f>
        <v>0.03</v>
      </c>
      <c r="Q102" s="289">
        <f>Cockpit!$H$31</f>
        <v>0.03</v>
      </c>
      <c r="R102" s="289">
        <f>Cockpit!$H$31</f>
        <v>0.03</v>
      </c>
      <c r="S102" s="289">
        <f>Cockpit!$H$31</f>
        <v>0.03</v>
      </c>
      <c r="T102" s="289">
        <f>Cockpit!$H$31</f>
        <v>0.03</v>
      </c>
      <c r="U102" s="289">
        <f>Cockpit!$H$31</f>
        <v>0.03</v>
      </c>
      <c r="V102" s="289">
        <f>Cockpit!$H$31</f>
        <v>0.03</v>
      </c>
      <c r="W102" s="289">
        <f>Cockpit!$H$31</f>
        <v>0.03</v>
      </c>
      <c r="X102" s="289">
        <f>Cockpit!$H$31</f>
        <v>0.03</v>
      </c>
      <c r="Y102" s="289">
        <f>Cockpit!$H$31</f>
        <v>0.03</v>
      </c>
      <c r="Z102" s="289">
        <f>Cockpit!$H$31</f>
        <v>0.03</v>
      </c>
      <c r="AA102" s="289">
        <f>Cockpit!$H$31</f>
        <v>0.03</v>
      </c>
      <c r="AB102" s="289">
        <f>Cockpit!$H$31</f>
        <v>0.03</v>
      </c>
      <c r="AC102" s="289">
        <f>Cockpit!$H$31</f>
        <v>0.03</v>
      </c>
      <c r="AD102" s="289">
        <f>Cockpit!$H$31</f>
        <v>0.03</v>
      </c>
      <c r="AE102" s="289">
        <f>Cockpit!$H$31</f>
        <v>0.03</v>
      </c>
      <c r="AF102" s="289">
        <f>Cockpit!$H$31</f>
        <v>0.03</v>
      </c>
      <c r="AG102" s="289">
        <f>Cockpit!$H$31</f>
        <v>0.03</v>
      </c>
      <c r="AH102" s="289">
        <f>Cockpit!$H$31</f>
        <v>0.03</v>
      </c>
      <c r="AI102" s="289">
        <f>Cockpit!$H$31</f>
        <v>0.03</v>
      </c>
      <c r="AJ102" s="289">
        <f>Cockpit!$H$31</f>
        <v>0.03</v>
      </c>
      <c r="AK102" s="289">
        <f>Cockpit!$H$31</f>
        <v>0.03</v>
      </c>
      <c r="AL102" s="289">
        <f>Cockpit!$H$31</f>
        <v>0.03</v>
      </c>
      <c r="AM102" s="289">
        <f>Cockpit!$H$31</f>
        <v>0.03</v>
      </c>
      <c r="AN102" s="289">
        <f>Cockpit!$H$31</f>
        <v>0.03</v>
      </c>
      <c r="AO102" s="289">
        <f>Cockpit!$H$31</f>
        <v>0.03</v>
      </c>
      <c r="AP102" s="289">
        <f>Cockpit!$H$31</f>
        <v>0.03</v>
      </c>
      <c r="AQ102" s="289">
        <f>Cockpit!$H$31</f>
        <v>0.03</v>
      </c>
      <c r="AR102" s="289">
        <f>Cockpit!$H$31</f>
        <v>0.03</v>
      </c>
      <c r="AS102" s="289">
        <f>Cockpit!$H$31</f>
        <v>0.03</v>
      </c>
      <c r="AT102" s="289">
        <f>Cockpit!$H$31</f>
        <v>0.03</v>
      </c>
      <c r="AU102" s="289">
        <f>Cockpit!$H$31</f>
        <v>0.03</v>
      </c>
      <c r="AV102" s="289">
        <f>Cockpit!$H$31</f>
        <v>0.03</v>
      </c>
      <c r="AW102" s="289">
        <f>Cockpit!$H$31</f>
        <v>0.03</v>
      </c>
      <c r="AX102" s="289">
        <f>Cockpit!$H$31</f>
        <v>0.03</v>
      </c>
      <c r="AY102" s="289">
        <f>Cockpit!$H$31</f>
        <v>0.03</v>
      </c>
      <c r="AZ102" s="289">
        <f>Cockpit!$H$31</f>
        <v>0.03</v>
      </c>
      <c r="BA102" s="289">
        <f>Cockpit!$H$31</f>
        <v>0.03</v>
      </c>
      <c r="BB102" s="290">
        <f>Cockpit!$H$31</f>
        <v>0.03</v>
      </c>
    </row>
    <row r="103" spans="1:54">
      <c r="B103" s="479" t="s">
        <v>67</v>
      </c>
      <c r="C103" s="536"/>
      <c r="D103" s="480"/>
      <c r="E103" s="10">
        <f t="shared" ref="E103:BB103" si="1199">E101*(1+E102)</f>
        <v>0</v>
      </c>
      <c r="F103" s="10">
        <f t="shared" si="1199"/>
        <v>0</v>
      </c>
      <c r="G103" s="10">
        <f t="shared" si="1199"/>
        <v>0</v>
      </c>
      <c r="H103" s="10">
        <f t="shared" si="1199"/>
        <v>0</v>
      </c>
      <c r="I103" s="10">
        <f t="shared" si="1199"/>
        <v>0</v>
      </c>
      <c r="J103" s="10">
        <f t="shared" si="1199"/>
        <v>0</v>
      </c>
      <c r="K103" s="10">
        <f t="shared" si="1199"/>
        <v>0</v>
      </c>
      <c r="L103" s="10">
        <f t="shared" si="1199"/>
        <v>0</v>
      </c>
      <c r="M103" s="10">
        <f t="shared" si="1199"/>
        <v>0</v>
      </c>
      <c r="N103" s="10">
        <f t="shared" si="1199"/>
        <v>0</v>
      </c>
      <c r="O103" s="10">
        <f t="shared" si="1199"/>
        <v>0</v>
      </c>
      <c r="P103" s="10">
        <f t="shared" si="1199"/>
        <v>0</v>
      </c>
      <c r="Q103" s="10">
        <f t="shared" si="1199"/>
        <v>0</v>
      </c>
      <c r="R103" s="10">
        <f t="shared" si="1199"/>
        <v>0</v>
      </c>
      <c r="S103" s="10">
        <f t="shared" si="1199"/>
        <v>0</v>
      </c>
      <c r="T103" s="10">
        <f t="shared" si="1199"/>
        <v>0</v>
      </c>
      <c r="U103" s="10">
        <f t="shared" si="1199"/>
        <v>0</v>
      </c>
      <c r="V103" s="10">
        <f t="shared" si="1199"/>
        <v>0</v>
      </c>
      <c r="W103" s="10">
        <f t="shared" si="1199"/>
        <v>0</v>
      </c>
      <c r="X103" s="10">
        <f t="shared" si="1199"/>
        <v>0</v>
      </c>
      <c r="Y103" s="10">
        <f t="shared" si="1199"/>
        <v>0</v>
      </c>
      <c r="Z103" s="10">
        <f t="shared" si="1199"/>
        <v>0</v>
      </c>
      <c r="AA103" s="10">
        <f t="shared" si="1199"/>
        <v>0</v>
      </c>
      <c r="AB103" s="10">
        <f t="shared" si="1199"/>
        <v>0</v>
      </c>
      <c r="AC103" s="10">
        <f t="shared" si="1199"/>
        <v>0</v>
      </c>
      <c r="AD103" s="10">
        <f t="shared" si="1199"/>
        <v>0</v>
      </c>
      <c r="AE103" s="10">
        <f t="shared" si="1199"/>
        <v>0</v>
      </c>
      <c r="AF103" s="10">
        <f t="shared" si="1199"/>
        <v>0</v>
      </c>
      <c r="AG103" s="10">
        <f t="shared" si="1199"/>
        <v>0</v>
      </c>
      <c r="AH103" s="10">
        <f t="shared" si="1199"/>
        <v>0</v>
      </c>
      <c r="AI103" s="10">
        <f t="shared" si="1199"/>
        <v>0</v>
      </c>
      <c r="AJ103" s="10">
        <f t="shared" si="1199"/>
        <v>0</v>
      </c>
      <c r="AK103" s="10">
        <f t="shared" si="1199"/>
        <v>0</v>
      </c>
      <c r="AL103" s="10">
        <f t="shared" si="1199"/>
        <v>0</v>
      </c>
      <c r="AM103" s="10">
        <f t="shared" si="1199"/>
        <v>0</v>
      </c>
      <c r="AN103" s="10">
        <f t="shared" si="1199"/>
        <v>0</v>
      </c>
      <c r="AO103" s="10">
        <f t="shared" si="1199"/>
        <v>0</v>
      </c>
      <c r="AP103" s="10">
        <f t="shared" si="1199"/>
        <v>0</v>
      </c>
      <c r="AQ103" s="10">
        <f t="shared" si="1199"/>
        <v>0</v>
      </c>
      <c r="AR103" s="10">
        <f t="shared" si="1199"/>
        <v>0</v>
      </c>
      <c r="AS103" s="10">
        <f t="shared" si="1199"/>
        <v>0</v>
      </c>
      <c r="AT103" s="10">
        <f t="shared" si="1199"/>
        <v>0</v>
      </c>
      <c r="AU103" s="10">
        <f t="shared" si="1199"/>
        <v>0</v>
      </c>
      <c r="AV103" s="10">
        <f t="shared" si="1199"/>
        <v>0</v>
      </c>
      <c r="AW103" s="10">
        <f t="shared" si="1199"/>
        <v>0</v>
      </c>
      <c r="AX103" s="10">
        <f t="shared" si="1199"/>
        <v>0</v>
      </c>
      <c r="AY103" s="10">
        <f t="shared" si="1199"/>
        <v>0</v>
      </c>
      <c r="AZ103" s="10">
        <f t="shared" si="1199"/>
        <v>0</v>
      </c>
      <c r="BA103" s="10">
        <f t="shared" si="1199"/>
        <v>0</v>
      </c>
      <c r="BB103" s="283">
        <f t="shared" si="1199"/>
        <v>0</v>
      </c>
    </row>
    <row r="104" spans="1:54" ht="15.75" thickBot="1">
      <c r="B104" s="492" t="s">
        <v>301</v>
      </c>
      <c r="C104" s="537"/>
      <c r="D104" s="493"/>
      <c r="E104" s="367" t="str">
        <f>IFERROR(E103/$C100,"-")</f>
        <v>-</v>
      </c>
      <c r="F104" s="367" t="str">
        <f>IFERROR(F103/$C100,"-")</f>
        <v>-</v>
      </c>
      <c r="G104" s="367" t="str">
        <f t="shared" ref="G104" si="1200">IFERROR(G103/$C100,"-")</f>
        <v>-</v>
      </c>
      <c r="H104" s="367" t="str">
        <f t="shared" ref="H104" si="1201">IFERROR(H103/$C100,"-")</f>
        <v>-</v>
      </c>
      <c r="I104" s="367" t="str">
        <f t="shared" ref="I104" si="1202">IFERROR(I103/$C100,"-")</f>
        <v>-</v>
      </c>
      <c r="J104" s="367" t="str">
        <f t="shared" ref="J104" si="1203">IFERROR(J103/$C100,"-")</f>
        <v>-</v>
      </c>
      <c r="K104" s="367" t="str">
        <f t="shared" ref="K104" si="1204">IFERROR(K103/$C100,"-")</f>
        <v>-</v>
      </c>
      <c r="L104" s="367" t="str">
        <f t="shared" ref="L104" si="1205">IFERROR(L103/$C100,"-")</f>
        <v>-</v>
      </c>
      <c r="M104" s="367" t="str">
        <f t="shared" ref="M104" si="1206">IFERROR(M103/$C100,"-")</f>
        <v>-</v>
      </c>
      <c r="N104" s="367" t="str">
        <f t="shared" ref="N104" si="1207">IFERROR(N103/$C100,"-")</f>
        <v>-</v>
      </c>
      <c r="O104" s="367" t="str">
        <f t="shared" ref="O104" si="1208">IFERROR(O103/$C100,"-")</f>
        <v>-</v>
      </c>
      <c r="P104" s="367" t="str">
        <f t="shared" ref="P104" si="1209">IFERROR(P103/$C100,"-")</f>
        <v>-</v>
      </c>
      <c r="Q104" s="367" t="str">
        <f t="shared" ref="Q104" si="1210">IFERROR(Q103/$C100,"-")</f>
        <v>-</v>
      </c>
      <c r="R104" s="367" t="str">
        <f t="shared" ref="R104" si="1211">IFERROR(R103/$C100,"-")</f>
        <v>-</v>
      </c>
      <c r="S104" s="367" t="str">
        <f t="shared" ref="S104" si="1212">IFERROR(S103/$C100,"-")</f>
        <v>-</v>
      </c>
      <c r="T104" s="367" t="str">
        <f t="shared" ref="T104" si="1213">IFERROR(T103/$C100,"-")</f>
        <v>-</v>
      </c>
      <c r="U104" s="367" t="str">
        <f t="shared" ref="U104" si="1214">IFERROR(U103/$C100,"-")</f>
        <v>-</v>
      </c>
      <c r="V104" s="367" t="str">
        <f t="shared" ref="V104" si="1215">IFERROR(V103/$C100,"-")</f>
        <v>-</v>
      </c>
      <c r="W104" s="367" t="str">
        <f t="shared" ref="W104" si="1216">IFERROR(W103/$C100,"-")</f>
        <v>-</v>
      </c>
      <c r="X104" s="367" t="str">
        <f t="shared" ref="X104" si="1217">IFERROR(X103/$C100,"-")</f>
        <v>-</v>
      </c>
      <c r="Y104" s="367" t="str">
        <f t="shared" ref="Y104" si="1218">IFERROR(Y103/$C100,"-")</f>
        <v>-</v>
      </c>
      <c r="Z104" s="367" t="str">
        <f t="shared" ref="Z104" si="1219">IFERROR(Z103/$C100,"-")</f>
        <v>-</v>
      </c>
      <c r="AA104" s="367" t="str">
        <f t="shared" ref="AA104" si="1220">IFERROR(AA103/$C100,"-")</f>
        <v>-</v>
      </c>
      <c r="AB104" s="367" t="str">
        <f t="shared" ref="AB104" si="1221">IFERROR(AB103/$C100,"-")</f>
        <v>-</v>
      </c>
      <c r="AC104" s="367" t="str">
        <f t="shared" ref="AC104" si="1222">IFERROR(AC103/$C100,"-")</f>
        <v>-</v>
      </c>
      <c r="AD104" s="367" t="str">
        <f t="shared" ref="AD104" si="1223">IFERROR(AD103/$C100,"-")</f>
        <v>-</v>
      </c>
      <c r="AE104" s="367" t="str">
        <f t="shared" ref="AE104" si="1224">IFERROR(AE103/$C100,"-")</f>
        <v>-</v>
      </c>
      <c r="AF104" s="367" t="str">
        <f t="shared" ref="AF104" si="1225">IFERROR(AF103/$C100,"-")</f>
        <v>-</v>
      </c>
      <c r="AG104" s="367" t="str">
        <f t="shared" ref="AG104" si="1226">IFERROR(AG103/$C100,"-")</f>
        <v>-</v>
      </c>
      <c r="AH104" s="367" t="str">
        <f t="shared" ref="AH104" si="1227">IFERROR(AH103/$C100,"-")</f>
        <v>-</v>
      </c>
      <c r="AI104" s="367" t="str">
        <f t="shared" ref="AI104" si="1228">IFERROR(AI103/$C100,"-")</f>
        <v>-</v>
      </c>
      <c r="AJ104" s="367" t="str">
        <f t="shared" ref="AJ104" si="1229">IFERROR(AJ103/$C100,"-")</f>
        <v>-</v>
      </c>
      <c r="AK104" s="367" t="str">
        <f t="shared" ref="AK104" si="1230">IFERROR(AK103/$C100,"-")</f>
        <v>-</v>
      </c>
      <c r="AL104" s="367" t="str">
        <f t="shared" ref="AL104" si="1231">IFERROR(AL103/$C100,"-")</f>
        <v>-</v>
      </c>
      <c r="AM104" s="367" t="str">
        <f t="shared" ref="AM104" si="1232">IFERROR(AM103/$C100,"-")</f>
        <v>-</v>
      </c>
      <c r="AN104" s="367" t="str">
        <f t="shared" ref="AN104" si="1233">IFERROR(AN103/$C100,"-")</f>
        <v>-</v>
      </c>
      <c r="AO104" s="367" t="str">
        <f t="shared" ref="AO104" si="1234">IFERROR(AO103/$C100,"-")</f>
        <v>-</v>
      </c>
      <c r="AP104" s="367" t="str">
        <f t="shared" ref="AP104" si="1235">IFERROR(AP103/$C100,"-")</f>
        <v>-</v>
      </c>
      <c r="AQ104" s="367" t="str">
        <f t="shared" ref="AQ104" si="1236">IFERROR(AQ103/$C100,"-")</f>
        <v>-</v>
      </c>
      <c r="AR104" s="367" t="str">
        <f t="shared" ref="AR104" si="1237">IFERROR(AR103/$C100,"-")</f>
        <v>-</v>
      </c>
      <c r="AS104" s="367" t="str">
        <f t="shared" ref="AS104" si="1238">IFERROR(AS103/$C100,"-")</f>
        <v>-</v>
      </c>
      <c r="AT104" s="367" t="str">
        <f t="shared" ref="AT104" si="1239">IFERROR(AT103/$C100,"-")</f>
        <v>-</v>
      </c>
      <c r="AU104" s="367" t="str">
        <f t="shared" ref="AU104" si="1240">IFERROR(AU103/$C100,"-")</f>
        <v>-</v>
      </c>
      <c r="AV104" s="367" t="str">
        <f t="shared" ref="AV104" si="1241">IFERROR(AV103/$C100,"-")</f>
        <v>-</v>
      </c>
      <c r="AW104" s="367" t="str">
        <f t="shared" ref="AW104" si="1242">IFERROR(AW103/$C100,"-")</f>
        <v>-</v>
      </c>
      <c r="AX104" s="367" t="str">
        <f t="shared" ref="AX104" si="1243">IFERROR(AX103/$C100,"-")</f>
        <v>-</v>
      </c>
      <c r="AY104" s="367" t="str">
        <f t="shared" ref="AY104" si="1244">IFERROR(AY103/$C100,"-")</f>
        <v>-</v>
      </c>
      <c r="AZ104" s="367" t="str">
        <f t="shared" ref="AZ104" si="1245">IFERROR(AZ103/$C100,"-")</f>
        <v>-</v>
      </c>
      <c r="BA104" s="367" t="str">
        <f t="shared" ref="BA104" si="1246">IFERROR(BA103/$C100,"-")</f>
        <v>-</v>
      </c>
      <c r="BB104" s="368" t="str">
        <f t="shared" ref="BB104" si="1247">IFERROR(BB103/$C100,"-")</f>
        <v>-</v>
      </c>
    </row>
    <row r="105" spans="1:54" ht="17.25" customHeight="1" thickBot="1">
      <c r="J105" s="6"/>
      <c r="K105" s="6"/>
      <c r="L105" s="6"/>
      <c r="M105" s="6"/>
      <c r="O105" s="5"/>
      <c r="P105" s="5"/>
      <c r="Q105" s="5"/>
      <c r="R105" s="5"/>
    </row>
    <row r="106" spans="1:54" ht="18" thickBot="1">
      <c r="A106"/>
      <c r="B106" s="533" t="s">
        <v>309</v>
      </c>
      <c r="C106" s="534"/>
      <c r="D106" s="32"/>
      <c r="E106" s="275"/>
      <c r="J106" s="6"/>
      <c r="K106" s="6"/>
      <c r="L106" s="6"/>
      <c r="M106" s="6"/>
    </row>
    <row r="107" spans="1:54" ht="15.75" thickBot="1">
      <c r="B107" s="360" t="s">
        <v>11</v>
      </c>
      <c r="C107" s="369">
        <v>0</v>
      </c>
      <c r="D107" s="364"/>
      <c r="E107" s="365">
        <f t="shared" ref="E107:AJ107" si="1248">E$9</f>
        <v>2024</v>
      </c>
      <c r="F107" s="279">
        <f t="shared" si="1248"/>
        <v>2025</v>
      </c>
      <c r="G107" s="279">
        <f t="shared" si="1248"/>
        <v>2026</v>
      </c>
      <c r="H107" s="279">
        <f t="shared" si="1248"/>
        <v>2027</v>
      </c>
      <c r="I107" s="279">
        <f t="shared" si="1248"/>
        <v>2028</v>
      </c>
      <c r="J107" s="279">
        <f t="shared" si="1248"/>
        <v>2029</v>
      </c>
      <c r="K107" s="279">
        <f t="shared" si="1248"/>
        <v>2030</v>
      </c>
      <c r="L107" s="279">
        <f t="shared" si="1248"/>
        <v>2031</v>
      </c>
      <c r="M107" s="279">
        <f t="shared" si="1248"/>
        <v>2032</v>
      </c>
      <c r="N107" s="279">
        <f t="shared" si="1248"/>
        <v>2033</v>
      </c>
      <c r="O107" s="279">
        <f t="shared" si="1248"/>
        <v>2034</v>
      </c>
      <c r="P107" s="279">
        <f t="shared" si="1248"/>
        <v>2035</v>
      </c>
      <c r="Q107" s="279">
        <f t="shared" si="1248"/>
        <v>2036</v>
      </c>
      <c r="R107" s="279">
        <f t="shared" si="1248"/>
        <v>2037</v>
      </c>
      <c r="S107" s="279">
        <f t="shared" si="1248"/>
        <v>2038</v>
      </c>
      <c r="T107" s="279">
        <f t="shared" si="1248"/>
        <v>2039</v>
      </c>
      <c r="U107" s="279">
        <f t="shared" si="1248"/>
        <v>2040</v>
      </c>
      <c r="V107" s="279">
        <f t="shared" si="1248"/>
        <v>2041</v>
      </c>
      <c r="W107" s="279">
        <f t="shared" si="1248"/>
        <v>2042</v>
      </c>
      <c r="X107" s="279">
        <f t="shared" si="1248"/>
        <v>2043</v>
      </c>
      <c r="Y107" s="279">
        <f t="shared" si="1248"/>
        <v>2044</v>
      </c>
      <c r="Z107" s="279">
        <f t="shared" si="1248"/>
        <v>2045</v>
      </c>
      <c r="AA107" s="279">
        <f t="shared" si="1248"/>
        <v>2046</v>
      </c>
      <c r="AB107" s="279">
        <f t="shared" si="1248"/>
        <v>2047</v>
      </c>
      <c r="AC107" s="279">
        <f t="shared" si="1248"/>
        <v>2048</v>
      </c>
      <c r="AD107" s="279">
        <f t="shared" si="1248"/>
        <v>2049</v>
      </c>
      <c r="AE107" s="279">
        <f t="shared" si="1248"/>
        <v>2050</v>
      </c>
      <c r="AF107" s="279">
        <f t="shared" si="1248"/>
        <v>2051</v>
      </c>
      <c r="AG107" s="279">
        <f t="shared" si="1248"/>
        <v>2052</v>
      </c>
      <c r="AH107" s="279">
        <f t="shared" si="1248"/>
        <v>2053</v>
      </c>
      <c r="AI107" s="279">
        <f t="shared" si="1248"/>
        <v>2054</v>
      </c>
      <c r="AJ107" s="279">
        <f t="shared" si="1248"/>
        <v>2055</v>
      </c>
      <c r="AK107" s="279">
        <f t="shared" ref="AK107:BB107" si="1249">AK$9</f>
        <v>2056</v>
      </c>
      <c r="AL107" s="279">
        <f t="shared" si="1249"/>
        <v>2057</v>
      </c>
      <c r="AM107" s="279">
        <f t="shared" si="1249"/>
        <v>2058</v>
      </c>
      <c r="AN107" s="279">
        <f t="shared" si="1249"/>
        <v>2059</v>
      </c>
      <c r="AO107" s="279">
        <f t="shared" si="1249"/>
        <v>2060</v>
      </c>
      <c r="AP107" s="279">
        <f t="shared" si="1249"/>
        <v>2061</v>
      </c>
      <c r="AQ107" s="279">
        <f t="shared" si="1249"/>
        <v>2062</v>
      </c>
      <c r="AR107" s="279">
        <f t="shared" si="1249"/>
        <v>2063</v>
      </c>
      <c r="AS107" s="279">
        <f t="shared" si="1249"/>
        <v>2064</v>
      </c>
      <c r="AT107" s="279">
        <f t="shared" si="1249"/>
        <v>2065</v>
      </c>
      <c r="AU107" s="279">
        <f t="shared" si="1249"/>
        <v>2066</v>
      </c>
      <c r="AV107" s="279">
        <f t="shared" si="1249"/>
        <v>2067</v>
      </c>
      <c r="AW107" s="279">
        <f t="shared" si="1249"/>
        <v>2068</v>
      </c>
      <c r="AX107" s="279">
        <f t="shared" si="1249"/>
        <v>2069</v>
      </c>
      <c r="AY107" s="279">
        <f t="shared" si="1249"/>
        <v>2070</v>
      </c>
      <c r="AZ107" s="279">
        <f t="shared" si="1249"/>
        <v>2071</v>
      </c>
      <c r="BA107" s="279">
        <f t="shared" si="1249"/>
        <v>2072</v>
      </c>
      <c r="BB107" s="280">
        <f t="shared" si="1249"/>
        <v>2073</v>
      </c>
    </row>
    <row r="108" spans="1:54">
      <c r="A108"/>
      <c r="B108" s="485" t="s">
        <v>261</v>
      </c>
      <c r="C108" s="535"/>
      <c r="D108" s="486"/>
      <c r="E108" s="307">
        <v>0</v>
      </c>
      <c r="F108" s="281">
        <f>E110</f>
        <v>0</v>
      </c>
      <c r="G108" s="281">
        <f t="shared" ref="G108" si="1250">F110</f>
        <v>0</v>
      </c>
      <c r="H108" s="281">
        <f t="shared" ref="H108" si="1251">G110</f>
        <v>0</v>
      </c>
      <c r="I108" s="281">
        <f t="shared" ref="I108" si="1252">H110</f>
        <v>0</v>
      </c>
      <c r="J108" s="281">
        <f t="shared" ref="J108" si="1253">I110</f>
        <v>0</v>
      </c>
      <c r="K108" s="281">
        <f t="shared" ref="K108" si="1254">J110</f>
        <v>0</v>
      </c>
      <c r="L108" s="281">
        <f t="shared" ref="L108" si="1255">K110</f>
        <v>0</v>
      </c>
      <c r="M108" s="281">
        <f t="shared" ref="M108" si="1256">L110</f>
        <v>0</v>
      </c>
      <c r="N108" s="281">
        <f t="shared" ref="N108" si="1257">M110</f>
        <v>0</v>
      </c>
      <c r="O108" s="281">
        <f t="shared" ref="O108" si="1258">N110</f>
        <v>0</v>
      </c>
      <c r="P108" s="281">
        <f t="shared" ref="P108" si="1259">O110</f>
        <v>0</v>
      </c>
      <c r="Q108" s="281">
        <f t="shared" ref="Q108" si="1260">P110</f>
        <v>0</v>
      </c>
      <c r="R108" s="281">
        <f t="shared" ref="R108" si="1261">Q110</f>
        <v>0</v>
      </c>
      <c r="S108" s="281">
        <f t="shared" ref="S108" si="1262">R110</f>
        <v>0</v>
      </c>
      <c r="T108" s="281">
        <f t="shared" ref="T108" si="1263">S110</f>
        <v>0</v>
      </c>
      <c r="U108" s="281">
        <f t="shared" ref="U108" si="1264">T110</f>
        <v>0</v>
      </c>
      <c r="V108" s="281">
        <f t="shared" ref="V108" si="1265">U110</f>
        <v>0</v>
      </c>
      <c r="W108" s="281">
        <f t="shared" ref="W108" si="1266">V110</f>
        <v>0</v>
      </c>
      <c r="X108" s="281">
        <f t="shared" ref="X108" si="1267">W110</f>
        <v>0</v>
      </c>
      <c r="Y108" s="281">
        <f t="shared" ref="Y108" si="1268">X110</f>
        <v>0</v>
      </c>
      <c r="Z108" s="281">
        <f t="shared" ref="Z108" si="1269">Y110</f>
        <v>0</v>
      </c>
      <c r="AA108" s="281">
        <f t="shared" ref="AA108" si="1270">Z110</f>
        <v>0</v>
      </c>
      <c r="AB108" s="281">
        <f t="shared" ref="AB108" si="1271">AA110</f>
        <v>0</v>
      </c>
      <c r="AC108" s="281">
        <f t="shared" ref="AC108" si="1272">AB110</f>
        <v>0</v>
      </c>
      <c r="AD108" s="281">
        <f t="shared" ref="AD108" si="1273">AC110</f>
        <v>0</v>
      </c>
      <c r="AE108" s="281">
        <f t="shared" ref="AE108" si="1274">AD110</f>
        <v>0</v>
      </c>
      <c r="AF108" s="281">
        <f t="shared" ref="AF108" si="1275">AE110</f>
        <v>0</v>
      </c>
      <c r="AG108" s="281">
        <f t="shared" ref="AG108" si="1276">AF110</f>
        <v>0</v>
      </c>
      <c r="AH108" s="281">
        <f t="shared" ref="AH108" si="1277">AG110</f>
        <v>0</v>
      </c>
      <c r="AI108" s="281">
        <f t="shared" ref="AI108" si="1278">AH110</f>
        <v>0</v>
      </c>
      <c r="AJ108" s="281">
        <f t="shared" ref="AJ108" si="1279">AI110</f>
        <v>0</v>
      </c>
      <c r="AK108" s="281">
        <f t="shared" ref="AK108" si="1280">AJ110</f>
        <v>0</v>
      </c>
      <c r="AL108" s="281">
        <f t="shared" ref="AL108" si="1281">AK110</f>
        <v>0</v>
      </c>
      <c r="AM108" s="281">
        <f t="shared" ref="AM108" si="1282">AL110</f>
        <v>0</v>
      </c>
      <c r="AN108" s="281">
        <f t="shared" ref="AN108" si="1283">AM110</f>
        <v>0</v>
      </c>
      <c r="AO108" s="281">
        <f t="shared" ref="AO108" si="1284">AN110</f>
        <v>0</v>
      </c>
      <c r="AP108" s="281">
        <f t="shared" ref="AP108" si="1285">AO110</f>
        <v>0</v>
      </c>
      <c r="AQ108" s="281">
        <f t="shared" ref="AQ108" si="1286">AP110</f>
        <v>0</v>
      </c>
      <c r="AR108" s="281">
        <f t="shared" ref="AR108" si="1287">AQ110</f>
        <v>0</v>
      </c>
      <c r="AS108" s="281">
        <f t="shared" ref="AS108" si="1288">AR110</f>
        <v>0</v>
      </c>
      <c r="AT108" s="281">
        <f t="shared" ref="AT108" si="1289">AS110</f>
        <v>0</v>
      </c>
      <c r="AU108" s="281">
        <f t="shared" ref="AU108" si="1290">AT110</f>
        <v>0</v>
      </c>
      <c r="AV108" s="281">
        <f t="shared" ref="AV108" si="1291">AU110</f>
        <v>0</v>
      </c>
      <c r="AW108" s="281">
        <f t="shared" ref="AW108" si="1292">AV110</f>
        <v>0</v>
      </c>
      <c r="AX108" s="281">
        <f t="shared" ref="AX108" si="1293">AW110</f>
        <v>0</v>
      </c>
      <c r="AY108" s="281">
        <f t="shared" ref="AY108" si="1294">AX110</f>
        <v>0</v>
      </c>
      <c r="AZ108" s="281">
        <f t="shared" ref="AZ108" si="1295">AY110</f>
        <v>0</v>
      </c>
      <c r="BA108" s="281">
        <f t="shared" ref="BA108" si="1296">AZ110</f>
        <v>0</v>
      </c>
      <c r="BB108" s="282">
        <f t="shared" ref="BB108" si="1297">BA110</f>
        <v>0</v>
      </c>
    </row>
    <row r="109" spans="1:54">
      <c r="A109"/>
      <c r="B109" s="479" t="s">
        <v>99</v>
      </c>
      <c r="C109" s="536"/>
      <c r="D109" s="480"/>
      <c r="E109" s="289">
        <f>Cockpit!$H$31</f>
        <v>0.03</v>
      </c>
      <c r="F109" s="289">
        <f>Cockpit!$H$31</f>
        <v>0.03</v>
      </c>
      <c r="G109" s="289">
        <f>Cockpit!$H$31</f>
        <v>0.03</v>
      </c>
      <c r="H109" s="289">
        <f>Cockpit!$H$31</f>
        <v>0.03</v>
      </c>
      <c r="I109" s="289">
        <f>Cockpit!$H$31</f>
        <v>0.03</v>
      </c>
      <c r="J109" s="289">
        <f>Cockpit!$H$31</f>
        <v>0.03</v>
      </c>
      <c r="K109" s="289">
        <f>Cockpit!$H$31</f>
        <v>0.03</v>
      </c>
      <c r="L109" s="289">
        <f>Cockpit!$H$31</f>
        <v>0.03</v>
      </c>
      <c r="M109" s="289">
        <f>Cockpit!$H$31</f>
        <v>0.03</v>
      </c>
      <c r="N109" s="289">
        <f>Cockpit!$H$31</f>
        <v>0.03</v>
      </c>
      <c r="O109" s="289">
        <f>Cockpit!$H$31</f>
        <v>0.03</v>
      </c>
      <c r="P109" s="289">
        <f>Cockpit!$H$31</f>
        <v>0.03</v>
      </c>
      <c r="Q109" s="289">
        <f>Cockpit!$H$31</f>
        <v>0.03</v>
      </c>
      <c r="R109" s="289">
        <f>Cockpit!$H$31</f>
        <v>0.03</v>
      </c>
      <c r="S109" s="289">
        <f>Cockpit!$H$31</f>
        <v>0.03</v>
      </c>
      <c r="T109" s="289">
        <f>Cockpit!$H$31</f>
        <v>0.03</v>
      </c>
      <c r="U109" s="289">
        <f>Cockpit!$H$31</f>
        <v>0.03</v>
      </c>
      <c r="V109" s="289">
        <f>Cockpit!$H$31</f>
        <v>0.03</v>
      </c>
      <c r="W109" s="289">
        <f>Cockpit!$H$31</f>
        <v>0.03</v>
      </c>
      <c r="X109" s="289">
        <f>Cockpit!$H$31</f>
        <v>0.03</v>
      </c>
      <c r="Y109" s="289">
        <f>Cockpit!$H$31</f>
        <v>0.03</v>
      </c>
      <c r="Z109" s="289">
        <f>Cockpit!$H$31</f>
        <v>0.03</v>
      </c>
      <c r="AA109" s="289">
        <f>Cockpit!$H$31</f>
        <v>0.03</v>
      </c>
      <c r="AB109" s="289">
        <f>Cockpit!$H$31</f>
        <v>0.03</v>
      </c>
      <c r="AC109" s="289">
        <f>Cockpit!$H$31</f>
        <v>0.03</v>
      </c>
      <c r="AD109" s="289">
        <f>Cockpit!$H$31</f>
        <v>0.03</v>
      </c>
      <c r="AE109" s="289">
        <f>Cockpit!$H$31</f>
        <v>0.03</v>
      </c>
      <c r="AF109" s="289">
        <f>Cockpit!$H$31</f>
        <v>0.03</v>
      </c>
      <c r="AG109" s="289">
        <f>Cockpit!$H$31</f>
        <v>0.03</v>
      </c>
      <c r="AH109" s="289">
        <f>Cockpit!$H$31</f>
        <v>0.03</v>
      </c>
      <c r="AI109" s="289">
        <f>Cockpit!$H$31</f>
        <v>0.03</v>
      </c>
      <c r="AJ109" s="289">
        <f>Cockpit!$H$31</f>
        <v>0.03</v>
      </c>
      <c r="AK109" s="289">
        <f>Cockpit!$H$31</f>
        <v>0.03</v>
      </c>
      <c r="AL109" s="289">
        <f>Cockpit!$H$31</f>
        <v>0.03</v>
      </c>
      <c r="AM109" s="289">
        <f>Cockpit!$H$31</f>
        <v>0.03</v>
      </c>
      <c r="AN109" s="289">
        <f>Cockpit!$H$31</f>
        <v>0.03</v>
      </c>
      <c r="AO109" s="289">
        <f>Cockpit!$H$31</f>
        <v>0.03</v>
      </c>
      <c r="AP109" s="289">
        <f>Cockpit!$H$31</f>
        <v>0.03</v>
      </c>
      <c r="AQ109" s="289">
        <f>Cockpit!$H$31</f>
        <v>0.03</v>
      </c>
      <c r="AR109" s="289">
        <f>Cockpit!$H$31</f>
        <v>0.03</v>
      </c>
      <c r="AS109" s="289">
        <f>Cockpit!$H$31</f>
        <v>0.03</v>
      </c>
      <c r="AT109" s="289">
        <f>Cockpit!$H$31</f>
        <v>0.03</v>
      </c>
      <c r="AU109" s="289">
        <f>Cockpit!$H$31</f>
        <v>0.03</v>
      </c>
      <c r="AV109" s="289">
        <f>Cockpit!$H$31</f>
        <v>0.03</v>
      </c>
      <c r="AW109" s="289">
        <f>Cockpit!$H$31</f>
        <v>0.03</v>
      </c>
      <c r="AX109" s="289">
        <f>Cockpit!$H$31</f>
        <v>0.03</v>
      </c>
      <c r="AY109" s="289">
        <f>Cockpit!$H$31</f>
        <v>0.03</v>
      </c>
      <c r="AZ109" s="289">
        <f>Cockpit!$H$31</f>
        <v>0.03</v>
      </c>
      <c r="BA109" s="289">
        <f>Cockpit!$H$31</f>
        <v>0.03</v>
      </c>
      <c r="BB109" s="290">
        <f>Cockpit!$H$31</f>
        <v>0.03</v>
      </c>
    </row>
    <row r="110" spans="1:54">
      <c r="B110" s="479" t="s">
        <v>67</v>
      </c>
      <c r="C110" s="536"/>
      <c r="D110" s="480"/>
      <c r="E110" s="10">
        <f t="shared" ref="E110:BB110" si="1298">E108*(1+E109)</f>
        <v>0</v>
      </c>
      <c r="F110" s="10">
        <f t="shared" si="1298"/>
        <v>0</v>
      </c>
      <c r="G110" s="10">
        <f t="shared" si="1298"/>
        <v>0</v>
      </c>
      <c r="H110" s="10">
        <f t="shared" si="1298"/>
        <v>0</v>
      </c>
      <c r="I110" s="10">
        <f t="shared" si="1298"/>
        <v>0</v>
      </c>
      <c r="J110" s="10">
        <f t="shared" si="1298"/>
        <v>0</v>
      </c>
      <c r="K110" s="10">
        <f t="shared" si="1298"/>
        <v>0</v>
      </c>
      <c r="L110" s="10">
        <f t="shared" si="1298"/>
        <v>0</v>
      </c>
      <c r="M110" s="10">
        <f t="shared" si="1298"/>
        <v>0</v>
      </c>
      <c r="N110" s="10">
        <f t="shared" si="1298"/>
        <v>0</v>
      </c>
      <c r="O110" s="10">
        <f t="shared" si="1298"/>
        <v>0</v>
      </c>
      <c r="P110" s="10">
        <f t="shared" si="1298"/>
        <v>0</v>
      </c>
      <c r="Q110" s="10">
        <f t="shared" si="1298"/>
        <v>0</v>
      </c>
      <c r="R110" s="10">
        <f t="shared" si="1298"/>
        <v>0</v>
      </c>
      <c r="S110" s="10">
        <f t="shared" si="1298"/>
        <v>0</v>
      </c>
      <c r="T110" s="10">
        <f t="shared" si="1298"/>
        <v>0</v>
      </c>
      <c r="U110" s="10">
        <f t="shared" si="1298"/>
        <v>0</v>
      </c>
      <c r="V110" s="10">
        <f t="shared" si="1298"/>
        <v>0</v>
      </c>
      <c r="W110" s="10">
        <f t="shared" si="1298"/>
        <v>0</v>
      </c>
      <c r="X110" s="10">
        <f t="shared" si="1298"/>
        <v>0</v>
      </c>
      <c r="Y110" s="10">
        <f t="shared" si="1298"/>
        <v>0</v>
      </c>
      <c r="Z110" s="10">
        <f t="shared" si="1298"/>
        <v>0</v>
      </c>
      <c r="AA110" s="10">
        <f t="shared" si="1298"/>
        <v>0</v>
      </c>
      <c r="AB110" s="10">
        <f t="shared" si="1298"/>
        <v>0</v>
      </c>
      <c r="AC110" s="10">
        <f t="shared" si="1298"/>
        <v>0</v>
      </c>
      <c r="AD110" s="10">
        <f t="shared" si="1298"/>
        <v>0</v>
      </c>
      <c r="AE110" s="10">
        <f t="shared" si="1298"/>
        <v>0</v>
      </c>
      <c r="AF110" s="10">
        <f t="shared" si="1298"/>
        <v>0</v>
      </c>
      <c r="AG110" s="10">
        <f t="shared" si="1298"/>
        <v>0</v>
      </c>
      <c r="AH110" s="10">
        <f t="shared" si="1298"/>
        <v>0</v>
      </c>
      <c r="AI110" s="10">
        <f t="shared" si="1298"/>
        <v>0</v>
      </c>
      <c r="AJ110" s="10">
        <f t="shared" si="1298"/>
        <v>0</v>
      </c>
      <c r="AK110" s="10">
        <f t="shared" si="1298"/>
        <v>0</v>
      </c>
      <c r="AL110" s="10">
        <f t="shared" si="1298"/>
        <v>0</v>
      </c>
      <c r="AM110" s="10">
        <f t="shared" si="1298"/>
        <v>0</v>
      </c>
      <c r="AN110" s="10">
        <f t="shared" si="1298"/>
        <v>0</v>
      </c>
      <c r="AO110" s="10">
        <f t="shared" si="1298"/>
        <v>0</v>
      </c>
      <c r="AP110" s="10">
        <f t="shared" si="1298"/>
        <v>0</v>
      </c>
      <c r="AQ110" s="10">
        <f t="shared" si="1298"/>
        <v>0</v>
      </c>
      <c r="AR110" s="10">
        <f t="shared" si="1298"/>
        <v>0</v>
      </c>
      <c r="AS110" s="10">
        <f t="shared" si="1298"/>
        <v>0</v>
      </c>
      <c r="AT110" s="10">
        <f t="shared" si="1298"/>
        <v>0</v>
      </c>
      <c r="AU110" s="10">
        <f t="shared" si="1298"/>
        <v>0</v>
      </c>
      <c r="AV110" s="10">
        <f t="shared" si="1298"/>
        <v>0</v>
      </c>
      <c r="AW110" s="10">
        <f t="shared" si="1298"/>
        <v>0</v>
      </c>
      <c r="AX110" s="10">
        <f t="shared" si="1298"/>
        <v>0</v>
      </c>
      <c r="AY110" s="10">
        <f t="shared" si="1298"/>
        <v>0</v>
      </c>
      <c r="AZ110" s="10">
        <f t="shared" si="1298"/>
        <v>0</v>
      </c>
      <c r="BA110" s="10">
        <f t="shared" si="1298"/>
        <v>0</v>
      </c>
      <c r="BB110" s="283">
        <f t="shared" si="1298"/>
        <v>0</v>
      </c>
    </row>
    <row r="111" spans="1:54" ht="15.75" thickBot="1">
      <c r="B111" s="492" t="s">
        <v>301</v>
      </c>
      <c r="C111" s="537"/>
      <c r="D111" s="493"/>
      <c r="E111" s="367" t="str">
        <f>IFERROR(E110/$C107,"-")</f>
        <v>-</v>
      </c>
      <c r="F111" s="367" t="str">
        <f>IFERROR(F110/$C107,"-")</f>
        <v>-</v>
      </c>
      <c r="G111" s="367" t="str">
        <f t="shared" ref="G111" si="1299">IFERROR(G110/$C107,"-")</f>
        <v>-</v>
      </c>
      <c r="H111" s="367" t="str">
        <f t="shared" ref="H111" si="1300">IFERROR(H110/$C107,"-")</f>
        <v>-</v>
      </c>
      <c r="I111" s="367" t="str">
        <f t="shared" ref="I111" si="1301">IFERROR(I110/$C107,"-")</f>
        <v>-</v>
      </c>
      <c r="J111" s="367" t="str">
        <f t="shared" ref="J111" si="1302">IFERROR(J110/$C107,"-")</f>
        <v>-</v>
      </c>
      <c r="K111" s="367" t="str">
        <f t="shared" ref="K111" si="1303">IFERROR(K110/$C107,"-")</f>
        <v>-</v>
      </c>
      <c r="L111" s="367" t="str">
        <f t="shared" ref="L111" si="1304">IFERROR(L110/$C107,"-")</f>
        <v>-</v>
      </c>
      <c r="M111" s="367" t="str">
        <f t="shared" ref="M111" si="1305">IFERROR(M110/$C107,"-")</f>
        <v>-</v>
      </c>
      <c r="N111" s="367" t="str">
        <f t="shared" ref="N111" si="1306">IFERROR(N110/$C107,"-")</f>
        <v>-</v>
      </c>
      <c r="O111" s="367" t="str">
        <f t="shared" ref="O111" si="1307">IFERROR(O110/$C107,"-")</f>
        <v>-</v>
      </c>
      <c r="P111" s="367" t="str">
        <f t="shared" ref="P111" si="1308">IFERROR(P110/$C107,"-")</f>
        <v>-</v>
      </c>
      <c r="Q111" s="367" t="str">
        <f t="shared" ref="Q111" si="1309">IFERROR(Q110/$C107,"-")</f>
        <v>-</v>
      </c>
      <c r="R111" s="367" t="str">
        <f t="shared" ref="R111" si="1310">IFERROR(R110/$C107,"-")</f>
        <v>-</v>
      </c>
      <c r="S111" s="367" t="str">
        <f t="shared" ref="S111" si="1311">IFERROR(S110/$C107,"-")</f>
        <v>-</v>
      </c>
      <c r="T111" s="367" t="str">
        <f t="shared" ref="T111" si="1312">IFERROR(T110/$C107,"-")</f>
        <v>-</v>
      </c>
      <c r="U111" s="367" t="str">
        <f t="shared" ref="U111" si="1313">IFERROR(U110/$C107,"-")</f>
        <v>-</v>
      </c>
      <c r="V111" s="367" t="str">
        <f t="shared" ref="V111" si="1314">IFERROR(V110/$C107,"-")</f>
        <v>-</v>
      </c>
      <c r="W111" s="367" t="str">
        <f t="shared" ref="W111" si="1315">IFERROR(W110/$C107,"-")</f>
        <v>-</v>
      </c>
      <c r="X111" s="367" t="str">
        <f t="shared" ref="X111" si="1316">IFERROR(X110/$C107,"-")</f>
        <v>-</v>
      </c>
      <c r="Y111" s="367" t="str">
        <f t="shared" ref="Y111" si="1317">IFERROR(Y110/$C107,"-")</f>
        <v>-</v>
      </c>
      <c r="Z111" s="367" t="str">
        <f t="shared" ref="Z111" si="1318">IFERROR(Z110/$C107,"-")</f>
        <v>-</v>
      </c>
      <c r="AA111" s="367" t="str">
        <f t="shared" ref="AA111" si="1319">IFERROR(AA110/$C107,"-")</f>
        <v>-</v>
      </c>
      <c r="AB111" s="367" t="str">
        <f t="shared" ref="AB111" si="1320">IFERROR(AB110/$C107,"-")</f>
        <v>-</v>
      </c>
      <c r="AC111" s="367" t="str">
        <f t="shared" ref="AC111" si="1321">IFERROR(AC110/$C107,"-")</f>
        <v>-</v>
      </c>
      <c r="AD111" s="367" t="str">
        <f t="shared" ref="AD111" si="1322">IFERROR(AD110/$C107,"-")</f>
        <v>-</v>
      </c>
      <c r="AE111" s="367" t="str">
        <f t="shared" ref="AE111" si="1323">IFERROR(AE110/$C107,"-")</f>
        <v>-</v>
      </c>
      <c r="AF111" s="367" t="str">
        <f t="shared" ref="AF111" si="1324">IFERROR(AF110/$C107,"-")</f>
        <v>-</v>
      </c>
      <c r="AG111" s="367" t="str">
        <f t="shared" ref="AG111" si="1325">IFERROR(AG110/$C107,"-")</f>
        <v>-</v>
      </c>
      <c r="AH111" s="367" t="str">
        <f t="shared" ref="AH111" si="1326">IFERROR(AH110/$C107,"-")</f>
        <v>-</v>
      </c>
      <c r="AI111" s="367" t="str">
        <f t="shared" ref="AI111" si="1327">IFERROR(AI110/$C107,"-")</f>
        <v>-</v>
      </c>
      <c r="AJ111" s="367" t="str">
        <f t="shared" ref="AJ111" si="1328">IFERROR(AJ110/$C107,"-")</f>
        <v>-</v>
      </c>
      <c r="AK111" s="367" t="str">
        <f t="shared" ref="AK111" si="1329">IFERROR(AK110/$C107,"-")</f>
        <v>-</v>
      </c>
      <c r="AL111" s="367" t="str">
        <f t="shared" ref="AL111" si="1330">IFERROR(AL110/$C107,"-")</f>
        <v>-</v>
      </c>
      <c r="AM111" s="367" t="str">
        <f t="shared" ref="AM111" si="1331">IFERROR(AM110/$C107,"-")</f>
        <v>-</v>
      </c>
      <c r="AN111" s="367" t="str">
        <f t="shared" ref="AN111" si="1332">IFERROR(AN110/$C107,"-")</f>
        <v>-</v>
      </c>
      <c r="AO111" s="367" t="str">
        <f t="shared" ref="AO111" si="1333">IFERROR(AO110/$C107,"-")</f>
        <v>-</v>
      </c>
      <c r="AP111" s="367" t="str">
        <f t="shared" ref="AP111" si="1334">IFERROR(AP110/$C107,"-")</f>
        <v>-</v>
      </c>
      <c r="AQ111" s="367" t="str">
        <f t="shared" ref="AQ111" si="1335">IFERROR(AQ110/$C107,"-")</f>
        <v>-</v>
      </c>
      <c r="AR111" s="367" t="str">
        <f t="shared" ref="AR111" si="1336">IFERROR(AR110/$C107,"-")</f>
        <v>-</v>
      </c>
      <c r="AS111" s="367" t="str">
        <f t="shared" ref="AS111" si="1337">IFERROR(AS110/$C107,"-")</f>
        <v>-</v>
      </c>
      <c r="AT111" s="367" t="str">
        <f t="shared" ref="AT111" si="1338">IFERROR(AT110/$C107,"-")</f>
        <v>-</v>
      </c>
      <c r="AU111" s="367" t="str">
        <f t="shared" ref="AU111" si="1339">IFERROR(AU110/$C107,"-")</f>
        <v>-</v>
      </c>
      <c r="AV111" s="367" t="str">
        <f t="shared" ref="AV111" si="1340">IFERROR(AV110/$C107,"-")</f>
        <v>-</v>
      </c>
      <c r="AW111" s="367" t="str">
        <f t="shared" ref="AW111" si="1341">IFERROR(AW110/$C107,"-")</f>
        <v>-</v>
      </c>
      <c r="AX111" s="367" t="str">
        <f t="shared" ref="AX111" si="1342">IFERROR(AX110/$C107,"-")</f>
        <v>-</v>
      </c>
      <c r="AY111" s="367" t="str">
        <f t="shared" ref="AY111" si="1343">IFERROR(AY110/$C107,"-")</f>
        <v>-</v>
      </c>
      <c r="AZ111" s="367" t="str">
        <f t="shared" ref="AZ111" si="1344">IFERROR(AZ110/$C107,"-")</f>
        <v>-</v>
      </c>
      <c r="BA111" s="367" t="str">
        <f t="shared" ref="BA111" si="1345">IFERROR(BA110/$C107,"-")</f>
        <v>-</v>
      </c>
      <c r="BB111" s="368" t="str">
        <f t="shared" ref="BB111" si="1346">IFERROR(BB110/$C107,"-")</f>
        <v>-</v>
      </c>
    </row>
    <row r="112" spans="1:54" ht="17.25" customHeight="1" thickBot="1">
      <c r="J112" s="6"/>
      <c r="K112" s="6"/>
      <c r="L112" s="6"/>
      <c r="M112" s="6"/>
      <c r="O112" s="5"/>
      <c r="P112" s="5"/>
      <c r="Q112" s="5"/>
      <c r="R112" s="5"/>
    </row>
    <row r="113" spans="1:54" ht="18" thickBot="1">
      <c r="A113"/>
      <c r="B113" s="533" t="s">
        <v>310</v>
      </c>
      <c r="C113" s="534"/>
      <c r="D113" s="32"/>
      <c r="E113" s="275"/>
      <c r="J113" s="6"/>
      <c r="K113" s="6"/>
      <c r="L113" s="6"/>
      <c r="M113" s="6"/>
    </row>
    <row r="114" spans="1:54" ht="15.75" thickBot="1">
      <c r="B114" s="360" t="s">
        <v>11</v>
      </c>
      <c r="C114" s="369">
        <v>0</v>
      </c>
      <c r="D114" s="364"/>
      <c r="E114" s="365">
        <f t="shared" ref="E114:AJ114" si="1347">E$9</f>
        <v>2024</v>
      </c>
      <c r="F114" s="279">
        <f t="shared" si="1347"/>
        <v>2025</v>
      </c>
      <c r="G114" s="279">
        <f t="shared" si="1347"/>
        <v>2026</v>
      </c>
      <c r="H114" s="279">
        <f t="shared" si="1347"/>
        <v>2027</v>
      </c>
      <c r="I114" s="279">
        <f t="shared" si="1347"/>
        <v>2028</v>
      </c>
      <c r="J114" s="279">
        <f t="shared" si="1347"/>
        <v>2029</v>
      </c>
      <c r="K114" s="279">
        <f t="shared" si="1347"/>
        <v>2030</v>
      </c>
      <c r="L114" s="279">
        <f t="shared" si="1347"/>
        <v>2031</v>
      </c>
      <c r="M114" s="279">
        <f t="shared" si="1347"/>
        <v>2032</v>
      </c>
      <c r="N114" s="279">
        <f t="shared" si="1347"/>
        <v>2033</v>
      </c>
      <c r="O114" s="279">
        <f t="shared" si="1347"/>
        <v>2034</v>
      </c>
      <c r="P114" s="279">
        <f t="shared" si="1347"/>
        <v>2035</v>
      </c>
      <c r="Q114" s="279">
        <f t="shared" si="1347"/>
        <v>2036</v>
      </c>
      <c r="R114" s="279">
        <f t="shared" si="1347"/>
        <v>2037</v>
      </c>
      <c r="S114" s="279">
        <f t="shared" si="1347"/>
        <v>2038</v>
      </c>
      <c r="T114" s="279">
        <f t="shared" si="1347"/>
        <v>2039</v>
      </c>
      <c r="U114" s="279">
        <f t="shared" si="1347"/>
        <v>2040</v>
      </c>
      <c r="V114" s="279">
        <f t="shared" si="1347"/>
        <v>2041</v>
      </c>
      <c r="W114" s="279">
        <f t="shared" si="1347"/>
        <v>2042</v>
      </c>
      <c r="X114" s="279">
        <f t="shared" si="1347"/>
        <v>2043</v>
      </c>
      <c r="Y114" s="279">
        <f t="shared" si="1347"/>
        <v>2044</v>
      </c>
      <c r="Z114" s="279">
        <f t="shared" si="1347"/>
        <v>2045</v>
      </c>
      <c r="AA114" s="279">
        <f t="shared" si="1347"/>
        <v>2046</v>
      </c>
      <c r="AB114" s="279">
        <f t="shared" si="1347"/>
        <v>2047</v>
      </c>
      <c r="AC114" s="279">
        <f t="shared" si="1347"/>
        <v>2048</v>
      </c>
      <c r="AD114" s="279">
        <f t="shared" si="1347"/>
        <v>2049</v>
      </c>
      <c r="AE114" s="279">
        <f t="shared" si="1347"/>
        <v>2050</v>
      </c>
      <c r="AF114" s="279">
        <f t="shared" si="1347"/>
        <v>2051</v>
      </c>
      <c r="AG114" s="279">
        <f t="shared" si="1347"/>
        <v>2052</v>
      </c>
      <c r="AH114" s="279">
        <f t="shared" si="1347"/>
        <v>2053</v>
      </c>
      <c r="AI114" s="279">
        <f t="shared" si="1347"/>
        <v>2054</v>
      </c>
      <c r="AJ114" s="279">
        <f t="shared" si="1347"/>
        <v>2055</v>
      </c>
      <c r="AK114" s="279">
        <f t="shared" ref="AK114:BB114" si="1348">AK$9</f>
        <v>2056</v>
      </c>
      <c r="AL114" s="279">
        <f t="shared" si="1348"/>
        <v>2057</v>
      </c>
      <c r="AM114" s="279">
        <f t="shared" si="1348"/>
        <v>2058</v>
      </c>
      <c r="AN114" s="279">
        <f t="shared" si="1348"/>
        <v>2059</v>
      </c>
      <c r="AO114" s="279">
        <f t="shared" si="1348"/>
        <v>2060</v>
      </c>
      <c r="AP114" s="279">
        <f t="shared" si="1348"/>
        <v>2061</v>
      </c>
      <c r="AQ114" s="279">
        <f t="shared" si="1348"/>
        <v>2062</v>
      </c>
      <c r="AR114" s="279">
        <f t="shared" si="1348"/>
        <v>2063</v>
      </c>
      <c r="AS114" s="279">
        <f t="shared" si="1348"/>
        <v>2064</v>
      </c>
      <c r="AT114" s="279">
        <f t="shared" si="1348"/>
        <v>2065</v>
      </c>
      <c r="AU114" s="279">
        <f t="shared" si="1348"/>
        <v>2066</v>
      </c>
      <c r="AV114" s="279">
        <f t="shared" si="1348"/>
        <v>2067</v>
      </c>
      <c r="AW114" s="279">
        <f t="shared" si="1348"/>
        <v>2068</v>
      </c>
      <c r="AX114" s="279">
        <f t="shared" si="1348"/>
        <v>2069</v>
      </c>
      <c r="AY114" s="279">
        <f t="shared" si="1348"/>
        <v>2070</v>
      </c>
      <c r="AZ114" s="279">
        <f t="shared" si="1348"/>
        <v>2071</v>
      </c>
      <c r="BA114" s="279">
        <f t="shared" si="1348"/>
        <v>2072</v>
      </c>
      <c r="BB114" s="280">
        <f t="shared" si="1348"/>
        <v>2073</v>
      </c>
    </row>
    <row r="115" spans="1:54">
      <c r="A115"/>
      <c r="B115" s="485" t="s">
        <v>261</v>
      </c>
      <c r="C115" s="535"/>
      <c r="D115" s="486"/>
      <c r="E115" s="307">
        <v>0</v>
      </c>
      <c r="F115" s="281">
        <f>E117</f>
        <v>0</v>
      </c>
      <c r="G115" s="281">
        <f t="shared" ref="G115" si="1349">F117</f>
        <v>0</v>
      </c>
      <c r="H115" s="281">
        <f t="shared" ref="H115" si="1350">G117</f>
        <v>0</v>
      </c>
      <c r="I115" s="281">
        <f t="shared" ref="I115" si="1351">H117</f>
        <v>0</v>
      </c>
      <c r="J115" s="281">
        <f t="shared" ref="J115" si="1352">I117</f>
        <v>0</v>
      </c>
      <c r="K115" s="281">
        <f t="shared" ref="K115" si="1353">J117</f>
        <v>0</v>
      </c>
      <c r="L115" s="281">
        <f t="shared" ref="L115" si="1354">K117</f>
        <v>0</v>
      </c>
      <c r="M115" s="281">
        <f t="shared" ref="M115" si="1355">L117</f>
        <v>0</v>
      </c>
      <c r="N115" s="281">
        <f t="shared" ref="N115" si="1356">M117</f>
        <v>0</v>
      </c>
      <c r="O115" s="281">
        <f t="shared" ref="O115" si="1357">N117</f>
        <v>0</v>
      </c>
      <c r="P115" s="281">
        <f t="shared" ref="P115" si="1358">O117</f>
        <v>0</v>
      </c>
      <c r="Q115" s="281">
        <f t="shared" ref="Q115" si="1359">P117</f>
        <v>0</v>
      </c>
      <c r="R115" s="281">
        <f t="shared" ref="R115" si="1360">Q117</f>
        <v>0</v>
      </c>
      <c r="S115" s="281">
        <f t="shared" ref="S115" si="1361">R117</f>
        <v>0</v>
      </c>
      <c r="T115" s="281">
        <f t="shared" ref="T115" si="1362">S117</f>
        <v>0</v>
      </c>
      <c r="U115" s="281">
        <f t="shared" ref="U115" si="1363">T117</f>
        <v>0</v>
      </c>
      <c r="V115" s="281">
        <f t="shared" ref="V115" si="1364">U117</f>
        <v>0</v>
      </c>
      <c r="W115" s="281">
        <f t="shared" ref="W115" si="1365">V117</f>
        <v>0</v>
      </c>
      <c r="X115" s="281">
        <f t="shared" ref="X115" si="1366">W117</f>
        <v>0</v>
      </c>
      <c r="Y115" s="281">
        <f t="shared" ref="Y115" si="1367">X117</f>
        <v>0</v>
      </c>
      <c r="Z115" s="281">
        <f t="shared" ref="Z115" si="1368">Y117</f>
        <v>0</v>
      </c>
      <c r="AA115" s="281">
        <f t="shared" ref="AA115" si="1369">Z117</f>
        <v>0</v>
      </c>
      <c r="AB115" s="281">
        <f t="shared" ref="AB115" si="1370">AA117</f>
        <v>0</v>
      </c>
      <c r="AC115" s="281">
        <f t="shared" ref="AC115" si="1371">AB117</f>
        <v>0</v>
      </c>
      <c r="AD115" s="281">
        <f t="shared" ref="AD115" si="1372">AC117</f>
        <v>0</v>
      </c>
      <c r="AE115" s="281">
        <f t="shared" ref="AE115" si="1373">AD117</f>
        <v>0</v>
      </c>
      <c r="AF115" s="281">
        <f t="shared" ref="AF115" si="1374">AE117</f>
        <v>0</v>
      </c>
      <c r="AG115" s="281">
        <f t="shared" ref="AG115" si="1375">AF117</f>
        <v>0</v>
      </c>
      <c r="AH115" s="281">
        <f t="shared" ref="AH115" si="1376">AG117</f>
        <v>0</v>
      </c>
      <c r="AI115" s="281">
        <f t="shared" ref="AI115" si="1377">AH117</f>
        <v>0</v>
      </c>
      <c r="AJ115" s="281">
        <f t="shared" ref="AJ115" si="1378">AI117</f>
        <v>0</v>
      </c>
      <c r="AK115" s="281">
        <f t="shared" ref="AK115" si="1379">AJ117</f>
        <v>0</v>
      </c>
      <c r="AL115" s="281">
        <f t="shared" ref="AL115" si="1380">AK117</f>
        <v>0</v>
      </c>
      <c r="AM115" s="281">
        <f t="shared" ref="AM115" si="1381">AL117</f>
        <v>0</v>
      </c>
      <c r="AN115" s="281">
        <f t="shared" ref="AN115" si="1382">AM117</f>
        <v>0</v>
      </c>
      <c r="AO115" s="281">
        <f t="shared" ref="AO115" si="1383">AN117</f>
        <v>0</v>
      </c>
      <c r="AP115" s="281">
        <f t="shared" ref="AP115" si="1384">AO117</f>
        <v>0</v>
      </c>
      <c r="AQ115" s="281">
        <f t="shared" ref="AQ115" si="1385">AP117</f>
        <v>0</v>
      </c>
      <c r="AR115" s="281">
        <f t="shared" ref="AR115" si="1386">AQ117</f>
        <v>0</v>
      </c>
      <c r="AS115" s="281">
        <f t="shared" ref="AS115" si="1387">AR117</f>
        <v>0</v>
      </c>
      <c r="AT115" s="281">
        <f t="shared" ref="AT115" si="1388">AS117</f>
        <v>0</v>
      </c>
      <c r="AU115" s="281">
        <f t="shared" ref="AU115" si="1389">AT117</f>
        <v>0</v>
      </c>
      <c r="AV115" s="281">
        <f t="shared" ref="AV115" si="1390">AU117</f>
        <v>0</v>
      </c>
      <c r="AW115" s="281">
        <f t="shared" ref="AW115" si="1391">AV117</f>
        <v>0</v>
      </c>
      <c r="AX115" s="281">
        <f t="shared" ref="AX115" si="1392">AW117</f>
        <v>0</v>
      </c>
      <c r="AY115" s="281">
        <f t="shared" ref="AY115" si="1393">AX117</f>
        <v>0</v>
      </c>
      <c r="AZ115" s="281">
        <f t="shared" ref="AZ115" si="1394">AY117</f>
        <v>0</v>
      </c>
      <c r="BA115" s="281">
        <f t="shared" ref="BA115" si="1395">AZ117</f>
        <v>0</v>
      </c>
      <c r="BB115" s="282">
        <f t="shared" ref="BB115" si="1396">BA117</f>
        <v>0</v>
      </c>
    </row>
    <row r="116" spans="1:54">
      <c r="A116"/>
      <c r="B116" s="479" t="s">
        <v>99</v>
      </c>
      <c r="C116" s="536"/>
      <c r="D116" s="480"/>
      <c r="E116" s="289">
        <f>Cockpit!$H$31</f>
        <v>0.03</v>
      </c>
      <c r="F116" s="289">
        <f>Cockpit!$H$31</f>
        <v>0.03</v>
      </c>
      <c r="G116" s="289">
        <f>Cockpit!$H$31</f>
        <v>0.03</v>
      </c>
      <c r="H116" s="289">
        <f>Cockpit!$H$31</f>
        <v>0.03</v>
      </c>
      <c r="I116" s="289">
        <f>Cockpit!$H$31</f>
        <v>0.03</v>
      </c>
      <c r="J116" s="289">
        <f>Cockpit!$H$31</f>
        <v>0.03</v>
      </c>
      <c r="K116" s="289">
        <f>Cockpit!$H$31</f>
        <v>0.03</v>
      </c>
      <c r="L116" s="289">
        <f>Cockpit!$H$31</f>
        <v>0.03</v>
      </c>
      <c r="M116" s="289">
        <f>Cockpit!$H$31</f>
        <v>0.03</v>
      </c>
      <c r="N116" s="289">
        <f>Cockpit!$H$31</f>
        <v>0.03</v>
      </c>
      <c r="O116" s="289">
        <f>Cockpit!$H$31</f>
        <v>0.03</v>
      </c>
      <c r="P116" s="289">
        <f>Cockpit!$H$31</f>
        <v>0.03</v>
      </c>
      <c r="Q116" s="289">
        <f>Cockpit!$H$31</f>
        <v>0.03</v>
      </c>
      <c r="R116" s="289">
        <f>Cockpit!$H$31</f>
        <v>0.03</v>
      </c>
      <c r="S116" s="289">
        <f>Cockpit!$H$31</f>
        <v>0.03</v>
      </c>
      <c r="T116" s="289">
        <f>Cockpit!$H$31</f>
        <v>0.03</v>
      </c>
      <c r="U116" s="289">
        <f>Cockpit!$H$31</f>
        <v>0.03</v>
      </c>
      <c r="V116" s="289">
        <f>Cockpit!$H$31</f>
        <v>0.03</v>
      </c>
      <c r="W116" s="289">
        <f>Cockpit!$H$31</f>
        <v>0.03</v>
      </c>
      <c r="X116" s="289">
        <f>Cockpit!$H$31</f>
        <v>0.03</v>
      </c>
      <c r="Y116" s="289">
        <f>Cockpit!$H$31</f>
        <v>0.03</v>
      </c>
      <c r="Z116" s="289">
        <f>Cockpit!$H$31</f>
        <v>0.03</v>
      </c>
      <c r="AA116" s="289">
        <f>Cockpit!$H$31</f>
        <v>0.03</v>
      </c>
      <c r="AB116" s="289">
        <f>Cockpit!$H$31</f>
        <v>0.03</v>
      </c>
      <c r="AC116" s="289">
        <f>Cockpit!$H$31</f>
        <v>0.03</v>
      </c>
      <c r="AD116" s="289">
        <f>Cockpit!$H$31</f>
        <v>0.03</v>
      </c>
      <c r="AE116" s="289">
        <f>Cockpit!$H$31</f>
        <v>0.03</v>
      </c>
      <c r="AF116" s="289">
        <f>Cockpit!$H$31</f>
        <v>0.03</v>
      </c>
      <c r="AG116" s="289">
        <f>Cockpit!$H$31</f>
        <v>0.03</v>
      </c>
      <c r="AH116" s="289">
        <f>Cockpit!$H$31</f>
        <v>0.03</v>
      </c>
      <c r="AI116" s="289">
        <f>Cockpit!$H$31</f>
        <v>0.03</v>
      </c>
      <c r="AJ116" s="289">
        <f>Cockpit!$H$31</f>
        <v>0.03</v>
      </c>
      <c r="AK116" s="289">
        <f>Cockpit!$H$31</f>
        <v>0.03</v>
      </c>
      <c r="AL116" s="289">
        <f>Cockpit!$H$31</f>
        <v>0.03</v>
      </c>
      <c r="AM116" s="289">
        <f>Cockpit!$H$31</f>
        <v>0.03</v>
      </c>
      <c r="AN116" s="289">
        <f>Cockpit!$H$31</f>
        <v>0.03</v>
      </c>
      <c r="AO116" s="289">
        <f>Cockpit!$H$31</f>
        <v>0.03</v>
      </c>
      <c r="AP116" s="289">
        <f>Cockpit!$H$31</f>
        <v>0.03</v>
      </c>
      <c r="AQ116" s="289">
        <f>Cockpit!$H$31</f>
        <v>0.03</v>
      </c>
      <c r="AR116" s="289">
        <f>Cockpit!$H$31</f>
        <v>0.03</v>
      </c>
      <c r="AS116" s="289">
        <f>Cockpit!$H$31</f>
        <v>0.03</v>
      </c>
      <c r="AT116" s="289">
        <f>Cockpit!$H$31</f>
        <v>0.03</v>
      </c>
      <c r="AU116" s="289">
        <f>Cockpit!$H$31</f>
        <v>0.03</v>
      </c>
      <c r="AV116" s="289">
        <f>Cockpit!$H$31</f>
        <v>0.03</v>
      </c>
      <c r="AW116" s="289">
        <f>Cockpit!$H$31</f>
        <v>0.03</v>
      </c>
      <c r="AX116" s="289">
        <f>Cockpit!$H$31</f>
        <v>0.03</v>
      </c>
      <c r="AY116" s="289">
        <f>Cockpit!$H$31</f>
        <v>0.03</v>
      </c>
      <c r="AZ116" s="289">
        <f>Cockpit!$H$31</f>
        <v>0.03</v>
      </c>
      <c r="BA116" s="289">
        <f>Cockpit!$H$31</f>
        <v>0.03</v>
      </c>
      <c r="BB116" s="290">
        <f>Cockpit!$H$31</f>
        <v>0.03</v>
      </c>
    </row>
    <row r="117" spans="1:54">
      <c r="B117" s="479" t="s">
        <v>67</v>
      </c>
      <c r="C117" s="536"/>
      <c r="D117" s="480"/>
      <c r="E117" s="10">
        <f t="shared" ref="E117:BB117" si="1397">E115*(1+E116)</f>
        <v>0</v>
      </c>
      <c r="F117" s="10">
        <f t="shared" si="1397"/>
        <v>0</v>
      </c>
      <c r="G117" s="10">
        <f t="shared" si="1397"/>
        <v>0</v>
      </c>
      <c r="H117" s="10">
        <f t="shared" si="1397"/>
        <v>0</v>
      </c>
      <c r="I117" s="10">
        <f t="shared" si="1397"/>
        <v>0</v>
      </c>
      <c r="J117" s="10">
        <f t="shared" si="1397"/>
        <v>0</v>
      </c>
      <c r="K117" s="10">
        <f t="shared" si="1397"/>
        <v>0</v>
      </c>
      <c r="L117" s="10">
        <f t="shared" si="1397"/>
        <v>0</v>
      </c>
      <c r="M117" s="10">
        <f t="shared" si="1397"/>
        <v>0</v>
      </c>
      <c r="N117" s="10">
        <f t="shared" si="1397"/>
        <v>0</v>
      </c>
      <c r="O117" s="10">
        <f t="shared" si="1397"/>
        <v>0</v>
      </c>
      <c r="P117" s="10">
        <f t="shared" si="1397"/>
        <v>0</v>
      </c>
      <c r="Q117" s="10">
        <f t="shared" si="1397"/>
        <v>0</v>
      </c>
      <c r="R117" s="10">
        <f t="shared" si="1397"/>
        <v>0</v>
      </c>
      <c r="S117" s="10">
        <f t="shared" si="1397"/>
        <v>0</v>
      </c>
      <c r="T117" s="10">
        <f t="shared" si="1397"/>
        <v>0</v>
      </c>
      <c r="U117" s="10">
        <f t="shared" si="1397"/>
        <v>0</v>
      </c>
      <c r="V117" s="10">
        <f t="shared" si="1397"/>
        <v>0</v>
      </c>
      <c r="W117" s="10">
        <f t="shared" si="1397"/>
        <v>0</v>
      </c>
      <c r="X117" s="10">
        <f t="shared" si="1397"/>
        <v>0</v>
      </c>
      <c r="Y117" s="10">
        <f t="shared" si="1397"/>
        <v>0</v>
      </c>
      <c r="Z117" s="10">
        <f t="shared" si="1397"/>
        <v>0</v>
      </c>
      <c r="AA117" s="10">
        <f t="shared" si="1397"/>
        <v>0</v>
      </c>
      <c r="AB117" s="10">
        <f t="shared" si="1397"/>
        <v>0</v>
      </c>
      <c r="AC117" s="10">
        <f t="shared" si="1397"/>
        <v>0</v>
      </c>
      <c r="AD117" s="10">
        <f t="shared" si="1397"/>
        <v>0</v>
      </c>
      <c r="AE117" s="10">
        <f t="shared" si="1397"/>
        <v>0</v>
      </c>
      <c r="AF117" s="10">
        <f t="shared" si="1397"/>
        <v>0</v>
      </c>
      <c r="AG117" s="10">
        <f t="shared" si="1397"/>
        <v>0</v>
      </c>
      <c r="AH117" s="10">
        <f t="shared" si="1397"/>
        <v>0</v>
      </c>
      <c r="AI117" s="10">
        <f t="shared" si="1397"/>
        <v>0</v>
      </c>
      <c r="AJ117" s="10">
        <f t="shared" si="1397"/>
        <v>0</v>
      </c>
      <c r="AK117" s="10">
        <f t="shared" si="1397"/>
        <v>0</v>
      </c>
      <c r="AL117" s="10">
        <f t="shared" si="1397"/>
        <v>0</v>
      </c>
      <c r="AM117" s="10">
        <f t="shared" si="1397"/>
        <v>0</v>
      </c>
      <c r="AN117" s="10">
        <f t="shared" si="1397"/>
        <v>0</v>
      </c>
      <c r="AO117" s="10">
        <f t="shared" si="1397"/>
        <v>0</v>
      </c>
      <c r="AP117" s="10">
        <f t="shared" si="1397"/>
        <v>0</v>
      </c>
      <c r="AQ117" s="10">
        <f t="shared" si="1397"/>
        <v>0</v>
      </c>
      <c r="AR117" s="10">
        <f t="shared" si="1397"/>
        <v>0</v>
      </c>
      <c r="AS117" s="10">
        <f t="shared" si="1397"/>
        <v>0</v>
      </c>
      <c r="AT117" s="10">
        <f t="shared" si="1397"/>
        <v>0</v>
      </c>
      <c r="AU117" s="10">
        <f t="shared" si="1397"/>
        <v>0</v>
      </c>
      <c r="AV117" s="10">
        <f t="shared" si="1397"/>
        <v>0</v>
      </c>
      <c r="AW117" s="10">
        <f t="shared" si="1397"/>
        <v>0</v>
      </c>
      <c r="AX117" s="10">
        <f t="shared" si="1397"/>
        <v>0</v>
      </c>
      <c r="AY117" s="10">
        <f t="shared" si="1397"/>
        <v>0</v>
      </c>
      <c r="AZ117" s="10">
        <f t="shared" si="1397"/>
        <v>0</v>
      </c>
      <c r="BA117" s="10">
        <f t="shared" si="1397"/>
        <v>0</v>
      </c>
      <c r="BB117" s="283">
        <f t="shared" si="1397"/>
        <v>0</v>
      </c>
    </row>
    <row r="118" spans="1:54" ht="15.75" thickBot="1">
      <c r="B118" s="492" t="s">
        <v>301</v>
      </c>
      <c r="C118" s="537"/>
      <c r="D118" s="493"/>
      <c r="E118" s="367" t="str">
        <f>IFERROR(E117/$C114,"-")</f>
        <v>-</v>
      </c>
      <c r="F118" s="367" t="str">
        <f>IFERROR(F117/$C114,"-")</f>
        <v>-</v>
      </c>
      <c r="G118" s="367" t="str">
        <f t="shared" ref="G118" si="1398">IFERROR(G117/$C114,"-")</f>
        <v>-</v>
      </c>
      <c r="H118" s="367" t="str">
        <f t="shared" ref="H118" si="1399">IFERROR(H117/$C114,"-")</f>
        <v>-</v>
      </c>
      <c r="I118" s="367" t="str">
        <f t="shared" ref="I118" si="1400">IFERROR(I117/$C114,"-")</f>
        <v>-</v>
      </c>
      <c r="J118" s="367" t="str">
        <f t="shared" ref="J118" si="1401">IFERROR(J117/$C114,"-")</f>
        <v>-</v>
      </c>
      <c r="K118" s="367" t="str">
        <f t="shared" ref="K118" si="1402">IFERROR(K117/$C114,"-")</f>
        <v>-</v>
      </c>
      <c r="L118" s="367" t="str">
        <f t="shared" ref="L118" si="1403">IFERROR(L117/$C114,"-")</f>
        <v>-</v>
      </c>
      <c r="M118" s="367" t="str">
        <f t="shared" ref="M118" si="1404">IFERROR(M117/$C114,"-")</f>
        <v>-</v>
      </c>
      <c r="N118" s="367" t="str">
        <f t="shared" ref="N118" si="1405">IFERROR(N117/$C114,"-")</f>
        <v>-</v>
      </c>
      <c r="O118" s="367" t="str">
        <f t="shared" ref="O118" si="1406">IFERROR(O117/$C114,"-")</f>
        <v>-</v>
      </c>
      <c r="P118" s="367" t="str">
        <f t="shared" ref="P118" si="1407">IFERROR(P117/$C114,"-")</f>
        <v>-</v>
      </c>
      <c r="Q118" s="367" t="str">
        <f t="shared" ref="Q118" si="1408">IFERROR(Q117/$C114,"-")</f>
        <v>-</v>
      </c>
      <c r="R118" s="367" t="str">
        <f t="shared" ref="R118" si="1409">IFERROR(R117/$C114,"-")</f>
        <v>-</v>
      </c>
      <c r="S118" s="367" t="str">
        <f t="shared" ref="S118" si="1410">IFERROR(S117/$C114,"-")</f>
        <v>-</v>
      </c>
      <c r="T118" s="367" t="str">
        <f t="shared" ref="T118" si="1411">IFERROR(T117/$C114,"-")</f>
        <v>-</v>
      </c>
      <c r="U118" s="367" t="str">
        <f t="shared" ref="U118" si="1412">IFERROR(U117/$C114,"-")</f>
        <v>-</v>
      </c>
      <c r="V118" s="367" t="str">
        <f t="shared" ref="V118" si="1413">IFERROR(V117/$C114,"-")</f>
        <v>-</v>
      </c>
      <c r="W118" s="367" t="str">
        <f t="shared" ref="W118" si="1414">IFERROR(W117/$C114,"-")</f>
        <v>-</v>
      </c>
      <c r="X118" s="367" t="str">
        <f t="shared" ref="X118" si="1415">IFERROR(X117/$C114,"-")</f>
        <v>-</v>
      </c>
      <c r="Y118" s="367" t="str">
        <f t="shared" ref="Y118" si="1416">IFERROR(Y117/$C114,"-")</f>
        <v>-</v>
      </c>
      <c r="Z118" s="367" t="str">
        <f t="shared" ref="Z118" si="1417">IFERROR(Z117/$C114,"-")</f>
        <v>-</v>
      </c>
      <c r="AA118" s="367" t="str">
        <f t="shared" ref="AA118" si="1418">IFERROR(AA117/$C114,"-")</f>
        <v>-</v>
      </c>
      <c r="AB118" s="367" t="str">
        <f t="shared" ref="AB118" si="1419">IFERROR(AB117/$C114,"-")</f>
        <v>-</v>
      </c>
      <c r="AC118" s="367" t="str">
        <f t="shared" ref="AC118" si="1420">IFERROR(AC117/$C114,"-")</f>
        <v>-</v>
      </c>
      <c r="AD118" s="367" t="str">
        <f t="shared" ref="AD118" si="1421">IFERROR(AD117/$C114,"-")</f>
        <v>-</v>
      </c>
      <c r="AE118" s="367" t="str">
        <f t="shared" ref="AE118" si="1422">IFERROR(AE117/$C114,"-")</f>
        <v>-</v>
      </c>
      <c r="AF118" s="367" t="str">
        <f t="shared" ref="AF118" si="1423">IFERROR(AF117/$C114,"-")</f>
        <v>-</v>
      </c>
      <c r="AG118" s="367" t="str">
        <f t="shared" ref="AG118" si="1424">IFERROR(AG117/$C114,"-")</f>
        <v>-</v>
      </c>
      <c r="AH118" s="367" t="str">
        <f t="shared" ref="AH118" si="1425">IFERROR(AH117/$C114,"-")</f>
        <v>-</v>
      </c>
      <c r="AI118" s="367" t="str">
        <f t="shared" ref="AI118" si="1426">IFERROR(AI117/$C114,"-")</f>
        <v>-</v>
      </c>
      <c r="AJ118" s="367" t="str">
        <f t="shared" ref="AJ118" si="1427">IFERROR(AJ117/$C114,"-")</f>
        <v>-</v>
      </c>
      <c r="AK118" s="367" t="str">
        <f t="shared" ref="AK118" si="1428">IFERROR(AK117/$C114,"-")</f>
        <v>-</v>
      </c>
      <c r="AL118" s="367" t="str">
        <f t="shared" ref="AL118" si="1429">IFERROR(AL117/$C114,"-")</f>
        <v>-</v>
      </c>
      <c r="AM118" s="367" t="str">
        <f t="shared" ref="AM118" si="1430">IFERROR(AM117/$C114,"-")</f>
        <v>-</v>
      </c>
      <c r="AN118" s="367" t="str">
        <f t="shared" ref="AN118" si="1431">IFERROR(AN117/$C114,"-")</f>
        <v>-</v>
      </c>
      <c r="AO118" s="367" t="str">
        <f t="shared" ref="AO118" si="1432">IFERROR(AO117/$C114,"-")</f>
        <v>-</v>
      </c>
      <c r="AP118" s="367" t="str">
        <f t="shared" ref="AP118" si="1433">IFERROR(AP117/$C114,"-")</f>
        <v>-</v>
      </c>
      <c r="AQ118" s="367" t="str">
        <f t="shared" ref="AQ118" si="1434">IFERROR(AQ117/$C114,"-")</f>
        <v>-</v>
      </c>
      <c r="AR118" s="367" t="str">
        <f t="shared" ref="AR118" si="1435">IFERROR(AR117/$C114,"-")</f>
        <v>-</v>
      </c>
      <c r="AS118" s="367" t="str">
        <f t="shared" ref="AS118" si="1436">IFERROR(AS117/$C114,"-")</f>
        <v>-</v>
      </c>
      <c r="AT118" s="367" t="str">
        <f t="shared" ref="AT118" si="1437">IFERROR(AT117/$C114,"-")</f>
        <v>-</v>
      </c>
      <c r="AU118" s="367" t="str">
        <f t="shared" ref="AU118" si="1438">IFERROR(AU117/$C114,"-")</f>
        <v>-</v>
      </c>
      <c r="AV118" s="367" t="str">
        <f t="shared" ref="AV118" si="1439">IFERROR(AV117/$C114,"-")</f>
        <v>-</v>
      </c>
      <c r="AW118" s="367" t="str">
        <f t="shared" ref="AW118" si="1440">IFERROR(AW117/$C114,"-")</f>
        <v>-</v>
      </c>
      <c r="AX118" s="367" t="str">
        <f t="shared" ref="AX118" si="1441">IFERROR(AX117/$C114,"-")</f>
        <v>-</v>
      </c>
      <c r="AY118" s="367" t="str">
        <f t="shared" ref="AY118" si="1442">IFERROR(AY117/$C114,"-")</f>
        <v>-</v>
      </c>
      <c r="AZ118" s="367" t="str">
        <f t="shared" ref="AZ118" si="1443">IFERROR(AZ117/$C114,"-")</f>
        <v>-</v>
      </c>
      <c r="BA118" s="367" t="str">
        <f t="shared" ref="BA118" si="1444">IFERROR(BA117/$C114,"-")</f>
        <v>-</v>
      </c>
      <c r="BB118" s="368" t="str">
        <f t="shared" ref="BB118" si="1445">IFERROR(BB117/$C114,"-")</f>
        <v>-</v>
      </c>
    </row>
    <row r="119" spans="1:54" ht="17.25" customHeight="1" thickBot="1">
      <c r="J119" s="6"/>
      <c r="K119" s="6"/>
      <c r="L119" s="6"/>
      <c r="M119" s="6"/>
      <c r="O119" s="5"/>
      <c r="P119" s="5"/>
      <c r="Q119" s="5"/>
      <c r="R119" s="5"/>
    </row>
    <row r="120" spans="1:54" ht="18" thickBot="1">
      <c r="A120"/>
      <c r="B120" s="533" t="s">
        <v>311</v>
      </c>
      <c r="C120" s="534"/>
      <c r="D120" s="32"/>
      <c r="E120" s="275"/>
      <c r="J120" s="6"/>
      <c r="K120" s="6"/>
      <c r="L120" s="6"/>
      <c r="M120" s="6"/>
    </row>
    <row r="121" spans="1:54" ht="15.75" thickBot="1">
      <c r="B121" s="360" t="s">
        <v>11</v>
      </c>
      <c r="C121" s="369">
        <v>0</v>
      </c>
      <c r="D121" s="364"/>
      <c r="E121" s="365">
        <f t="shared" ref="E121:AJ121" si="1446">E$9</f>
        <v>2024</v>
      </c>
      <c r="F121" s="279">
        <f t="shared" si="1446"/>
        <v>2025</v>
      </c>
      <c r="G121" s="279">
        <f t="shared" si="1446"/>
        <v>2026</v>
      </c>
      <c r="H121" s="279">
        <f t="shared" si="1446"/>
        <v>2027</v>
      </c>
      <c r="I121" s="279">
        <f t="shared" si="1446"/>
        <v>2028</v>
      </c>
      <c r="J121" s="279">
        <f t="shared" si="1446"/>
        <v>2029</v>
      </c>
      <c r="K121" s="279">
        <f t="shared" si="1446"/>
        <v>2030</v>
      </c>
      <c r="L121" s="279">
        <f t="shared" si="1446"/>
        <v>2031</v>
      </c>
      <c r="M121" s="279">
        <f t="shared" si="1446"/>
        <v>2032</v>
      </c>
      <c r="N121" s="279">
        <f t="shared" si="1446"/>
        <v>2033</v>
      </c>
      <c r="O121" s="279">
        <f t="shared" si="1446"/>
        <v>2034</v>
      </c>
      <c r="P121" s="279">
        <f t="shared" si="1446"/>
        <v>2035</v>
      </c>
      <c r="Q121" s="279">
        <f t="shared" si="1446"/>
        <v>2036</v>
      </c>
      <c r="R121" s="279">
        <f t="shared" si="1446"/>
        <v>2037</v>
      </c>
      <c r="S121" s="279">
        <f t="shared" si="1446"/>
        <v>2038</v>
      </c>
      <c r="T121" s="279">
        <f t="shared" si="1446"/>
        <v>2039</v>
      </c>
      <c r="U121" s="279">
        <f t="shared" si="1446"/>
        <v>2040</v>
      </c>
      <c r="V121" s="279">
        <f t="shared" si="1446"/>
        <v>2041</v>
      </c>
      <c r="W121" s="279">
        <f t="shared" si="1446"/>
        <v>2042</v>
      </c>
      <c r="X121" s="279">
        <f t="shared" si="1446"/>
        <v>2043</v>
      </c>
      <c r="Y121" s="279">
        <f t="shared" si="1446"/>
        <v>2044</v>
      </c>
      <c r="Z121" s="279">
        <f t="shared" si="1446"/>
        <v>2045</v>
      </c>
      <c r="AA121" s="279">
        <f t="shared" si="1446"/>
        <v>2046</v>
      </c>
      <c r="AB121" s="279">
        <f t="shared" si="1446"/>
        <v>2047</v>
      </c>
      <c r="AC121" s="279">
        <f t="shared" si="1446"/>
        <v>2048</v>
      </c>
      <c r="AD121" s="279">
        <f t="shared" si="1446"/>
        <v>2049</v>
      </c>
      <c r="AE121" s="279">
        <f t="shared" si="1446"/>
        <v>2050</v>
      </c>
      <c r="AF121" s="279">
        <f t="shared" si="1446"/>
        <v>2051</v>
      </c>
      <c r="AG121" s="279">
        <f t="shared" si="1446"/>
        <v>2052</v>
      </c>
      <c r="AH121" s="279">
        <f t="shared" si="1446"/>
        <v>2053</v>
      </c>
      <c r="AI121" s="279">
        <f t="shared" si="1446"/>
        <v>2054</v>
      </c>
      <c r="AJ121" s="279">
        <f t="shared" si="1446"/>
        <v>2055</v>
      </c>
      <c r="AK121" s="279">
        <f t="shared" ref="AK121:BB121" si="1447">AK$9</f>
        <v>2056</v>
      </c>
      <c r="AL121" s="279">
        <f t="shared" si="1447"/>
        <v>2057</v>
      </c>
      <c r="AM121" s="279">
        <f t="shared" si="1447"/>
        <v>2058</v>
      </c>
      <c r="AN121" s="279">
        <f t="shared" si="1447"/>
        <v>2059</v>
      </c>
      <c r="AO121" s="279">
        <f t="shared" si="1447"/>
        <v>2060</v>
      </c>
      <c r="AP121" s="279">
        <f t="shared" si="1447"/>
        <v>2061</v>
      </c>
      <c r="AQ121" s="279">
        <f t="shared" si="1447"/>
        <v>2062</v>
      </c>
      <c r="AR121" s="279">
        <f t="shared" si="1447"/>
        <v>2063</v>
      </c>
      <c r="AS121" s="279">
        <f t="shared" si="1447"/>
        <v>2064</v>
      </c>
      <c r="AT121" s="279">
        <f t="shared" si="1447"/>
        <v>2065</v>
      </c>
      <c r="AU121" s="279">
        <f t="shared" si="1447"/>
        <v>2066</v>
      </c>
      <c r="AV121" s="279">
        <f t="shared" si="1447"/>
        <v>2067</v>
      </c>
      <c r="AW121" s="279">
        <f t="shared" si="1447"/>
        <v>2068</v>
      </c>
      <c r="AX121" s="279">
        <f t="shared" si="1447"/>
        <v>2069</v>
      </c>
      <c r="AY121" s="279">
        <f t="shared" si="1447"/>
        <v>2070</v>
      </c>
      <c r="AZ121" s="279">
        <f t="shared" si="1447"/>
        <v>2071</v>
      </c>
      <c r="BA121" s="279">
        <f t="shared" si="1447"/>
        <v>2072</v>
      </c>
      <c r="BB121" s="280">
        <f t="shared" si="1447"/>
        <v>2073</v>
      </c>
    </row>
    <row r="122" spans="1:54">
      <c r="A122"/>
      <c r="B122" s="485" t="s">
        <v>261</v>
      </c>
      <c r="C122" s="535"/>
      <c r="D122" s="486"/>
      <c r="E122" s="307">
        <v>0</v>
      </c>
      <c r="F122" s="281">
        <f>E124</f>
        <v>0</v>
      </c>
      <c r="G122" s="281">
        <f t="shared" ref="G122" si="1448">F124</f>
        <v>0</v>
      </c>
      <c r="H122" s="281">
        <f t="shared" ref="H122" si="1449">G124</f>
        <v>0</v>
      </c>
      <c r="I122" s="281">
        <f t="shared" ref="I122" si="1450">H124</f>
        <v>0</v>
      </c>
      <c r="J122" s="281">
        <f t="shared" ref="J122" si="1451">I124</f>
        <v>0</v>
      </c>
      <c r="K122" s="281">
        <f t="shared" ref="K122" si="1452">J124</f>
        <v>0</v>
      </c>
      <c r="L122" s="281">
        <f t="shared" ref="L122" si="1453">K124</f>
        <v>0</v>
      </c>
      <c r="M122" s="281">
        <f t="shared" ref="M122" si="1454">L124</f>
        <v>0</v>
      </c>
      <c r="N122" s="281">
        <f t="shared" ref="N122" si="1455">M124</f>
        <v>0</v>
      </c>
      <c r="O122" s="281">
        <f t="shared" ref="O122" si="1456">N124</f>
        <v>0</v>
      </c>
      <c r="P122" s="281">
        <f t="shared" ref="P122" si="1457">O124</f>
        <v>0</v>
      </c>
      <c r="Q122" s="281">
        <f t="shared" ref="Q122" si="1458">P124</f>
        <v>0</v>
      </c>
      <c r="R122" s="281">
        <f t="shared" ref="R122" si="1459">Q124</f>
        <v>0</v>
      </c>
      <c r="S122" s="281">
        <f t="shared" ref="S122" si="1460">R124</f>
        <v>0</v>
      </c>
      <c r="T122" s="281">
        <f t="shared" ref="T122" si="1461">S124</f>
        <v>0</v>
      </c>
      <c r="U122" s="281">
        <f t="shared" ref="U122" si="1462">T124</f>
        <v>0</v>
      </c>
      <c r="V122" s="281">
        <f t="shared" ref="V122" si="1463">U124</f>
        <v>0</v>
      </c>
      <c r="W122" s="281">
        <f t="shared" ref="W122" si="1464">V124</f>
        <v>0</v>
      </c>
      <c r="X122" s="281">
        <f t="shared" ref="X122" si="1465">W124</f>
        <v>0</v>
      </c>
      <c r="Y122" s="281">
        <f t="shared" ref="Y122" si="1466">X124</f>
        <v>0</v>
      </c>
      <c r="Z122" s="281">
        <f t="shared" ref="Z122" si="1467">Y124</f>
        <v>0</v>
      </c>
      <c r="AA122" s="281">
        <f t="shared" ref="AA122" si="1468">Z124</f>
        <v>0</v>
      </c>
      <c r="AB122" s="281">
        <f t="shared" ref="AB122" si="1469">AA124</f>
        <v>0</v>
      </c>
      <c r="AC122" s="281">
        <f t="shared" ref="AC122" si="1470">AB124</f>
        <v>0</v>
      </c>
      <c r="AD122" s="281">
        <f t="shared" ref="AD122" si="1471">AC124</f>
        <v>0</v>
      </c>
      <c r="AE122" s="281">
        <f t="shared" ref="AE122" si="1472">AD124</f>
        <v>0</v>
      </c>
      <c r="AF122" s="281">
        <f t="shared" ref="AF122" si="1473">AE124</f>
        <v>0</v>
      </c>
      <c r="AG122" s="281">
        <f t="shared" ref="AG122" si="1474">AF124</f>
        <v>0</v>
      </c>
      <c r="AH122" s="281">
        <f t="shared" ref="AH122" si="1475">AG124</f>
        <v>0</v>
      </c>
      <c r="AI122" s="281">
        <f t="shared" ref="AI122" si="1476">AH124</f>
        <v>0</v>
      </c>
      <c r="AJ122" s="281">
        <f t="shared" ref="AJ122" si="1477">AI124</f>
        <v>0</v>
      </c>
      <c r="AK122" s="281">
        <f t="shared" ref="AK122" si="1478">AJ124</f>
        <v>0</v>
      </c>
      <c r="AL122" s="281">
        <f t="shared" ref="AL122" si="1479">AK124</f>
        <v>0</v>
      </c>
      <c r="AM122" s="281">
        <f t="shared" ref="AM122" si="1480">AL124</f>
        <v>0</v>
      </c>
      <c r="AN122" s="281">
        <f t="shared" ref="AN122" si="1481">AM124</f>
        <v>0</v>
      </c>
      <c r="AO122" s="281">
        <f t="shared" ref="AO122" si="1482">AN124</f>
        <v>0</v>
      </c>
      <c r="AP122" s="281">
        <f t="shared" ref="AP122" si="1483">AO124</f>
        <v>0</v>
      </c>
      <c r="AQ122" s="281">
        <f t="shared" ref="AQ122" si="1484">AP124</f>
        <v>0</v>
      </c>
      <c r="AR122" s="281">
        <f t="shared" ref="AR122" si="1485">AQ124</f>
        <v>0</v>
      </c>
      <c r="AS122" s="281">
        <f t="shared" ref="AS122" si="1486">AR124</f>
        <v>0</v>
      </c>
      <c r="AT122" s="281">
        <f t="shared" ref="AT122" si="1487">AS124</f>
        <v>0</v>
      </c>
      <c r="AU122" s="281">
        <f t="shared" ref="AU122" si="1488">AT124</f>
        <v>0</v>
      </c>
      <c r="AV122" s="281">
        <f t="shared" ref="AV122" si="1489">AU124</f>
        <v>0</v>
      </c>
      <c r="AW122" s="281">
        <f t="shared" ref="AW122" si="1490">AV124</f>
        <v>0</v>
      </c>
      <c r="AX122" s="281">
        <f t="shared" ref="AX122" si="1491">AW124</f>
        <v>0</v>
      </c>
      <c r="AY122" s="281">
        <f t="shared" ref="AY122" si="1492">AX124</f>
        <v>0</v>
      </c>
      <c r="AZ122" s="281">
        <f t="shared" ref="AZ122" si="1493">AY124</f>
        <v>0</v>
      </c>
      <c r="BA122" s="281">
        <f t="shared" ref="BA122" si="1494">AZ124</f>
        <v>0</v>
      </c>
      <c r="BB122" s="282">
        <f t="shared" ref="BB122" si="1495">BA124</f>
        <v>0</v>
      </c>
    </row>
    <row r="123" spans="1:54">
      <c r="A123"/>
      <c r="B123" s="479" t="s">
        <v>99</v>
      </c>
      <c r="C123" s="536"/>
      <c r="D123" s="480"/>
      <c r="E123" s="289">
        <f>Cockpit!$H$31</f>
        <v>0.03</v>
      </c>
      <c r="F123" s="289">
        <f>Cockpit!$H$31</f>
        <v>0.03</v>
      </c>
      <c r="G123" s="289">
        <f>Cockpit!$H$31</f>
        <v>0.03</v>
      </c>
      <c r="H123" s="289">
        <f>Cockpit!$H$31</f>
        <v>0.03</v>
      </c>
      <c r="I123" s="289">
        <f>Cockpit!$H$31</f>
        <v>0.03</v>
      </c>
      <c r="J123" s="289">
        <f>Cockpit!$H$31</f>
        <v>0.03</v>
      </c>
      <c r="K123" s="289">
        <f>Cockpit!$H$31</f>
        <v>0.03</v>
      </c>
      <c r="L123" s="289">
        <f>Cockpit!$H$31</f>
        <v>0.03</v>
      </c>
      <c r="M123" s="289">
        <f>Cockpit!$H$31</f>
        <v>0.03</v>
      </c>
      <c r="N123" s="289">
        <f>Cockpit!$H$31</f>
        <v>0.03</v>
      </c>
      <c r="O123" s="289">
        <f>Cockpit!$H$31</f>
        <v>0.03</v>
      </c>
      <c r="P123" s="289">
        <f>Cockpit!$H$31</f>
        <v>0.03</v>
      </c>
      <c r="Q123" s="289">
        <f>Cockpit!$H$31</f>
        <v>0.03</v>
      </c>
      <c r="R123" s="289">
        <f>Cockpit!$H$31</f>
        <v>0.03</v>
      </c>
      <c r="S123" s="289">
        <f>Cockpit!$H$31</f>
        <v>0.03</v>
      </c>
      <c r="T123" s="289">
        <f>Cockpit!$H$31</f>
        <v>0.03</v>
      </c>
      <c r="U123" s="289">
        <f>Cockpit!$H$31</f>
        <v>0.03</v>
      </c>
      <c r="V123" s="289">
        <f>Cockpit!$H$31</f>
        <v>0.03</v>
      </c>
      <c r="W123" s="289">
        <f>Cockpit!$H$31</f>
        <v>0.03</v>
      </c>
      <c r="X123" s="289">
        <f>Cockpit!$H$31</f>
        <v>0.03</v>
      </c>
      <c r="Y123" s="289">
        <f>Cockpit!$H$31</f>
        <v>0.03</v>
      </c>
      <c r="Z123" s="289">
        <f>Cockpit!$H$31</f>
        <v>0.03</v>
      </c>
      <c r="AA123" s="289">
        <f>Cockpit!$H$31</f>
        <v>0.03</v>
      </c>
      <c r="AB123" s="289">
        <f>Cockpit!$H$31</f>
        <v>0.03</v>
      </c>
      <c r="AC123" s="289">
        <f>Cockpit!$H$31</f>
        <v>0.03</v>
      </c>
      <c r="AD123" s="289">
        <f>Cockpit!$H$31</f>
        <v>0.03</v>
      </c>
      <c r="AE123" s="289">
        <f>Cockpit!$H$31</f>
        <v>0.03</v>
      </c>
      <c r="AF123" s="289">
        <f>Cockpit!$H$31</f>
        <v>0.03</v>
      </c>
      <c r="AG123" s="289">
        <f>Cockpit!$H$31</f>
        <v>0.03</v>
      </c>
      <c r="AH123" s="289">
        <f>Cockpit!$H$31</f>
        <v>0.03</v>
      </c>
      <c r="AI123" s="289">
        <f>Cockpit!$H$31</f>
        <v>0.03</v>
      </c>
      <c r="AJ123" s="289">
        <f>Cockpit!$H$31</f>
        <v>0.03</v>
      </c>
      <c r="AK123" s="289">
        <f>Cockpit!$H$31</f>
        <v>0.03</v>
      </c>
      <c r="AL123" s="289">
        <f>Cockpit!$H$31</f>
        <v>0.03</v>
      </c>
      <c r="AM123" s="289">
        <f>Cockpit!$H$31</f>
        <v>0.03</v>
      </c>
      <c r="AN123" s="289">
        <f>Cockpit!$H$31</f>
        <v>0.03</v>
      </c>
      <c r="AO123" s="289">
        <f>Cockpit!$H$31</f>
        <v>0.03</v>
      </c>
      <c r="AP123" s="289">
        <f>Cockpit!$H$31</f>
        <v>0.03</v>
      </c>
      <c r="AQ123" s="289">
        <f>Cockpit!$H$31</f>
        <v>0.03</v>
      </c>
      <c r="AR123" s="289">
        <f>Cockpit!$H$31</f>
        <v>0.03</v>
      </c>
      <c r="AS123" s="289">
        <f>Cockpit!$H$31</f>
        <v>0.03</v>
      </c>
      <c r="AT123" s="289">
        <f>Cockpit!$H$31</f>
        <v>0.03</v>
      </c>
      <c r="AU123" s="289">
        <f>Cockpit!$H$31</f>
        <v>0.03</v>
      </c>
      <c r="AV123" s="289">
        <f>Cockpit!$H$31</f>
        <v>0.03</v>
      </c>
      <c r="AW123" s="289">
        <f>Cockpit!$H$31</f>
        <v>0.03</v>
      </c>
      <c r="AX123" s="289">
        <f>Cockpit!$H$31</f>
        <v>0.03</v>
      </c>
      <c r="AY123" s="289">
        <f>Cockpit!$H$31</f>
        <v>0.03</v>
      </c>
      <c r="AZ123" s="289">
        <f>Cockpit!$H$31</f>
        <v>0.03</v>
      </c>
      <c r="BA123" s="289">
        <f>Cockpit!$H$31</f>
        <v>0.03</v>
      </c>
      <c r="BB123" s="290">
        <f>Cockpit!$H$31</f>
        <v>0.03</v>
      </c>
    </row>
    <row r="124" spans="1:54">
      <c r="B124" s="479" t="s">
        <v>67</v>
      </c>
      <c r="C124" s="536"/>
      <c r="D124" s="480"/>
      <c r="E124" s="10">
        <f t="shared" ref="E124:BB124" si="1496">E122*(1+E123)</f>
        <v>0</v>
      </c>
      <c r="F124" s="10">
        <f t="shared" si="1496"/>
        <v>0</v>
      </c>
      <c r="G124" s="10">
        <f t="shared" si="1496"/>
        <v>0</v>
      </c>
      <c r="H124" s="10">
        <f t="shared" si="1496"/>
        <v>0</v>
      </c>
      <c r="I124" s="10">
        <f t="shared" si="1496"/>
        <v>0</v>
      </c>
      <c r="J124" s="10">
        <f t="shared" si="1496"/>
        <v>0</v>
      </c>
      <c r="K124" s="10">
        <f t="shared" si="1496"/>
        <v>0</v>
      </c>
      <c r="L124" s="10">
        <f t="shared" si="1496"/>
        <v>0</v>
      </c>
      <c r="M124" s="10">
        <f t="shared" si="1496"/>
        <v>0</v>
      </c>
      <c r="N124" s="10">
        <f t="shared" si="1496"/>
        <v>0</v>
      </c>
      <c r="O124" s="10">
        <f t="shared" si="1496"/>
        <v>0</v>
      </c>
      <c r="P124" s="10">
        <f t="shared" si="1496"/>
        <v>0</v>
      </c>
      <c r="Q124" s="10">
        <f t="shared" si="1496"/>
        <v>0</v>
      </c>
      <c r="R124" s="10">
        <f t="shared" si="1496"/>
        <v>0</v>
      </c>
      <c r="S124" s="10">
        <f t="shared" si="1496"/>
        <v>0</v>
      </c>
      <c r="T124" s="10">
        <f t="shared" si="1496"/>
        <v>0</v>
      </c>
      <c r="U124" s="10">
        <f t="shared" si="1496"/>
        <v>0</v>
      </c>
      <c r="V124" s="10">
        <f t="shared" si="1496"/>
        <v>0</v>
      </c>
      <c r="W124" s="10">
        <f t="shared" si="1496"/>
        <v>0</v>
      </c>
      <c r="X124" s="10">
        <f t="shared" si="1496"/>
        <v>0</v>
      </c>
      <c r="Y124" s="10">
        <f t="shared" si="1496"/>
        <v>0</v>
      </c>
      <c r="Z124" s="10">
        <f t="shared" si="1496"/>
        <v>0</v>
      </c>
      <c r="AA124" s="10">
        <f t="shared" si="1496"/>
        <v>0</v>
      </c>
      <c r="AB124" s="10">
        <f t="shared" si="1496"/>
        <v>0</v>
      </c>
      <c r="AC124" s="10">
        <f t="shared" si="1496"/>
        <v>0</v>
      </c>
      <c r="AD124" s="10">
        <f t="shared" si="1496"/>
        <v>0</v>
      </c>
      <c r="AE124" s="10">
        <f t="shared" si="1496"/>
        <v>0</v>
      </c>
      <c r="AF124" s="10">
        <f t="shared" si="1496"/>
        <v>0</v>
      </c>
      <c r="AG124" s="10">
        <f t="shared" si="1496"/>
        <v>0</v>
      </c>
      <c r="AH124" s="10">
        <f t="shared" si="1496"/>
        <v>0</v>
      </c>
      <c r="AI124" s="10">
        <f t="shared" si="1496"/>
        <v>0</v>
      </c>
      <c r="AJ124" s="10">
        <f t="shared" si="1496"/>
        <v>0</v>
      </c>
      <c r="AK124" s="10">
        <f t="shared" si="1496"/>
        <v>0</v>
      </c>
      <c r="AL124" s="10">
        <f t="shared" si="1496"/>
        <v>0</v>
      </c>
      <c r="AM124" s="10">
        <f t="shared" si="1496"/>
        <v>0</v>
      </c>
      <c r="AN124" s="10">
        <f t="shared" si="1496"/>
        <v>0</v>
      </c>
      <c r="AO124" s="10">
        <f t="shared" si="1496"/>
        <v>0</v>
      </c>
      <c r="AP124" s="10">
        <f t="shared" si="1496"/>
        <v>0</v>
      </c>
      <c r="AQ124" s="10">
        <f t="shared" si="1496"/>
        <v>0</v>
      </c>
      <c r="AR124" s="10">
        <f t="shared" si="1496"/>
        <v>0</v>
      </c>
      <c r="AS124" s="10">
        <f t="shared" si="1496"/>
        <v>0</v>
      </c>
      <c r="AT124" s="10">
        <f t="shared" si="1496"/>
        <v>0</v>
      </c>
      <c r="AU124" s="10">
        <f t="shared" si="1496"/>
        <v>0</v>
      </c>
      <c r="AV124" s="10">
        <f t="shared" si="1496"/>
        <v>0</v>
      </c>
      <c r="AW124" s="10">
        <f t="shared" si="1496"/>
        <v>0</v>
      </c>
      <c r="AX124" s="10">
        <f t="shared" si="1496"/>
        <v>0</v>
      </c>
      <c r="AY124" s="10">
        <f t="shared" si="1496"/>
        <v>0</v>
      </c>
      <c r="AZ124" s="10">
        <f t="shared" si="1496"/>
        <v>0</v>
      </c>
      <c r="BA124" s="10">
        <f t="shared" si="1496"/>
        <v>0</v>
      </c>
      <c r="BB124" s="283">
        <f t="shared" si="1496"/>
        <v>0</v>
      </c>
    </row>
    <row r="125" spans="1:54" ht="15.75" thickBot="1">
      <c r="B125" s="492" t="s">
        <v>301</v>
      </c>
      <c r="C125" s="537"/>
      <c r="D125" s="493"/>
      <c r="E125" s="367" t="str">
        <f>IFERROR(E124/$C121,"-")</f>
        <v>-</v>
      </c>
      <c r="F125" s="367" t="str">
        <f>IFERROR(F124/$C121,"-")</f>
        <v>-</v>
      </c>
      <c r="G125" s="367" t="str">
        <f t="shared" ref="G125" si="1497">IFERROR(G124/$C121,"-")</f>
        <v>-</v>
      </c>
      <c r="H125" s="367" t="str">
        <f t="shared" ref="H125" si="1498">IFERROR(H124/$C121,"-")</f>
        <v>-</v>
      </c>
      <c r="I125" s="367" t="str">
        <f t="shared" ref="I125" si="1499">IFERROR(I124/$C121,"-")</f>
        <v>-</v>
      </c>
      <c r="J125" s="367" t="str">
        <f t="shared" ref="J125" si="1500">IFERROR(J124/$C121,"-")</f>
        <v>-</v>
      </c>
      <c r="K125" s="367" t="str">
        <f t="shared" ref="K125" si="1501">IFERROR(K124/$C121,"-")</f>
        <v>-</v>
      </c>
      <c r="L125" s="367" t="str">
        <f t="shared" ref="L125" si="1502">IFERROR(L124/$C121,"-")</f>
        <v>-</v>
      </c>
      <c r="M125" s="367" t="str">
        <f t="shared" ref="M125" si="1503">IFERROR(M124/$C121,"-")</f>
        <v>-</v>
      </c>
      <c r="N125" s="367" t="str">
        <f t="shared" ref="N125" si="1504">IFERROR(N124/$C121,"-")</f>
        <v>-</v>
      </c>
      <c r="O125" s="367" t="str">
        <f t="shared" ref="O125" si="1505">IFERROR(O124/$C121,"-")</f>
        <v>-</v>
      </c>
      <c r="P125" s="367" t="str">
        <f t="shared" ref="P125" si="1506">IFERROR(P124/$C121,"-")</f>
        <v>-</v>
      </c>
      <c r="Q125" s="367" t="str">
        <f t="shared" ref="Q125" si="1507">IFERROR(Q124/$C121,"-")</f>
        <v>-</v>
      </c>
      <c r="R125" s="367" t="str">
        <f t="shared" ref="R125" si="1508">IFERROR(R124/$C121,"-")</f>
        <v>-</v>
      </c>
      <c r="S125" s="367" t="str">
        <f t="shared" ref="S125" si="1509">IFERROR(S124/$C121,"-")</f>
        <v>-</v>
      </c>
      <c r="T125" s="367" t="str">
        <f t="shared" ref="T125" si="1510">IFERROR(T124/$C121,"-")</f>
        <v>-</v>
      </c>
      <c r="U125" s="367" t="str">
        <f t="shared" ref="U125" si="1511">IFERROR(U124/$C121,"-")</f>
        <v>-</v>
      </c>
      <c r="V125" s="367" t="str">
        <f t="shared" ref="V125" si="1512">IFERROR(V124/$C121,"-")</f>
        <v>-</v>
      </c>
      <c r="W125" s="367" t="str">
        <f t="shared" ref="W125" si="1513">IFERROR(W124/$C121,"-")</f>
        <v>-</v>
      </c>
      <c r="X125" s="367" t="str">
        <f t="shared" ref="X125" si="1514">IFERROR(X124/$C121,"-")</f>
        <v>-</v>
      </c>
      <c r="Y125" s="367" t="str">
        <f t="shared" ref="Y125" si="1515">IFERROR(Y124/$C121,"-")</f>
        <v>-</v>
      </c>
      <c r="Z125" s="367" t="str">
        <f t="shared" ref="Z125" si="1516">IFERROR(Z124/$C121,"-")</f>
        <v>-</v>
      </c>
      <c r="AA125" s="367" t="str">
        <f t="shared" ref="AA125" si="1517">IFERROR(AA124/$C121,"-")</f>
        <v>-</v>
      </c>
      <c r="AB125" s="367" t="str">
        <f t="shared" ref="AB125" si="1518">IFERROR(AB124/$C121,"-")</f>
        <v>-</v>
      </c>
      <c r="AC125" s="367" t="str">
        <f t="shared" ref="AC125" si="1519">IFERROR(AC124/$C121,"-")</f>
        <v>-</v>
      </c>
      <c r="AD125" s="367" t="str">
        <f t="shared" ref="AD125" si="1520">IFERROR(AD124/$C121,"-")</f>
        <v>-</v>
      </c>
      <c r="AE125" s="367" t="str">
        <f t="shared" ref="AE125" si="1521">IFERROR(AE124/$C121,"-")</f>
        <v>-</v>
      </c>
      <c r="AF125" s="367" t="str">
        <f t="shared" ref="AF125" si="1522">IFERROR(AF124/$C121,"-")</f>
        <v>-</v>
      </c>
      <c r="AG125" s="367" t="str">
        <f t="shared" ref="AG125" si="1523">IFERROR(AG124/$C121,"-")</f>
        <v>-</v>
      </c>
      <c r="AH125" s="367" t="str">
        <f t="shared" ref="AH125" si="1524">IFERROR(AH124/$C121,"-")</f>
        <v>-</v>
      </c>
      <c r="AI125" s="367" t="str">
        <f t="shared" ref="AI125" si="1525">IFERROR(AI124/$C121,"-")</f>
        <v>-</v>
      </c>
      <c r="AJ125" s="367" t="str">
        <f t="shared" ref="AJ125" si="1526">IFERROR(AJ124/$C121,"-")</f>
        <v>-</v>
      </c>
      <c r="AK125" s="367" t="str">
        <f t="shared" ref="AK125" si="1527">IFERROR(AK124/$C121,"-")</f>
        <v>-</v>
      </c>
      <c r="AL125" s="367" t="str">
        <f t="shared" ref="AL125" si="1528">IFERROR(AL124/$C121,"-")</f>
        <v>-</v>
      </c>
      <c r="AM125" s="367" t="str">
        <f t="shared" ref="AM125" si="1529">IFERROR(AM124/$C121,"-")</f>
        <v>-</v>
      </c>
      <c r="AN125" s="367" t="str">
        <f t="shared" ref="AN125" si="1530">IFERROR(AN124/$C121,"-")</f>
        <v>-</v>
      </c>
      <c r="AO125" s="367" t="str">
        <f t="shared" ref="AO125" si="1531">IFERROR(AO124/$C121,"-")</f>
        <v>-</v>
      </c>
      <c r="AP125" s="367" t="str">
        <f t="shared" ref="AP125" si="1532">IFERROR(AP124/$C121,"-")</f>
        <v>-</v>
      </c>
      <c r="AQ125" s="367" t="str">
        <f t="shared" ref="AQ125" si="1533">IFERROR(AQ124/$C121,"-")</f>
        <v>-</v>
      </c>
      <c r="AR125" s="367" t="str">
        <f t="shared" ref="AR125" si="1534">IFERROR(AR124/$C121,"-")</f>
        <v>-</v>
      </c>
      <c r="AS125" s="367" t="str">
        <f t="shared" ref="AS125" si="1535">IFERROR(AS124/$C121,"-")</f>
        <v>-</v>
      </c>
      <c r="AT125" s="367" t="str">
        <f t="shared" ref="AT125" si="1536">IFERROR(AT124/$C121,"-")</f>
        <v>-</v>
      </c>
      <c r="AU125" s="367" t="str">
        <f t="shared" ref="AU125" si="1537">IFERROR(AU124/$C121,"-")</f>
        <v>-</v>
      </c>
      <c r="AV125" s="367" t="str">
        <f t="shared" ref="AV125" si="1538">IFERROR(AV124/$C121,"-")</f>
        <v>-</v>
      </c>
      <c r="AW125" s="367" t="str">
        <f t="shared" ref="AW125" si="1539">IFERROR(AW124/$C121,"-")</f>
        <v>-</v>
      </c>
      <c r="AX125" s="367" t="str">
        <f t="shared" ref="AX125" si="1540">IFERROR(AX124/$C121,"-")</f>
        <v>-</v>
      </c>
      <c r="AY125" s="367" t="str">
        <f t="shared" ref="AY125" si="1541">IFERROR(AY124/$C121,"-")</f>
        <v>-</v>
      </c>
      <c r="AZ125" s="367" t="str">
        <f t="shared" ref="AZ125" si="1542">IFERROR(AZ124/$C121,"-")</f>
        <v>-</v>
      </c>
      <c r="BA125" s="367" t="str">
        <f t="shared" ref="BA125" si="1543">IFERROR(BA124/$C121,"-")</f>
        <v>-</v>
      </c>
      <c r="BB125" s="368" t="str">
        <f t="shared" ref="BB125" si="1544">IFERROR(BB124/$C121,"-")</f>
        <v>-</v>
      </c>
    </row>
    <row r="126" spans="1:54" ht="17.25" customHeight="1" thickBot="1">
      <c r="J126" s="6"/>
      <c r="K126" s="6"/>
      <c r="L126" s="6"/>
      <c r="M126" s="6"/>
      <c r="O126" s="5"/>
      <c r="P126" s="5"/>
      <c r="Q126" s="5"/>
      <c r="R126" s="5"/>
    </row>
    <row r="127" spans="1:54" ht="18" thickBot="1">
      <c r="A127"/>
      <c r="B127" s="533" t="s">
        <v>312</v>
      </c>
      <c r="C127" s="534"/>
      <c r="D127" s="32"/>
      <c r="E127" s="275"/>
      <c r="J127" s="6"/>
      <c r="K127" s="6"/>
      <c r="L127" s="6"/>
      <c r="M127" s="6"/>
    </row>
    <row r="128" spans="1:54" ht="15.75" thickBot="1">
      <c r="B128" s="360" t="s">
        <v>11</v>
      </c>
      <c r="C128" s="369">
        <v>0</v>
      </c>
      <c r="D128" s="364"/>
      <c r="E128" s="365">
        <f t="shared" ref="E128:AJ128" si="1545">E$9</f>
        <v>2024</v>
      </c>
      <c r="F128" s="279">
        <f t="shared" si="1545"/>
        <v>2025</v>
      </c>
      <c r="G128" s="279">
        <f t="shared" si="1545"/>
        <v>2026</v>
      </c>
      <c r="H128" s="279">
        <f t="shared" si="1545"/>
        <v>2027</v>
      </c>
      <c r="I128" s="279">
        <f t="shared" si="1545"/>
        <v>2028</v>
      </c>
      <c r="J128" s="279">
        <f t="shared" si="1545"/>
        <v>2029</v>
      </c>
      <c r="K128" s="279">
        <f t="shared" si="1545"/>
        <v>2030</v>
      </c>
      <c r="L128" s="279">
        <f t="shared" si="1545"/>
        <v>2031</v>
      </c>
      <c r="M128" s="279">
        <f t="shared" si="1545"/>
        <v>2032</v>
      </c>
      <c r="N128" s="279">
        <f t="shared" si="1545"/>
        <v>2033</v>
      </c>
      <c r="O128" s="279">
        <f t="shared" si="1545"/>
        <v>2034</v>
      </c>
      <c r="P128" s="279">
        <f t="shared" si="1545"/>
        <v>2035</v>
      </c>
      <c r="Q128" s="279">
        <f t="shared" si="1545"/>
        <v>2036</v>
      </c>
      <c r="R128" s="279">
        <f t="shared" si="1545"/>
        <v>2037</v>
      </c>
      <c r="S128" s="279">
        <f t="shared" si="1545"/>
        <v>2038</v>
      </c>
      <c r="T128" s="279">
        <f t="shared" si="1545"/>
        <v>2039</v>
      </c>
      <c r="U128" s="279">
        <f t="shared" si="1545"/>
        <v>2040</v>
      </c>
      <c r="V128" s="279">
        <f t="shared" si="1545"/>
        <v>2041</v>
      </c>
      <c r="W128" s="279">
        <f t="shared" si="1545"/>
        <v>2042</v>
      </c>
      <c r="X128" s="279">
        <f t="shared" si="1545"/>
        <v>2043</v>
      </c>
      <c r="Y128" s="279">
        <f t="shared" si="1545"/>
        <v>2044</v>
      </c>
      <c r="Z128" s="279">
        <f t="shared" si="1545"/>
        <v>2045</v>
      </c>
      <c r="AA128" s="279">
        <f t="shared" si="1545"/>
        <v>2046</v>
      </c>
      <c r="AB128" s="279">
        <f t="shared" si="1545"/>
        <v>2047</v>
      </c>
      <c r="AC128" s="279">
        <f t="shared" si="1545"/>
        <v>2048</v>
      </c>
      <c r="AD128" s="279">
        <f t="shared" si="1545"/>
        <v>2049</v>
      </c>
      <c r="AE128" s="279">
        <f t="shared" si="1545"/>
        <v>2050</v>
      </c>
      <c r="AF128" s="279">
        <f t="shared" si="1545"/>
        <v>2051</v>
      </c>
      <c r="AG128" s="279">
        <f t="shared" si="1545"/>
        <v>2052</v>
      </c>
      <c r="AH128" s="279">
        <f t="shared" si="1545"/>
        <v>2053</v>
      </c>
      <c r="AI128" s="279">
        <f t="shared" si="1545"/>
        <v>2054</v>
      </c>
      <c r="AJ128" s="279">
        <f t="shared" si="1545"/>
        <v>2055</v>
      </c>
      <c r="AK128" s="279">
        <f t="shared" ref="AK128:BB128" si="1546">AK$9</f>
        <v>2056</v>
      </c>
      <c r="AL128" s="279">
        <f t="shared" si="1546"/>
        <v>2057</v>
      </c>
      <c r="AM128" s="279">
        <f t="shared" si="1546"/>
        <v>2058</v>
      </c>
      <c r="AN128" s="279">
        <f t="shared" si="1546"/>
        <v>2059</v>
      </c>
      <c r="AO128" s="279">
        <f t="shared" si="1546"/>
        <v>2060</v>
      </c>
      <c r="AP128" s="279">
        <f t="shared" si="1546"/>
        <v>2061</v>
      </c>
      <c r="AQ128" s="279">
        <f t="shared" si="1546"/>
        <v>2062</v>
      </c>
      <c r="AR128" s="279">
        <f t="shared" si="1546"/>
        <v>2063</v>
      </c>
      <c r="AS128" s="279">
        <f t="shared" si="1546"/>
        <v>2064</v>
      </c>
      <c r="AT128" s="279">
        <f t="shared" si="1546"/>
        <v>2065</v>
      </c>
      <c r="AU128" s="279">
        <f t="shared" si="1546"/>
        <v>2066</v>
      </c>
      <c r="AV128" s="279">
        <f t="shared" si="1546"/>
        <v>2067</v>
      </c>
      <c r="AW128" s="279">
        <f t="shared" si="1546"/>
        <v>2068</v>
      </c>
      <c r="AX128" s="279">
        <f t="shared" si="1546"/>
        <v>2069</v>
      </c>
      <c r="AY128" s="279">
        <f t="shared" si="1546"/>
        <v>2070</v>
      </c>
      <c r="AZ128" s="279">
        <f t="shared" si="1546"/>
        <v>2071</v>
      </c>
      <c r="BA128" s="279">
        <f t="shared" si="1546"/>
        <v>2072</v>
      </c>
      <c r="BB128" s="280">
        <f t="shared" si="1546"/>
        <v>2073</v>
      </c>
    </row>
    <row r="129" spans="1:54">
      <c r="A129"/>
      <c r="B129" s="485" t="s">
        <v>261</v>
      </c>
      <c r="C129" s="535"/>
      <c r="D129" s="486"/>
      <c r="E129" s="307">
        <v>0</v>
      </c>
      <c r="F129" s="281">
        <f>E131</f>
        <v>0</v>
      </c>
      <c r="G129" s="281">
        <f t="shared" ref="G129" si="1547">F131</f>
        <v>0</v>
      </c>
      <c r="H129" s="281">
        <f t="shared" ref="H129" si="1548">G131</f>
        <v>0</v>
      </c>
      <c r="I129" s="281">
        <f t="shared" ref="I129" si="1549">H131</f>
        <v>0</v>
      </c>
      <c r="J129" s="281">
        <f t="shared" ref="J129" si="1550">I131</f>
        <v>0</v>
      </c>
      <c r="K129" s="281">
        <f t="shared" ref="K129" si="1551">J131</f>
        <v>0</v>
      </c>
      <c r="L129" s="281">
        <f t="shared" ref="L129" si="1552">K131</f>
        <v>0</v>
      </c>
      <c r="M129" s="281">
        <f t="shared" ref="M129" si="1553">L131</f>
        <v>0</v>
      </c>
      <c r="N129" s="281">
        <f t="shared" ref="N129" si="1554">M131</f>
        <v>0</v>
      </c>
      <c r="O129" s="281">
        <f t="shared" ref="O129" si="1555">N131</f>
        <v>0</v>
      </c>
      <c r="P129" s="281">
        <f t="shared" ref="P129" si="1556">O131</f>
        <v>0</v>
      </c>
      <c r="Q129" s="281">
        <f t="shared" ref="Q129" si="1557">P131</f>
        <v>0</v>
      </c>
      <c r="R129" s="281">
        <f t="shared" ref="R129" si="1558">Q131</f>
        <v>0</v>
      </c>
      <c r="S129" s="281">
        <f t="shared" ref="S129" si="1559">R131</f>
        <v>0</v>
      </c>
      <c r="T129" s="281">
        <f t="shared" ref="T129" si="1560">S131</f>
        <v>0</v>
      </c>
      <c r="U129" s="281">
        <f t="shared" ref="U129" si="1561">T131</f>
        <v>0</v>
      </c>
      <c r="V129" s="281">
        <f t="shared" ref="V129" si="1562">U131</f>
        <v>0</v>
      </c>
      <c r="W129" s="281">
        <f t="shared" ref="W129" si="1563">V131</f>
        <v>0</v>
      </c>
      <c r="X129" s="281">
        <f t="shared" ref="X129" si="1564">W131</f>
        <v>0</v>
      </c>
      <c r="Y129" s="281">
        <f t="shared" ref="Y129" si="1565">X131</f>
        <v>0</v>
      </c>
      <c r="Z129" s="281">
        <f t="shared" ref="Z129" si="1566">Y131</f>
        <v>0</v>
      </c>
      <c r="AA129" s="281">
        <f t="shared" ref="AA129" si="1567">Z131</f>
        <v>0</v>
      </c>
      <c r="AB129" s="281">
        <f t="shared" ref="AB129" si="1568">AA131</f>
        <v>0</v>
      </c>
      <c r="AC129" s="281">
        <f t="shared" ref="AC129" si="1569">AB131</f>
        <v>0</v>
      </c>
      <c r="AD129" s="281">
        <f t="shared" ref="AD129" si="1570">AC131</f>
        <v>0</v>
      </c>
      <c r="AE129" s="281">
        <f t="shared" ref="AE129" si="1571">AD131</f>
        <v>0</v>
      </c>
      <c r="AF129" s="281">
        <f t="shared" ref="AF129" si="1572">AE131</f>
        <v>0</v>
      </c>
      <c r="AG129" s="281">
        <f t="shared" ref="AG129" si="1573">AF131</f>
        <v>0</v>
      </c>
      <c r="AH129" s="281">
        <f t="shared" ref="AH129" si="1574">AG131</f>
        <v>0</v>
      </c>
      <c r="AI129" s="281">
        <f t="shared" ref="AI129" si="1575">AH131</f>
        <v>0</v>
      </c>
      <c r="AJ129" s="281">
        <f t="shared" ref="AJ129" si="1576">AI131</f>
        <v>0</v>
      </c>
      <c r="AK129" s="281">
        <f t="shared" ref="AK129" si="1577">AJ131</f>
        <v>0</v>
      </c>
      <c r="AL129" s="281">
        <f t="shared" ref="AL129" si="1578">AK131</f>
        <v>0</v>
      </c>
      <c r="AM129" s="281">
        <f t="shared" ref="AM129" si="1579">AL131</f>
        <v>0</v>
      </c>
      <c r="AN129" s="281">
        <f t="shared" ref="AN129" si="1580">AM131</f>
        <v>0</v>
      </c>
      <c r="AO129" s="281">
        <f t="shared" ref="AO129" si="1581">AN131</f>
        <v>0</v>
      </c>
      <c r="AP129" s="281">
        <f t="shared" ref="AP129" si="1582">AO131</f>
        <v>0</v>
      </c>
      <c r="AQ129" s="281">
        <f t="shared" ref="AQ129" si="1583">AP131</f>
        <v>0</v>
      </c>
      <c r="AR129" s="281">
        <f t="shared" ref="AR129" si="1584">AQ131</f>
        <v>0</v>
      </c>
      <c r="AS129" s="281">
        <f t="shared" ref="AS129" si="1585">AR131</f>
        <v>0</v>
      </c>
      <c r="AT129" s="281">
        <f t="shared" ref="AT129" si="1586">AS131</f>
        <v>0</v>
      </c>
      <c r="AU129" s="281">
        <f t="shared" ref="AU129" si="1587">AT131</f>
        <v>0</v>
      </c>
      <c r="AV129" s="281">
        <f t="shared" ref="AV129" si="1588">AU131</f>
        <v>0</v>
      </c>
      <c r="AW129" s="281">
        <f t="shared" ref="AW129" si="1589">AV131</f>
        <v>0</v>
      </c>
      <c r="AX129" s="281">
        <f t="shared" ref="AX129" si="1590">AW131</f>
        <v>0</v>
      </c>
      <c r="AY129" s="281">
        <f t="shared" ref="AY129" si="1591">AX131</f>
        <v>0</v>
      </c>
      <c r="AZ129" s="281">
        <f t="shared" ref="AZ129" si="1592">AY131</f>
        <v>0</v>
      </c>
      <c r="BA129" s="281">
        <f t="shared" ref="BA129" si="1593">AZ131</f>
        <v>0</v>
      </c>
      <c r="BB129" s="282">
        <f t="shared" ref="BB129" si="1594">BA131</f>
        <v>0</v>
      </c>
    </row>
    <row r="130" spans="1:54">
      <c r="A130"/>
      <c r="B130" s="479" t="s">
        <v>99</v>
      </c>
      <c r="C130" s="536"/>
      <c r="D130" s="480"/>
      <c r="E130" s="289">
        <f>Cockpit!$H$31</f>
        <v>0.03</v>
      </c>
      <c r="F130" s="289">
        <f>Cockpit!$H$31</f>
        <v>0.03</v>
      </c>
      <c r="G130" s="289">
        <f>Cockpit!$H$31</f>
        <v>0.03</v>
      </c>
      <c r="H130" s="289">
        <f>Cockpit!$H$31</f>
        <v>0.03</v>
      </c>
      <c r="I130" s="289">
        <f>Cockpit!$H$31</f>
        <v>0.03</v>
      </c>
      <c r="J130" s="289">
        <f>Cockpit!$H$31</f>
        <v>0.03</v>
      </c>
      <c r="K130" s="289">
        <f>Cockpit!$H$31</f>
        <v>0.03</v>
      </c>
      <c r="L130" s="289">
        <f>Cockpit!$H$31</f>
        <v>0.03</v>
      </c>
      <c r="M130" s="289">
        <f>Cockpit!$H$31</f>
        <v>0.03</v>
      </c>
      <c r="N130" s="289">
        <f>Cockpit!$H$31</f>
        <v>0.03</v>
      </c>
      <c r="O130" s="289">
        <f>Cockpit!$H$31</f>
        <v>0.03</v>
      </c>
      <c r="P130" s="289">
        <f>Cockpit!$H$31</f>
        <v>0.03</v>
      </c>
      <c r="Q130" s="289">
        <f>Cockpit!$H$31</f>
        <v>0.03</v>
      </c>
      <c r="R130" s="289">
        <f>Cockpit!$H$31</f>
        <v>0.03</v>
      </c>
      <c r="S130" s="289">
        <f>Cockpit!$H$31</f>
        <v>0.03</v>
      </c>
      <c r="T130" s="289">
        <f>Cockpit!$H$31</f>
        <v>0.03</v>
      </c>
      <c r="U130" s="289">
        <f>Cockpit!$H$31</f>
        <v>0.03</v>
      </c>
      <c r="V130" s="289">
        <f>Cockpit!$H$31</f>
        <v>0.03</v>
      </c>
      <c r="W130" s="289">
        <f>Cockpit!$H$31</f>
        <v>0.03</v>
      </c>
      <c r="X130" s="289">
        <f>Cockpit!$H$31</f>
        <v>0.03</v>
      </c>
      <c r="Y130" s="289">
        <f>Cockpit!$H$31</f>
        <v>0.03</v>
      </c>
      <c r="Z130" s="289">
        <f>Cockpit!$H$31</f>
        <v>0.03</v>
      </c>
      <c r="AA130" s="289">
        <f>Cockpit!$H$31</f>
        <v>0.03</v>
      </c>
      <c r="AB130" s="289">
        <f>Cockpit!$H$31</f>
        <v>0.03</v>
      </c>
      <c r="AC130" s="289">
        <f>Cockpit!$H$31</f>
        <v>0.03</v>
      </c>
      <c r="AD130" s="289">
        <f>Cockpit!$H$31</f>
        <v>0.03</v>
      </c>
      <c r="AE130" s="289">
        <f>Cockpit!$H$31</f>
        <v>0.03</v>
      </c>
      <c r="AF130" s="289">
        <f>Cockpit!$H$31</f>
        <v>0.03</v>
      </c>
      <c r="AG130" s="289">
        <f>Cockpit!$H$31</f>
        <v>0.03</v>
      </c>
      <c r="AH130" s="289">
        <f>Cockpit!$H$31</f>
        <v>0.03</v>
      </c>
      <c r="AI130" s="289">
        <f>Cockpit!$H$31</f>
        <v>0.03</v>
      </c>
      <c r="AJ130" s="289">
        <f>Cockpit!$H$31</f>
        <v>0.03</v>
      </c>
      <c r="AK130" s="289">
        <f>Cockpit!$H$31</f>
        <v>0.03</v>
      </c>
      <c r="AL130" s="289">
        <f>Cockpit!$H$31</f>
        <v>0.03</v>
      </c>
      <c r="AM130" s="289">
        <f>Cockpit!$H$31</f>
        <v>0.03</v>
      </c>
      <c r="AN130" s="289">
        <f>Cockpit!$H$31</f>
        <v>0.03</v>
      </c>
      <c r="AO130" s="289">
        <f>Cockpit!$H$31</f>
        <v>0.03</v>
      </c>
      <c r="AP130" s="289">
        <f>Cockpit!$H$31</f>
        <v>0.03</v>
      </c>
      <c r="AQ130" s="289">
        <f>Cockpit!$H$31</f>
        <v>0.03</v>
      </c>
      <c r="AR130" s="289">
        <f>Cockpit!$H$31</f>
        <v>0.03</v>
      </c>
      <c r="AS130" s="289">
        <f>Cockpit!$H$31</f>
        <v>0.03</v>
      </c>
      <c r="AT130" s="289">
        <f>Cockpit!$H$31</f>
        <v>0.03</v>
      </c>
      <c r="AU130" s="289">
        <f>Cockpit!$H$31</f>
        <v>0.03</v>
      </c>
      <c r="AV130" s="289">
        <f>Cockpit!$H$31</f>
        <v>0.03</v>
      </c>
      <c r="AW130" s="289">
        <f>Cockpit!$H$31</f>
        <v>0.03</v>
      </c>
      <c r="AX130" s="289">
        <f>Cockpit!$H$31</f>
        <v>0.03</v>
      </c>
      <c r="AY130" s="289">
        <f>Cockpit!$H$31</f>
        <v>0.03</v>
      </c>
      <c r="AZ130" s="289">
        <f>Cockpit!$H$31</f>
        <v>0.03</v>
      </c>
      <c r="BA130" s="289">
        <f>Cockpit!$H$31</f>
        <v>0.03</v>
      </c>
      <c r="BB130" s="290">
        <f>Cockpit!$H$31</f>
        <v>0.03</v>
      </c>
    </row>
    <row r="131" spans="1:54">
      <c r="B131" s="479" t="s">
        <v>67</v>
      </c>
      <c r="C131" s="536"/>
      <c r="D131" s="480"/>
      <c r="E131" s="10">
        <f t="shared" ref="E131:BB131" si="1595">E129*(1+E130)</f>
        <v>0</v>
      </c>
      <c r="F131" s="10">
        <f t="shared" si="1595"/>
        <v>0</v>
      </c>
      <c r="G131" s="10">
        <f t="shared" si="1595"/>
        <v>0</v>
      </c>
      <c r="H131" s="10">
        <f t="shared" si="1595"/>
        <v>0</v>
      </c>
      <c r="I131" s="10">
        <f t="shared" si="1595"/>
        <v>0</v>
      </c>
      <c r="J131" s="10">
        <f t="shared" si="1595"/>
        <v>0</v>
      </c>
      <c r="K131" s="10">
        <f t="shared" si="1595"/>
        <v>0</v>
      </c>
      <c r="L131" s="10">
        <f t="shared" si="1595"/>
        <v>0</v>
      </c>
      <c r="M131" s="10">
        <f t="shared" si="1595"/>
        <v>0</v>
      </c>
      <c r="N131" s="10">
        <f t="shared" si="1595"/>
        <v>0</v>
      </c>
      <c r="O131" s="10">
        <f t="shared" si="1595"/>
        <v>0</v>
      </c>
      <c r="P131" s="10">
        <f t="shared" si="1595"/>
        <v>0</v>
      </c>
      <c r="Q131" s="10">
        <f t="shared" si="1595"/>
        <v>0</v>
      </c>
      <c r="R131" s="10">
        <f t="shared" si="1595"/>
        <v>0</v>
      </c>
      <c r="S131" s="10">
        <f t="shared" si="1595"/>
        <v>0</v>
      </c>
      <c r="T131" s="10">
        <f t="shared" si="1595"/>
        <v>0</v>
      </c>
      <c r="U131" s="10">
        <f t="shared" si="1595"/>
        <v>0</v>
      </c>
      <c r="V131" s="10">
        <f t="shared" si="1595"/>
        <v>0</v>
      </c>
      <c r="W131" s="10">
        <f t="shared" si="1595"/>
        <v>0</v>
      </c>
      <c r="X131" s="10">
        <f t="shared" si="1595"/>
        <v>0</v>
      </c>
      <c r="Y131" s="10">
        <f t="shared" si="1595"/>
        <v>0</v>
      </c>
      <c r="Z131" s="10">
        <f t="shared" si="1595"/>
        <v>0</v>
      </c>
      <c r="AA131" s="10">
        <f t="shared" si="1595"/>
        <v>0</v>
      </c>
      <c r="AB131" s="10">
        <f t="shared" si="1595"/>
        <v>0</v>
      </c>
      <c r="AC131" s="10">
        <f t="shared" si="1595"/>
        <v>0</v>
      </c>
      <c r="AD131" s="10">
        <f t="shared" si="1595"/>
        <v>0</v>
      </c>
      <c r="AE131" s="10">
        <f t="shared" si="1595"/>
        <v>0</v>
      </c>
      <c r="AF131" s="10">
        <f t="shared" si="1595"/>
        <v>0</v>
      </c>
      <c r="AG131" s="10">
        <f t="shared" si="1595"/>
        <v>0</v>
      </c>
      <c r="AH131" s="10">
        <f t="shared" si="1595"/>
        <v>0</v>
      </c>
      <c r="AI131" s="10">
        <f t="shared" si="1595"/>
        <v>0</v>
      </c>
      <c r="AJ131" s="10">
        <f t="shared" si="1595"/>
        <v>0</v>
      </c>
      <c r="AK131" s="10">
        <f t="shared" si="1595"/>
        <v>0</v>
      </c>
      <c r="AL131" s="10">
        <f t="shared" si="1595"/>
        <v>0</v>
      </c>
      <c r="AM131" s="10">
        <f t="shared" si="1595"/>
        <v>0</v>
      </c>
      <c r="AN131" s="10">
        <f t="shared" si="1595"/>
        <v>0</v>
      </c>
      <c r="AO131" s="10">
        <f t="shared" si="1595"/>
        <v>0</v>
      </c>
      <c r="AP131" s="10">
        <f t="shared" si="1595"/>
        <v>0</v>
      </c>
      <c r="AQ131" s="10">
        <f t="shared" si="1595"/>
        <v>0</v>
      </c>
      <c r="AR131" s="10">
        <f t="shared" si="1595"/>
        <v>0</v>
      </c>
      <c r="AS131" s="10">
        <f t="shared" si="1595"/>
        <v>0</v>
      </c>
      <c r="AT131" s="10">
        <f t="shared" si="1595"/>
        <v>0</v>
      </c>
      <c r="AU131" s="10">
        <f t="shared" si="1595"/>
        <v>0</v>
      </c>
      <c r="AV131" s="10">
        <f t="shared" si="1595"/>
        <v>0</v>
      </c>
      <c r="AW131" s="10">
        <f t="shared" si="1595"/>
        <v>0</v>
      </c>
      <c r="AX131" s="10">
        <f t="shared" si="1595"/>
        <v>0</v>
      </c>
      <c r="AY131" s="10">
        <f t="shared" si="1595"/>
        <v>0</v>
      </c>
      <c r="AZ131" s="10">
        <f t="shared" si="1595"/>
        <v>0</v>
      </c>
      <c r="BA131" s="10">
        <f t="shared" si="1595"/>
        <v>0</v>
      </c>
      <c r="BB131" s="283">
        <f t="shared" si="1595"/>
        <v>0</v>
      </c>
    </row>
    <row r="132" spans="1:54" ht="15.75" thickBot="1">
      <c r="B132" s="492" t="s">
        <v>301</v>
      </c>
      <c r="C132" s="537"/>
      <c r="D132" s="493"/>
      <c r="E132" s="367" t="str">
        <f>IFERROR(E131/$C128,"-")</f>
        <v>-</v>
      </c>
      <c r="F132" s="367" t="str">
        <f>IFERROR(F131/$C128,"-")</f>
        <v>-</v>
      </c>
      <c r="G132" s="367" t="str">
        <f t="shared" ref="G132" si="1596">IFERROR(G131/$C128,"-")</f>
        <v>-</v>
      </c>
      <c r="H132" s="367" t="str">
        <f t="shared" ref="H132" si="1597">IFERROR(H131/$C128,"-")</f>
        <v>-</v>
      </c>
      <c r="I132" s="367" t="str">
        <f t="shared" ref="I132" si="1598">IFERROR(I131/$C128,"-")</f>
        <v>-</v>
      </c>
      <c r="J132" s="367" t="str">
        <f t="shared" ref="J132" si="1599">IFERROR(J131/$C128,"-")</f>
        <v>-</v>
      </c>
      <c r="K132" s="367" t="str">
        <f t="shared" ref="K132" si="1600">IFERROR(K131/$C128,"-")</f>
        <v>-</v>
      </c>
      <c r="L132" s="367" t="str">
        <f t="shared" ref="L132" si="1601">IFERROR(L131/$C128,"-")</f>
        <v>-</v>
      </c>
      <c r="M132" s="367" t="str">
        <f t="shared" ref="M132" si="1602">IFERROR(M131/$C128,"-")</f>
        <v>-</v>
      </c>
      <c r="N132" s="367" t="str">
        <f t="shared" ref="N132" si="1603">IFERROR(N131/$C128,"-")</f>
        <v>-</v>
      </c>
      <c r="O132" s="367" t="str">
        <f t="shared" ref="O132" si="1604">IFERROR(O131/$C128,"-")</f>
        <v>-</v>
      </c>
      <c r="P132" s="367" t="str">
        <f t="shared" ref="P132" si="1605">IFERROR(P131/$C128,"-")</f>
        <v>-</v>
      </c>
      <c r="Q132" s="367" t="str">
        <f t="shared" ref="Q132" si="1606">IFERROR(Q131/$C128,"-")</f>
        <v>-</v>
      </c>
      <c r="R132" s="367" t="str">
        <f t="shared" ref="R132" si="1607">IFERROR(R131/$C128,"-")</f>
        <v>-</v>
      </c>
      <c r="S132" s="367" t="str">
        <f t="shared" ref="S132" si="1608">IFERROR(S131/$C128,"-")</f>
        <v>-</v>
      </c>
      <c r="T132" s="367" t="str">
        <f t="shared" ref="T132" si="1609">IFERROR(T131/$C128,"-")</f>
        <v>-</v>
      </c>
      <c r="U132" s="367" t="str">
        <f t="shared" ref="U132" si="1610">IFERROR(U131/$C128,"-")</f>
        <v>-</v>
      </c>
      <c r="V132" s="367" t="str">
        <f t="shared" ref="V132" si="1611">IFERROR(V131/$C128,"-")</f>
        <v>-</v>
      </c>
      <c r="W132" s="367" t="str">
        <f t="shared" ref="W132" si="1612">IFERROR(W131/$C128,"-")</f>
        <v>-</v>
      </c>
      <c r="X132" s="367" t="str">
        <f t="shared" ref="X132" si="1613">IFERROR(X131/$C128,"-")</f>
        <v>-</v>
      </c>
      <c r="Y132" s="367" t="str">
        <f t="shared" ref="Y132" si="1614">IFERROR(Y131/$C128,"-")</f>
        <v>-</v>
      </c>
      <c r="Z132" s="367" t="str">
        <f t="shared" ref="Z132" si="1615">IFERROR(Z131/$C128,"-")</f>
        <v>-</v>
      </c>
      <c r="AA132" s="367" t="str">
        <f t="shared" ref="AA132" si="1616">IFERROR(AA131/$C128,"-")</f>
        <v>-</v>
      </c>
      <c r="AB132" s="367" t="str">
        <f t="shared" ref="AB132" si="1617">IFERROR(AB131/$C128,"-")</f>
        <v>-</v>
      </c>
      <c r="AC132" s="367" t="str">
        <f t="shared" ref="AC132" si="1618">IFERROR(AC131/$C128,"-")</f>
        <v>-</v>
      </c>
      <c r="AD132" s="367" t="str">
        <f t="shared" ref="AD132" si="1619">IFERROR(AD131/$C128,"-")</f>
        <v>-</v>
      </c>
      <c r="AE132" s="367" t="str">
        <f t="shared" ref="AE132" si="1620">IFERROR(AE131/$C128,"-")</f>
        <v>-</v>
      </c>
      <c r="AF132" s="367" t="str">
        <f t="shared" ref="AF132" si="1621">IFERROR(AF131/$C128,"-")</f>
        <v>-</v>
      </c>
      <c r="AG132" s="367" t="str">
        <f t="shared" ref="AG132" si="1622">IFERROR(AG131/$C128,"-")</f>
        <v>-</v>
      </c>
      <c r="AH132" s="367" t="str">
        <f t="shared" ref="AH132" si="1623">IFERROR(AH131/$C128,"-")</f>
        <v>-</v>
      </c>
      <c r="AI132" s="367" t="str">
        <f t="shared" ref="AI132" si="1624">IFERROR(AI131/$C128,"-")</f>
        <v>-</v>
      </c>
      <c r="AJ132" s="367" t="str">
        <f t="shared" ref="AJ132" si="1625">IFERROR(AJ131/$C128,"-")</f>
        <v>-</v>
      </c>
      <c r="AK132" s="367" t="str">
        <f t="shared" ref="AK132" si="1626">IFERROR(AK131/$C128,"-")</f>
        <v>-</v>
      </c>
      <c r="AL132" s="367" t="str">
        <f t="shared" ref="AL132" si="1627">IFERROR(AL131/$C128,"-")</f>
        <v>-</v>
      </c>
      <c r="AM132" s="367" t="str">
        <f t="shared" ref="AM132" si="1628">IFERROR(AM131/$C128,"-")</f>
        <v>-</v>
      </c>
      <c r="AN132" s="367" t="str">
        <f t="shared" ref="AN132" si="1629">IFERROR(AN131/$C128,"-")</f>
        <v>-</v>
      </c>
      <c r="AO132" s="367" t="str">
        <f t="shared" ref="AO132" si="1630">IFERROR(AO131/$C128,"-")</f>
        <v>-</v>
      </c>
      <c r="AP132" s="367" t="str">
        <f t="shared" ref="AP132" si="1631">IFERROR(AP131/$C128,"-")</f>
        <v>-</v>
      </c>
      <c r="AQ132" s="367" t="str">
        <f t="shared" ref="AQ132" si="1632">IFERROR(AQ131/$C128,"-")</f>
        <v>-</v>
      </c>
      <c r="AR132" s="367" t="str">
        <f t="shared" ref="AR132" si="1633">IFERROR(AR131/$C128,"-")</f>
        <v>-</v>
      </c>
      <c r="AS132" s="367" t="str">
        <f t="shared" ref="AS132" si="1634">IFERROR(AS131/$C128,"-")</f>
        <v>-</v>
      </c>
      <c r="AT132" s="367" t="str">
        <f t="shared" ref="AT132" si="1635">IFERROR(AT131/$C128,"-")</f>
        <v>-</v>
      </c>
      <c r="AU132" s="367" t="str">
        <f t="shared" ref="AU132" si="1636">IFERROR(AU131/$C128,"-")</f>
        <v>-</v>
      </c>
      <c r="AV132" s="367" t="str">
        <f t="shared" ref="AV132" si="1637">IFERROR(AV131/$C128,"-")</f>
        <v>-</v>
      </c>
      <c r="AW132" s="367" t="str">
        <f t="shared" ref="AW132" si="1638">IFERROR(AW131/$C128,"-")</f>
        <v>-</v>
      </c>
      <c r="AX132" s="367" t="str">
        <f t="shared" ref="AX132" si="1639">IFERROR(AX131/$C128,"-")</f>
        <v>-</v>
      </c>
      <c r="AY132" s="367" t="str">
        <f t="shared" ref="AY132" si="1640">IFERROR(AY131/$C128,"-")</f>
        <v>-</v>
      </c>
      <c r="AZ132" s="367" t="str">
        <f t="shared" ref="AZ132" si="1641">IFERROR(AZ131/$C128,"-")</f>
        <v>-</v>
      </c>
      <c r="BA132" s="367" t="str">
        <f t="shared" ref="BA132" si="1642">IFERROR(BA131/$C128,"-")</f>
        <v>-</v>
      </c>
      <c r="BB132" s="368" t="str">
        <f t="shared" ref="BB132" si="1643">IFERROR(BB131/$C128,"-")</f>
        <v>-</v>
      </c>
    </row>
    <row r="133" spans="1:54" ht="17.25" customHeight="1" thickBot="1">
      <c r="J133" s="6"/>
      <c r="K133" s="6"/>
      <c r="L133" s="6"/>
      <c r="M133" s="6"/>
      <c r="O133" s="5"/>
      <c r="P133" s="5"/>
      <c r="Q133" s="5"/>
      <c r="R133" s="5"/>
    </row>
    <row r="134" spans="1:54" ht="18" thickBot="1">
      <c r="A134"/>
      <c r="B134" s="533" t="s">
        <v>313</v>
      </c>
      <c r="C134" s="534"/>
      <c r="D134" s="32"/>
      <c r="E134" s="275"/>
      <c r="J134" s="6"/>
      <c r="K134" s="6"/>
      <c r="L134" s="6"/>
      <c r="M134" s="6"/>
    </row>
    <row r="135" spans="1:54" ht="15.75" thickBot="1">
      <c r="B135" s="360" t="s">
        <v>11</v>
      </c>
      <c r="C135" s="369">
        <v>0</v>
      </c>
      <c r="D135" s="364"/>
      <c r="E135" s="365">
        <f t="shared" ref="E135:AJ135" si="1644">E$9</f>
        <v>2024</v>
      </c>
      <c r="F135" s="279">
        <f t="shared" si="1644"/>
        <v>2025</v>
      </c>
      <c r="G135" s="279">
        <f t="shared" si="1644"/>
        <v>2026</v>
      </c>
      <c r="H135" s="279">
        <f t="shared" si="1644"/>
        <v>2027</v>
      </c>
      <c r="I135" s="279">
        <f t="shared" si="1644"/>
        <v>2028</v>
      </c>
      <c r="J135" s="279">
        <f t="shared" si="1644"/>
        <v>2029</v>
      </c>
      <c r="K135" s="279">
        <f t="shared" si="1644"/>
        <v>2030</v>
      </c>
      <c r="L135" s="279">
        <f t="shared" si="1644"/>
        <v>2031</v>
      </c>
      <c r="M135" s="279">
        <f t="shared" si="1644"/>
        <v>2032</v>
      </c>
      <c r="N135" s="279">
        <f t="shared" si="1644"/>
        <v>2033</v>
      </c>
      <c r="O135" s="279">
        <f t="shared" si="1644"/>
        <v>2034</v>
      </c>
      <c r="P135" s="279">
        <f t="shared" si="1644"/>
        <v>2035</v>
      </c>
      <c r="Q135" s="279">
        <f t="shared" si="1644"/>
        <v>2036</v>
      </c>
      <c r="R135" s="279">
        <f t="shared" si="1644"/>
        <v>2037</v>
      </c>
      <c r="S135" s="279">
        <f t="shared" si="1644"/>
        <v>2038</v>
      </c>
      <c r="T135" s="279">
        <f t="shared" si="1644"/>
        <v>2039</v>
      </c>
      <c r="U135" s="279">
        <f t="shared" si="1644"/>
        <v>2040</v>
      </c>
      <c r="V135" s="279">
        <f t="shared" si="1644"/>
        <v>2041</v>
      </c>
      <c r="W135" s="279">
        <f t="shared" si="1644"/>
        <v>2042</v>
      </c>
      <c r="X135" s="279">
        <f t="shared" si="1644"/>
        <v>2043</v>
      </c>
      <c r="Y135" s="279">
        <f t="shared" si="1644"/>
        <v>2044</v>
      </c>
      <c r="Z135" s="279">
        <f t="shared" si="1644"/>
        <v>2045</v>
      </c>
      <c r="AA135" s="279">
        <f t="shared" si="1644"/>
        <v>2046</v>
      </c>
      <c r="AB135" s="279">
        <f t="shared" si="1644"/>
        <v>2047</v>
      </c>
      <c r="AC135" s="279">
        <f t="shared" si="1644"/>
        <v>2048</v>
      </c>
      <c r="AD135" s="279">
        <f t="shared" si="1644"/>
        <v>2049</v>
      </c>
      <c r="AE135" s="279">
        <f t="shared" si="1644"/>
        <v>2050</v>
      </c>
      <c r="AF135" s="279">
        <f t="shared" si="1644"/>
        <v>2051</v>
      </c>
      <c r="AG135" s="279">
        <f t="shared" si="1644"/>
        <v>2052</v>
      </c>
      <c r="AH135" s="279">
        <f t="shared" si="1644"/>
        <v>2053</v>
      </c>
      <c r="AI135" s="279">
        <f t="shared" si="1644"/>
        <v>2054</v>
      </c>
      <c r="AJ135" s="279">
        <f t="shared" si="1644"/>
        <v>2055</v>
      </c>
      <c r="AK135" s="279">
        <f t="shared" ref="AK135:BB135" si="1645">AK$9</f>
        <v>2056</v>
      </c>
      <c r="AL135" s="279">
        <f t="shared" si="1645"/>
        <v>2057</v>
      </c>
      <c r="AM135" s="279">
        <f t="shared" si="1645"/>
        <v>2058</v>
      </c>
      <c r="AN135" s="279">
        <f t="shared" si="1645"/>
        <v>2059</v>
      </c>
      <c r="AO135" s="279">
        <f t="shared" si="1645"/>
        <v>2060</v>
      </c>
      <c r="AP135" s="279">
        <f t="shared" si="1645"/>
        <v>2061</v>
      </c>
      <c r="AQ135" s="279">
        <f t="shared" si="1645"/>
        <v>2062</v>
      </c>
      <c r="AR135" s="279">
        <f t="shared" si="1645"/>
        <v>2063</v>
      </c>
      <c r="AS135" s="279">
        <f t="shared" si="1645"/>
        <v>2064</v>
      </c>
      <c r="AT135" s="279">
        <f t="shared" si="1645"/>
        <v>2065</v>
      </c>
      <c r="AU135" s="279">
        <f t="shared" si="1645"/>
        <v>2066</v>
      </c>
      <c r="AV135" s="279">
        <f t="shared" si="1645"/>
        <v>2067</v>
      </c>
      <c r="AW135" s="279">
        <f t="shared" si="1645"/>
        <v>2068</v>
      </c>
      <c r="AX135" s="279">
        <f t="shared" si="1645"/>
        <v>2069</v>
      </c>
      <c r="AY135" s="279">
        <f t="shared" si="1645"/>
        <v>2070</v>
      </c>
      <c r="AZ135" s="279">
        <f t="shared" si="1645"/>
        <v>2071</v>
      </c>
      <c r="BA135" s="279">
        <f t="shared" si="1645"/>
        <v>2072</v>
      </c>
      <c r="BB135" s="280">
        <f t="shared" si="1645"/>
        <v>2073</v>
      </c>
    </row>
    <row r="136" spans="1:54">
      <c r="A136"/>
      <c r="B136" s="485" t="s">
        <v>261</v>
      </c>
      <c r="C136" s="535"/>
      <c r="D136" s="486"/>
      <c r="E136" s="307">
        <v>0</v>
      </c>
      <c r="F136" s="281">
        <f>E138</f>
        <v>0</v>
      </c>
      <c r="G136" s="281">
        <f t="shared" ref="G136" si="1646">F138</f>
        <v>0</v>
      </c>
      <c r="H136" s="281">
        <f t="shared" ref="H136" si="1647">G138</f>
        <v>0</v>
      </c>
      <c r="I136" s="281">
        <f t="shared" ref="I136" si="1648">H138</f>
        <v>0</v>
      </c>
      <c r="J136" s="281">
        <f t="shared" ref="J136" si="1649">I138</f>
        <v>0</v>
      </c>
      <c r="K136" s="281">
        <f t="shared" ref="K136" si="1650">J138</f>
        <v>0</v>
      </c>
      <c r="L136" s="281">
        <f t="shared" ref="L136" si="1651">K138</f>
        <v>0</v>
      </c>
      <c r="M136" s="281">
        <f t="shared" ref="M136" si="1652">L138</f>
        <v>0</v>
      </c>
      <c r="N136" s="281">
        <f t="shared" ref="N136" si="1653">M138</f>
        <v>0</v>
      </c>
      <c r="O136" s="281">
        <f t="shared" ref="O136" si="1654">N138</f>
        <v>0</v>
      </c>
      <c r="P136" s="281">
        <f t="shared" ref="P136" si="1655">O138</f>
        <v>0</v>
      </c>
      <c r="Q136" s="281">
        <f t="shared" ref="Q136" si="1656">P138</f>
        <v>0</v>
      </c>
      <c r="R136" s="281">
        <f t="shared" ref="R136" si="1657">Q138</f>
        <v>0</v>
      </c>
      <c r="S136" s="281">
        <f t="shared" ref="S136" si="1658">R138</f>
        <v>0</v>
      </c>
      <c r="T136" s="281">
        <f t="shared" ref="T136" si="1659">S138</f>
        <v>0</v>
      </c>
      <c r="U136" s="281">
        <f t="shared" ref="U136" si="1660">T138</f>
        <v>0</v>
      </c>
      <c r="V136" s="281">
        <f t="shared" ref="V136" si="1661">U138</f>
        <v>0</v>
      </c>
      <c r="W136" s="281">
        <f t="shared" ref="W136" si="1662">V138</f>
        <v>0</v>
      </c>
      <c r="X136" s="281">
        <f t="shared" ref="X136" si="1663">W138</f>
        <v>0</v>
      </c>
      <c r="Y136" s="281">
        <f t="shared" ref="Y136" si="1664">X138</f>
        <v>0</v>
      </c>
      <c r="Z136" s="281">
        <f t="shared" ref="Z136" si="1665">Y138</f>
        <v>0</v>
      </c>
      <c r="AA136" s="281">
        <f t="shared" ref="AA136" si="1666">Z138</f>
        <v>0</v>
      </c>
      <c r="AB136" s="281">
        <f t="shared" ref="AB136" si="1667">AA138</f>
        <v>0</v>
      </c>
      <c r="AC136" s="281">
        <f t="shared" ref="AC136" si="1668">AB138</f>
        <v>0</v>
      </c>
      <c r="AD136" s="281">
        <f t="shared" ref="AD136" si="1669">AC138</f>
        <v>0</v>
      </c>
      <c r="AE136" s="281">
        <f t="shared" ref="AE136" si="1670">AD138</f>
        <v>0</v>
      </c>
      <c r="AF136" s="281">
        <f t="shared" ref="AF136" si="1671">AE138</f>
        <v>0</v>
      </c>
      <c r="AG136" s="281">
        <f t="shared" ref="AG136" si="1672">AF138</f>
        <v>0</v>
      </c>
      <c r="AH136" s="281">
        <f t="shared" ref="AH136" si="1673">AG138</f>
        <v>0</v>
      </c>
      <c r="AI136" s="281">
        <f t="shared" ref="AI136" si="1674">AH138</f>
        <v>0</v>
      </c>
      <c r="AJ136" s="281">
        <f t="shared" ref="AJ136" si="1675">AI138</f>
        <v>0</v>
      </c>
      <c r="AK136" s="281">
        <f t="shared" ref="AK136" si="1676">AJ138</f>
        <v>0</v>
      </c>
      <c r="AL136" s="281">
        <f t="shared" ref="AL136" si="1677">AK138</f>
        <v>0</v>
      </c>
      <c r="AM136" s="281">
        <f t="shared" ref="AM136" si="1678">AL138</f>
        <v>0</v>
      </c>
      <c r="AN136" s="281">
        <f t="shared" ref="AN136" si="1679">AM138</f>
        <v>0</v>
      </c>
      <c r="AO136" s="281">
        <f t="shared" ref="AO136" si="1680">AN138</f>
        <v>0</v>
      </c>
      <c r="AP136" s="281">
        <f t="shared" ref="AP136" si="1681">AO138</f>
        <v>0</v>
      </c>
      <c r="AQ136" s="281">
        <f t="shared" ref="AQ136" si="1682">AP138</f>
        <v>0</v>
      </c>
      <c r="AR136" s="281">
        <f t="shared" ref="AR136" si="1683">AQ138</f>
        <v>0</v>
      </c>
      <c r="AS136" s="281">
        <f t="shared" ref="AS136" si="1684">AR138</f>
        <v>0</v>
      </c>
      <c r="AT136" s="281">
        <f t="shared" ref="AT136" si="1685">AS138</f>
        <v>0</v>
      </c>
      <c r="AU136" s="281">
        <f t="shared" ref="AU136" si="1686">AT138</f>
        <v>0</v>
      </c>
      <c r="AV136" s="281">
        <f t="shared" ref="AV136" si="1687">AU138</f>
        <v>0</v>
      </c>
      <c r="AW136" s="281">
        <f t="shared" ref="AW136" si="1688">AV138</f>
        <v>0</v>
      </c>
      <c r="AX136" s="281">
        <f t="shared" ref="AX136" si="1689">AW138</f>
        <v>0</v>
      </c>
      <c r="AY136" s="281">
        <f t="shared" ref="AY136" si="1690">AX138</f>
        <v>0</v>
      </c>
      <c r="AZ136" s="281">
        <f t="shared" ref="AZ136" si="1691">AY138</f>
        <v>0</v>
      </c>
      <c r="BA136" s="281">
        <f t="shared" ref="BA136" si="1692">AZ138</f>
        <v>0</v>
      </c>
      <c r="BB136" s="282">
        <f t="shared" ref="BB136" si="1693">BA138</f>
        <v>0</v>
      </c>
    </row>
    <row r="137" spans="1:54">
      <c r="A137"/>
      <c r="B137" s="479" t="s">
        <v>99</v>
      </c>
      <c r="C137" s="536"/>
      <c r="D137" s="480"/>
      <c r="E137" s="289">
        <f>Cockpit!$H$31</f>
        <v>0.03</v>
      </c>
      <c r="F137" s="289">
        <f>Cockpit!$H$31</f>
        <v>0.03</v>
      </c>
      <c r="G137" s="289">
        <f>Cockpit!$H$31</f>
        <v>0.03</v>
      </c>
      <c r="H137" s="289">
        <f>Cockpit!$H$31</f>
        <v>0.03</v>
      </c>
      <c r="I137" s="289">
        <f>Cockpit!$H$31</f>
        <v>0.03</v>
      </c>
      <c r="J137" s="289">
        <f>Cockpit!$H$31</f>
        <v>0.03</v>
      </c>
      <c r="K137" s="289">
        <f>Cockpit!$H$31</f>
        <v>0.03</v>
      </c>
      <c r="L137" s="289">
        <f>Cockpit!$H$31</f>
        <v>0.03</v>
      </c>
      <c r="M137" s="289">
        <f>Cockpit!$H$31</f>
        <v>0.03</v>
      </c>
      <c r="N137" s="289">
        <f>Cockpit!$H$31</f>
        <v>0.03</v>
      </c>
      <c r="O137" s="289">
        <f>Cockpit!$H$31</f>
        <v>0.03</v>
      </c>
      <c r="P137" s="289">
        <f>Cockpit!$H$31</f>
        <v>0.03</v>
      </c>
      <c r="Q137" s="289">
        <f>Cockpit!$H$31</f>
        <v>0.03</v>
      </c>
      <c r="R137" s="289">
        <f>Cockpit!$H$31</f>
        <v>0.03</v>
      </c>
      <c r="S137" s="289">
        <f>Cockpit!$H$31</f>
        <v>0.03</v>
      </c>
      <c r="T137" s="289">
        <f>Cockpit!$H$31</f>
        <v>0.03</v>
      </c>
      <c r="U137" s="289">
        <f>Cockpit!$H$31</f>
        <v>0.03</v>
      </c>
      <c r="V137" s="289">
        <f>Cockpit!$H$31</f>
        <v>0.03</v>
      </c>
      <c r="W137" s="289">
        <f>Cockpit!$H$31</f>
        <v>0.03</v>
      </c>
      <c r="X137" s="289">
        <f>Cockpit!$H$31</f>
        <v>0.03</v>
      </c>
      <c r="Y137" s="289">
        <f>Cockpit!$H$31</f>
        <v>0.03</v>
      </c>
      <c r="Z137" s="289">
        <f>Cockpit!$H$31</f>
        <v>0.03</v>
      </c>
      <c r="AA137" s="289">
        <f>Cockpit!$H$31</f>
        <v>0.03</v>
      </c>
      <c r="AB137" s="289">
        <f>Cockpit!$H$31</f>
        <v>0.03</v>
      </c>
      <c r="AC137" s="289">
        <f>Cockpit!$H$31</f>
        <v>0.03</v>
      </c>
      <c r="AD137" s="289">
        <f>Cockpit!$H$31</f>
        <v>0.03</v>
      </c>
      <c r="AE137" s="289">
        <f>Cockpit!$H$31</f>
        <v>0.03</v>
      </c>
      <c r="AF137" s="289">
        <f>Cockpit!$H$31</f>
        <v>0.03</v>
      </c>
      <c r="AG137" s="289">
        <f>Cockpit!$H$31</f>
        <v>0.03</v>
      </c>
      <c r="AH137" s="289">
        <f>Cockpit!$H$31</f>
        <v>0.03</v>
      </c>
      <c r="AI137" s="289">
        <f>Cockpit!$H$31</f>
        <v>0.03</v>
      </c>
      <c r="AJ137" s="289">
        <f>Cockpit!$H$31</f>
        <v>0.03</v>
      </c>
      <c r="AK137" s="289">
        <f>Cockpit!$H$31</f>
        <v>0.03</v>
      </c>
      <c r="AL137" s="289">
        <f>Cockpit!$H$31</f>
        <v>0.03</v>
      </c>
      <c r="AM137" s="289">
        <f>Cockpit!$H$31</f>
        <v>0.03</v>
      </c>
      <c r="AN137" s="289">
        <f>Cockpit!$H$31</f>
        <v>0.03</v>
      </c>
      <c r="AO137" s="289">
        <f>Cockpit!$H$31</f>
        <v>0.03</v>
      </c>
      <c r="AP137" s="289">
        <f>Cockpit!$H$31</f>
        <v>0.03</v>
      </c>
      <c r="AQ137" s="289">
        <f>Cockpit!$H$31</f>
        <v>0.03</v>
      </c>
      <c r="AR137" s="289">
        <f>Cockpit!$H$31</f>
        <v>0.03</v>
      </c>
      <c r="AS137" s="289">
        <f>Cockpit!$H$31</f>
        <v>0.03</v>
      </c>
      <c r="AT137" s="289">
        <f>Cockpit!$H$31</f>
        <v>0.03</v>
      </c>
      <c r="AU137" s="289">
        <f>Cockpit!$H$31</f>
        <v>0.03</v>
      </c>
      <c r="AV137" s="289">
        <f>Cockpit!$H$31</f>
        <v>0.03</v>
      </c>
      <c r="AW137" s="289">
        <f>Cockpit!$H$31</f>
        <v>0.03</v>
      </c>
      <c r="AX137" s="289">
        <f>Cockpit!$H$31</f>
        <v>0.03</v>
      </c>
      <c r="AY137" s="289">
        <f>Cockpit!$H$31</f>
        <v>0.03</v>
      </c>
      <c r="AZ137" s="289">
        <f>Cockpit!$H$31</f>
        <v>0.03</v>
      </c>
      <c r="BA137" s="289">
        <f>Cockpit!$H$31</f>
        <v>0.03</v>
      </c>
      <c r="BB137" s="290">
        <f>Cockpit!$H$31</f>
        <v>0.03</v>
      </c>
    </row>
    <row r="138" spans="1:54">
      <c r="B138" s="479" t="s">
        <v>67</v>
      </c>
      <c r="C138" s="536"/>
      <c r="D138" s="480"/>
      <c r="E138" s="10">
        <f t="shared" ref="E138:BB138" si="1694">E136*(1+E137)</f>
        <v>0</v>
      </c>
      <c r="F138" s="10">
        <f t="shared" si="1694"/>
        <v>0</v>
      </c>
      <c r="G138" s="10">
        <f t="shared" si="1694"/>
        <v>0</v>
      </c>
      <c r="H138" s="10">
        <f t="shared" si="1694"/>
        <v>0</v>
      </c>
      <c r="I138" s="10">
        <f t="shared" si="1694"/>
        <v>0</v>
      </c>
      <c r="J138" s="10">
        <f t="shared" si="1694"/>
        <v>0</v>
      </c>
      <c r="K138" s="10">
        <f t="shared" si="1694"/>
        <v>0</v>
      </c>
      <c r="L138" s="10">
        <f t="shared" si="1694"/>
        <v>0</v>
      </c>
      <c r="M138" s="10">
        <f t="shared" si="1694"/>
        <v>0</v>
      </c>
      <c r="N138" s="10">
        <f t="shared" si="1694"/>
        <v>0</v>
      </c>
      <c r="O138" s="10">
        <f t="shared" si="1694"/>
        <v>0</v>
      </c>
      <c r="P138" s="10">
        <f t="shared" si="1694"/>
        <v>0</v>
      </c>
      <c r="Q138" s="10">
        <f t="shared" si="1694"/>
        <v>0</v>
      </c>
      <c r="R138" s="10">
        <f t="shared" si="1694"/>
        <v>0</v>
      </c>
      <c r="S138" s="10">
        <f t="shared" si="1694"/>
        <v>0</v>
      </c>
      <c r="T138" s="10">
        <f t="shared" si="1694"/>
        <v>0</v>
      </c>
      <c r="U138" s="10">
        <f t="shared" si="1694"/>
        <v>0</v>
      </c>
      <c r="V138" s="10">
        <f t="shared" si="1694"/>
        <v>0</v>
      </c>
      <c r="W138" s="10">
        <f t="shared" si="1694"/>
        <v>0</v>
      </c>
      <c r="X138" s="10">
        <f t="shared" si="1694"/>
        <v>0</v>
      </c>
      <c r="Y138" s="10">
        <f t="shared" si="1694"/>
        <v>0</v>
      </c>
      <c r="Z138" s="10">
        <f t="shared" si="1694"/>
        <v>0</v>
      </c>
      <c r="AA138" s="10">
        <f t="shared" si="1694"/>
        <v>0</v>
      </c>
      <c r="AB138" s="10">
        <f t="shared" si="1694"/>
        <v>0</v>
      </c>
      <c r="AC138" s="10">
        <f t="shared" si="1694"/>
        <v>0</v>
      </c>
      <c r="AD138" s="10">
        <f t="shared" si="1694"/>
        <v>0</v>
      </c>
      <c r="AE138" s="10">
        <f t="shared" si="1694"/>
        <v>0</v>
      </c>
      <c r="AF138" s="10">
        <f t="shared" si="1694"/>
        <v>0</v>
      </c>
      <c r="AG138" s="10">
        <f t="shared" si="1694"/>
        <v>0</v>
      </c>
      <c r="AH138" s="10">
        <f t="shared" si="1694"/>
        <v>0</v>
      </c>
      <c r="AI138" s="10">
        <f t="shared" si="1694"/>
        <v>0</v>
      </c>
      <c r="AJ138" s="10">
        <f t="shared" si="1694"/>
        <v>0</v>
      </c>
      <c r="AK138" s="10">
        <f t="shared" si="1694"/>
        <v>0</v>
      </c>
      <c r="AL138" s="10">
        <f t="shared" si="1694"/>
        <v>0</v>
      </c>
      <c r="AM138" s="10">
        <f t="shared" si="1694"/>
        <v>0</v>
      </c>
      <c r="AN138" s="10">
        <f t="shared" si="1694"/>
        <v>0</v>
      </c>
      <c r="AO138" s="10">
        <f t="shared" si="1694"/>
        <v>0</v>
      </c>
      <c r="AP138" s="10">
        <f t="shared" si="1694"/>
        <v>0</v>
      </c>
      <c r="AQ138" s="10">
        <f t="shared" si="1694"/>
        <v>0</v>
      </c>
      <c r="AR138" s="10">
        <f t="shared" si="1694"/>
        <v>0</v>
      </c>
      <c r="AS138" s="10">
        <f t="shared" si="1694"/>
        <v>0</v>
      </c>
      <c r="AT138" s="10">
        <f t="shared" si="1694"/>
        <v>0</v>
      </c>
      <c r="AU138" s="10">
        <f t="shared" si="1694"/>
        <v>0</v>
      </c>
      <c r="AV138" s="10">
        <f t="shared" si="1694"/>
        <v>0</v>
      </c>
      <c r="AW138" s="10">
        <f t="shared" si="1694"/>
        <v>0</v>
      </c>
      <c r="AX138" s="10">
        <f t="shared" si="1694"/>
        <v>0</v>
      </c>
      <c r="AY138" s="10">
        <f t="shared" si="1694"/>
        <v>0</v>
      </c>
      <c r="AZ138" s="10">
        <f t="shared" si="1694"/>
        <v>0</v>
      </c>
      <c r="BA138" s="10">
        <f t="shared" si="1694"/>
        <v>0</v>
      </c>
      <c r="BB138" s="283">
        <f t="shared" si="1694"/>
        <v>0</v>
      </c>
    </row>
    <row r="139" spans="1:54" ht="15.75" thickBot="1">
      <c r="B139" s="492" t="s">
        <v>301</v>
      </c>
      <c r="C139" s="537"/>
      <c r="D139" s="493"/>
      <c r="E139" s="367" t="str">
        <f>IFERROR(E138/$C135,"-")</f>
        <v>-</v>
      </c>
      <c r="F139" s="367" t="str">
        <f>IFERROR(F138/$C135,"-")</f>
        <v>-</v>
      </c>
      <c r="G139" s="367" t="str">
        <f t="shared" ref="G139" si="1695">IFERROR(G138/$C135,"-")</f>
        <v>-</v>
      </c>
      <c r="H139" s="367" t="str">
        <f t="shared" ref="H139" si="1696">IFERROR(H138/$C135,"-")</f>
        <v>-</v>
      </c>
      <c r="I139" s="367" t="str">
        <f t="shared" ref="I139" si="1697">IFERROR(I138/$C135,"-")</f>
        <v>-</v>
      </c>
      <c r="J139" s="367" t="str">
        <f t="shared" ref="J139" si="1698">IFERROR(J138/$C135,"-")</f>
        <v>-</v>
      </c>
      <c r="K139" s="367" t="str">
        <f t="shared" ref="K139" si="1699">IFERROR(K138/$C135,"-")</f>
        <v>-</v>
      </c>
      <c r="L139" s="367" t="str">
        <f t="shared" ref="L139" si="1700">IFERROR(L138/$C135,"-")</f>
        <v>-</v>
      </c>
      <c r="M139" s="367" t="str">
        <f t="shared" ref="M139" si="1701">IFERROR(M138/$C135,"-")</f>
        <v>-</v>
      </c>
      <c r="N139" s="367" t="str">
        <f t="shared" ref="N139" si="1702">IFERROR(N138/$C135,"-")</f>
        <v>-</v>
      </c>
      <c r="O139" s="367" t="str">
        <f t="shared" ref="O139" si="1703">IFERROR(O138/$C135,"-")</f>
        <v>-</v>
      </c>
      <c r="P139" s="367" t="str">
        <f t="shared" ref="P139" si="1704">IFERROR(P138/$C135,"-")</f>
        <v>-</v>
      </c>
      <c r="Q139" s="367" t="str">
        <f t="shared" ref="Q139" si="1705">IFERROR(Q138/$C135,"-")</f>
        <v>-</v>
      </c>
      <c r="R139" s="367" t="str">
        <f t="shared" ref="R139" si="1706">IFERROR(R138/$C135,"-")</f>
        <v>-</v>
      </c>
      <c r="S139" s="367" t="str">
        <f t="shared" ref="S139" si="1707">IFERROR(S138/$C135,"-")</f>
        <v>-</v>
      </c>
      <c r="T139" s="367" t="str">
        <f t="shared" ref="T139" si="1708">IFERROR(T138/$C135,"-")</f>
        <v>-</v>
      </c>
      <c r="U139" s="367" t="str">
        <f t="shared" ref="U139" si="1709">IFERROR(U138/$C135,"-")</f>
        <v>-</v>
      </c>
      <c r="V139" s="367" t="str">
        <f t="shared" ref="V139" si="1710">IFERROR(V138/$C135,"-")</f>
        <v>-</v>
      </c>
      <c r="W139" s="367" t="str">
        <f t="shared" ref="W139" si="1711">IFERROR(W138/$C135,"-")</f>
        <v>-</v>
      </c>
      <c r="X139" s="367" t="str">
        <f t="shared" ref="X139" si="1712">IFERROR(X138/$C135,"-")</f>
        <v>-</v>
      </c>
      <c r="Y139" s="367" t="str">
        <f t="shared" ref="Y139" si="1713">IFERROR(Y138/$C135,"-")</f>
        <v>-</v>
      </c>
      <c r="Z139" s="367" t="str">
        <f t="shared" ref="Z139" si="1714">IFERROR(Z138/$C135,"-")</f>
        <v>-</v>
      </c>
      <c r="AA139" s="367" t="str">
        <f t="shared" ref="AA139" si="1715">IFERROR(AA138/$C135,"-")</f>
        <v>-</v>
      </c>
      <c r="AB139" s="367" t="str">
        <f t="shared" ref="AB139" si="1716">IFERROR(AB138/$C135,"-")</f>
        <v>-</v>
      </c>
      <c r="AC139" s="367" t="str">
        <f t="shared" ref="AC139" si="1717">IFERROR(AC138/$C135,"-")</f>
        <v>-</v>
      </c>
      <c r="AD139" s="367" t="str">
        <f t="shared" ref="AD139" si="1718">IFERROR(AD138/$C135,"-")</f>
        <v>-</v>
      </c>
      <c r="AE139" s="367" t="str">
        <f t="shared" ref="AE139" si="1719">IFERROR(AE138/$C135,"-")</f>
        <v>-</v>
      </c>
      <c r="AF139" s="367" t="str">
        <f t="shared" ref="AF139" si="1720">IFERROR(AF138/$C135,"-")</f>
        <v>-</v>
      </c>
      <c r="AG139" s="367" t="str">
        <f t="shared" ref="AG139" si="1721">IFERROR(AG138/$C135,"-")</f>
        <v>-</v>
      </c>
      <c r="AH139" s="367" t="str">
        <f t="shared" ref="AH139" si="1722">IFERROR(AH138/$C135,"-")</f>
        <v>-</v>
      </c>
      <c r="AI139" s="367" t="str">
        <f t="shared" ref="AI139" si="1723">IFERROR(AI138/$C135,"-")</f>
        <v>-</v>
      </c>
      <c r="AJ139" s="367" t="str">
        <f t="shared" ref="AJ139" si="1724">IFERROR(AJ138/$C135,"-")</f>
        <v>-</v>
      </c>
      <c r="AK139" s="367" t="str">
        <f t="shared" ref="AK139" si="1725">IFERROR(AK138/$C135,"-")</f>
        <v>-</v>
      </c>
      <c r="AL139" s="367" t="str">
        <f t="shared" ref="AL139" si="1726">IFERROR(AL138/$C135,"-")</f>
        <v>-</v>
      </c>
      <c r="AM139" s="367" t="str">
        <f t="shared" ref="AM139" si="1727">IFERROR(AM138/$C135,"-")</f>
        <v>-</v>
      </c>
      <c r="AN139" s="367" t="str">
        <f t="shared" ref="AN139" si="1728">IFERROR(AN138/$C135,"-")</f>
        <v>-</v>
      </c>
      <c r="AO139" s="367" t="str">
        <f t="shared" ref="AO139" si="1729">IFERROR(AO138/$C135,"-")</f>
        <v>-</v>
      </c>
      <c r="AP139" s="367" t="str">
        <f t="shared" ref="AP139" si="1730">IFERROR(AP138/$C135,"-")</f>
        <v>-</v>
      </c>
      <c r="AQ139" s="367" t="str">
        <f t="shared" ref="AQ139" si="1731">IFERROR(AQ138/$C135,"-")</f>
        <v>-</v>
      </c>
      <c r="AR139" s="367" t="str">
        <f t="shared" ref="AR139" si="1732">IFERROR(AR138/$C135,"-")</f>
        <v>-</v>
      </c>
      <c r="AS139" s="367" t="str">
        <f t="shared" ref="AS139" si="1733">IFERROR(AS138/$C135,"-")</f>
        <v>-</v>
      </c>
      <c r="AT139" s="367" t="str">
        <f t="shared" ref="AT139" si="1734">IFERROR(AT138/$C135,"-")</f>
        <v>-</v>
      </c>
      <c r="AU139" s="367" t="str">
        <f t="shared" ref="AU139" si="1735">IFERROR(AU138/$C135,"-")</f>
        <v>-</v>
      </c>
      <c r="AV139" s="367" t="str">
        <f t="shared" ref="AV139" si="1736">IFERROR(AV138/$C135,"-")</f>
        <v>-</v>
      </c>
      <c r="AW139" s="367" t="str">
        <f t="shared" ref="AW139" si="1737">IFERROR(AW138/$C135,"-")</f>
        <v>-</v>
      </c>
      <c r="AX139" s="367" t="str">
        <f t="shared" ref="AX139" si="1738">IFERROR(AX138/$C135,"-")</f>
        <v>-</v>
      </c>
      <c r="AY139" s="367" t="str">
        <f t="shared" ref="AY139" si="1739">IFERROR(AY138/$C135,"-")</f>
        <v>-</v>
      </c>
      <c r="AZ139" s="367" t="str">
        <f t="shared" ref="AZ139" si="1740">IFERROR(AZ138/$C135,"-")</f>
        <v>-</v>
      </c>
      <c r="BA139" s="367" t="str">
        <f t="shared" ref="BA139" si="1741">IFERROR(BA138/$C135,"-")</f>
        <v>-</v>
      </c>
      <c r="BB139" s="368" t="str">
        <f t="shared" ref="BB139" si="1742">IFERROR(BB138/$C135,"-")</f>
        <v>-</v>
      </c>
    </row>
    <row r="140" spans="1:54" ht="17.25" customHeight="1" thickBot="1">
      <c r="J140" s="6"/>
      <c r="K140" s="6"/>
      <c r="L140" s="6"/>
      <c r="M140" s="6"/>
      <c r="O140" s="5"/>
      <c r="P140" s="5"/>
      <c r="Q140" s="5"/>
      <c r="R140" s="5"/>
    </row>
    <row r="141" spans="1:54" ht="18" thickBot="1">
      <c r="A141"/>
      <c r="B141" s="533" t="s">
        <v>314</v>
      </c>
      <c r="C141" s="534"/>
      <c r="D141" s="32"/>
      <c r="E141" s="275"/>
      <c r="J141" s="6"/>
      <c r="K141" s="6"/>
      <c r="L141" s="6"/>
      <c r="M141" s="6"/>
    </row>
    <row r="142" spans="1:54" ht="15.75" thickBot="1">
      <c r="B142" s="360" t="s">
        <v>11</v>
      </c>
      <c r="C142" s="369">
        <v>0</v>
      </c>
      <c r="D142" s="364"/>
      <c r="E142" s="365">
        <f t="shared" ref="E142:AJ142" si="1743">E$9</f>
        <v>2024</v>
      </c>
      <c r="F142" s="279">
        <f t="shared" si="1743"/>
        <v>2025</v>
      </c>
      <c r="G142" s="279">
        <f t="shared" si="1743"/>
        <v>2026</v>
      </c>
      <c r="H142" s="279">
        <f t="shared" si="1743"/>
        <v>2027</v>
      </c>
      <c r="I142" s="279">
        <f t="shared" si="1743"/>
        <v>2028</v>
      </c>
      <c r="J142" s="279">
        <f t="shared" si="1743"/>
        <v>2029</v>
      </c>
      <c r="K142" s="279">
        <f t="shared" si="1743"/>
        <v>2030</v>
      </c>
      <c r="L142" s="279">
        <f t="shared" si="1743"/>
        <v>2031</v>
      </c>
      <c r="M142" s="279">
        <f t="shared" si="1743"/>
        <v>2032</v>
      </c>
      <c r="N142" s="279">
        <f t="shared" si="1743"/>
        <v>2033</v>
      </c>
      <c r="O142" s="279">
        <f t="shared" si="1743"/>
        <v>2034</v>
      </c>
      <c r="P142" s="279">
        <f t="shared" si="1743"/>
        <v>2035</v>
      </c>
      <c r="Q142" s="279">
        <f t="shared" si="1743"/>
        <v>2036</v>
      </c>
      <c r="R142" s="279">
        <f t="shared" si="1743"/>
        <v>2037</v>
      </c>
      <c r="S142" s="279">
        <f t="shared" si="1743"/>
        <v>2038</v>
      </c>
      <c r="T142" s="279">
        <f t="shared" si="1743"/>
        <v>2039</v>
      </c>
      <c r="U142" s="279">
        <f t="shared" si="1743"/>
        <v>2040</v>
      </c>
      <c r="V142" s="279">
        <f t="shared" si="1743"/>
        <v>2041</v>
      </c>
      <c r="W142" s="279">
        <f t="shared" si="1743"/>
        <v>2042</v>
      </c>
      <c r="X142" s="279">
        <f t="shared" si="1743"/>
        <v>2043</v>
      </c>
      <c r="Y142" s="279">
        <f t="shared" si="1743"/>
        <v>2044</v>
      </c>
      <c r="Z142" s="279">
        <f t="shared" si="1743"/>
        <v>2045</v>
      </c>
      <c r="AA142" s="279">
        <f t="shared" si="1743"/>
        <v>2046</v>
      </c>
      <c r="AB142" s="279">
        <f t="shared" si="1743"/>
        <v>2047</v>
      </c>
      <c r="AC142" s="279">
        <f t="shared" si="1743"/>
        <v>2048</v>
      </c>
      <c r="AD142" s="279">
        <f t="shared" si="1743"/>
        <v>2049</v>
      </c>
      <c r="AE142" s="279">
        <f t="shared" si="1743"/>
        <v>2050</v>
      </c>
      <c r="AF142" s="279">
        <f t="shared" si="1743"/>
        <v>2051</v>
      </c>
      <c r="AG142" s="279">
        <f t="shared" si="1743"/>
        <v>2052</v>
      </c>
      <c r="AH142" s="279">
        <f t="shared" si="1743"/>
        <v>2053</v>
      </c>
      <c r="AI142" s="279">
        <f t="shared" si="1743"/>
        <v>2054</v>
      </c>
      <c r="AJ142" s="279">
        <f t="shared" si="1743"/>
        <v>2055</v>
      </c>
      <c r="AK142" s="279">
        <f t="shared" ref="AK142:BB142" si="1744">AK$9</f>
        <v>2056</v>
      </c>
      <c r="AL142" s="279">
        <f t="shared" si="1744"/>
        <v>2057</v>
      </c>
      <c r="AM142" s="279">
        <f t="shared" si="1744"/>
        <v>2058</v>
      </c>
      <c r="AN142" s="279">
        <f t="shared" si="1744"/>
        <v>2059</v>
      </c>
      <c r="AO142" s="279">
        <f t="shared" si="1744"/>
        <v>2060</v>
      </c>
      <c r="AP142" s="279">
        <f t="shared" si="1744"/>
        <v>2061</v>
      </c>
      <c r="AQ142" s="279">
        <f t="shared" si="1744"/>
        <v>2062</v>
      </c>
      <c r="AR142" s="279">
        <f t="shared" si="1744"/>
        <v>2063</v>
      </c>
      <c r="AS142" s="279">
        <f t="shared" si="1744"/>
        <v>2064</v>
      </c>
      <c r="AT142" s="279">
        <f t="shared" si="1744"/>
        <v>2065</v>
      </c>
      <c r="AU142" s="279">
        <f t="shared" si="1744"/>
        <v>2066</v>
      </c>
      <c r="AV142" s="279">
        <f t="shared" si="1744"/>
        <v>2067</v>
      </c>
      <c r="AW142" s="279">
        <f t="shared" si="1744"/>
        <v>2068</v>
      </c>
      <c r="AX142" s="279">
        <f t="shared" si="1744"/>
        <v>2069</v>
      </c>
      <c r="AY142" s="279">
        <f t="shared" si="1744"/>
        <v>2070</v>
      </c>
      <c r="AZ142" s="279">
        <f t="shared" si="1744"/>
        <v>2071</v>
      </c>
      <c r="BA142" s="279">
        <f t="shared" si="1744"/>
        <v>2072</v>
      </c>
      <c r="BB142" s="280">
        <f t="shared" si="1744"/>
        <v>2073</v>
      </c>
    </row>
    <row r="143" spans="1:54">
      <c r="A143"/>
      <c r="B143" s="485" t="s">
        <v>261</v>
      </c>
      <c r="C143" s="535"/>
      <c r="D143" s="486"/>
      <c r="E143" s="307">
        <v>0</v>
      </c>
      <c r="F143" s="281">
        <f>E145</f>
        <v>0</v>
      </c>
      <c r="G143" s="281">
        <f t="shared" ref="G143" si="1745">F145</f>
        <v>0</v>
      </c>
      <c r="H143" s="281">
        <f t="shared" ref="H143" si="1746">G145</f>
        <v>0</v>
      </c>
      <c r="I143" s="281">
        <f t="shared" ref="I143" si="1747">H145</f>
        <v>0</v>
      </c>
      <c r="J143" s="281">
        <f t="shared" ref="J143" si="1748">I145</f>
        <v>0</v>
      </c>
      <c r="K143" s="281">
        <f t="shared" ref="K143" si="1749">J145</f>
        <v>0</v>
      </c>
      <c r="L143" s="281">
        <f t="shared" ref="L143" si="1750">K145</f>
        <v>0</v>
      </c>
      <c r="M143" s="281">
        <f t="shared" ref="M143" si="1751">L145</f>
        <v>0</v>
      </c>
      <c r="N143" s="281">
        <f t="shared" ref="N143" si="1752">M145</f>
        <v>0</v>
      </c>
      <c r="O143" s="281">
        <f t="shared" ref="O143" si="1753">N145</f>
        <v>0</v>
      </c>
      <c r="P143" s="281">
        <f t="shared" ref="P143" si="1754">O145</f>
        <v>0</v>
      </c>
      <c r="Q143" s="281">
        <f t="shared" ref="Q143" si="1755">P145</f>
        <v>0</v>
      </c>
      <c r="R143" s="281">
        <f t="shared" ref="R143" si="1756">Q145</f>
        <v>0</v>
      </c>
      <c r="S143" s="281">
        <f t="shared" ref="S143" si="1757">R145</f>
        <v>0</v>
      </c>
      <c r="T143" s="281">
        <f t="shared" ref="T143" si="1758">S145</f>
        <v>0</v>
      </c>
      <c r="U143" s="281">
        <f t="shared" ref="U143" si="1759">T145</f>
        <v>0</v>
      </c>
      <c r="V143" s="281">
        <f t="shared" ref="V143" si="1760">U145</f>
        <v>0</v>
      </c>
      <c r="W143" s="281">
        <f t="shared" ref="W143" si="1761">V145</f>
        <v>0</v>
      </c>
      <c r="X143" s="281">
        <f t="shared" ref="X143" si="1762">W145</f>
        <v>0</v>
      </c>
      <c r="Y143" s="281">
        <f t="shared" ref="Y143" si="1763">X145</f>
        <v>0</v>
      </c>
      <c r="Z143" s="281">
        <f t="shared" ref="Z143" si="1764">Y145</f>
        <v>0</v>
      </c>
      <c r="AA143" s="281">
        <f t="shared" ref="AA143" si="1765">Z145</f>
        <v>0</v>
      </c>
      <c r="AB143" s="281">
        <f t="shared" ref="AB143" si="1766">AA145</f>
        <v>0</v>
      </c>
      <c r="AC143" s="281">
        <f t="shared" ref="AC143" si="1767">AB145</f>
        <v>0</v>
      </c>
      <c r="AD143" s="281">
        <f t="shared" ref="AD143" si="1768">AC145</f>
        <v>0</v>
      </c>
      <c r="AE143" s="281">
        <f t="shared" ref="AE143" si="1769">AD145</f>
        <v>0</v>
      </c>
      <c r="AF143" s="281">
        <f t="shared" ref="AF143" si="1770">AE145</f>
        <v>0</v>
      </c>
      <c r="AG143" s="281">
        <f t="shared" ref="AG143" si="1771">AF145</f>
        <v>0</v>
      </c>
      <c r="AH143" s="281">
        <f t="shared" ref="AH143" si="1772">AG145</f>
        <v>0</v>
      </c>
      <c r="AI143" s="281">
        <f t="shared" ref="AI143" si="1773">AH145</f>
        <v>0</v>
      </c>
      <c r="AJ143" s="281">
        <f t="shared" ref="AJ143" si="1774">AI145</f>
        <v>0</v>
      </c>
      <c r="AK143" s="281">
        <f t="shared" ref="AK143" si="1775">AJ145</f>
        <v>0</v>
      </c>
      <c r="AL143" s="281">
        <f t="shared" ref="AL143" si="1776">AK145</f>
        <v>0</v>
      </c>
      <c r="AM143" s="281">
        <f t="shared" ref="AM143" si="1777">AL145</f>
        <v>0</v>
      </c>
      <c r="AN143" s="281">
        <f t="shared" ref="AN143" si="1778">AM145</f>
        <v>0</v>
      </c>
      <c r="AO143" s="281">
        <f t="shared" ref="AO143" si="1779">AN145</f>
        <v>0</v>
      </c>
      <c r="AP143" s="281">
        <f t="shared" ref="AP143" si="1780">AO145</f>
        <v>0</v>
      </c>
      <c r="AQ143" s="281">
        <f t="shared" ref="AQ143" si="1781">AP145</f>
        <v>0</v>
      </c>
      <c r="AR143" s="281">
        <f t="shared" ref="AR143" si="1782">AQ145</f>
        <v>0</v>
      </c>
      <c r="AS143" s="281">
        <f t="shared" ref="AS143" si="1783">AR145</f>
        <v>0</v>
      </c>
      <c r="AT143" s="281">
        <f t="shared" ref="AT143" si="1784">AS145</f>
        <v>0</v>
      </c>
      <c r="AU143" s="281">
        <f t="shared" ref="AU143" si="1785">AT145</f>
        <v>0</v>
      </c>
      <c r="AV143" s="281">
        <f t="shared" ref="AV143" si="1786">AU145</f>
        <v>0</v>
      </c>
      <c r="AW143" s="281">
        <f t="shared" ref="AW143" si="1787">AV145</f>
        <v>0</v>
      </c>
      <c r="AX143" s="281">
        <f t="shared" ref="AX143" si="1788">AW145</f>
        <v>0</v>
      </c>
      <c r="AY143" s="281">
        <f t="shared" ref="AY143" si="1789">AX145</f>
        <v>0</v>
      </c>
      <c r="AZ143" s="281">
        <f t="shared" ref="AZ143" si="1790">AY145</f>
        <v>0</v>
      </c>
      <c r="BA143" s="281">
        <f t="shared" ref="BA143" si="1791">AZ145</f>
        <v>0</v>
      </c>
      <c r="BB143" s="282">
        <f t="shared" ref="BB143" si="1792">BA145</f>
        <v>0</v>
      </c>
    </row>
    <row r="144" spans="1:54">
      <c r="A144"/>
      <c r="B144" s="479" t="s">
        <v>99</v>
      </c>
      <c r="C144" s="536"/>
      <c r="D144" s="480"/>
      <c r="E144" s="289">
        <f>Cockpit!$H$31</f>
        <v>0.03</v>
      </c>
      <c r="F144" s="289">
        <f>Cockpit!$H$31</f>
        <v>0.03</v>
      </c>
      <c r="G144" s="289">
        <f>Cockpit!$H$31</f>
        <v>0.03</v>
      </c>
      <c r="H144" s="289">
        <f>Cockpit!$H$31</f>
        <v>0.03</v>
      </c>
      <c r="I144" s="289">
        <f>Cockpit!$H$31</f>
        <v>0.03</v>
      </c>
      <c r="J144" s="289">
        <f>Cockpit!$H$31</f>
        <v>0.03</v>
      </c>
      <c r="K144" s="289">
        <f>Cockpit!$H$31</f>
        <v>0.03</v>
      </c>
      <c r="L144" s="289">
        <f>Cockpit!$H$31</f>
        <v>0.03</v>
      </c>
      <c r="M144" s="289">
        <f>Cockpit!$H$31</f>
        <v>0.03</v>
      </c>
      <c r="N144" s="289">
        <f>Cockpit!$H$31</f>
        <v>0.03</v>
      </c>
      <c r="O144" s="289">
        <f>Cockpit!$H$31</f>
        <v>0.03</v>
      </c>
      <c r="P144" s="289">
        <f>Cockpit!$H$31</f>
        <v>0.03</v>
      </c>
      <c r="Q144" s="289">
        <f>Cockpit!$H$31</f>
        <v>0.03</v>
      </c>
      <c r="R144" s="289">
        <f>Cockpit!$H$31</f>
        <v>0.03</v>
      </c>
      <c r="S144" s="289">
        <f>Cockpit!$H$31</f>
        <v>0.03</v>
      </c>
      <c r="T144" s="289">
        <f>Cockpit!$H$31</f>
        <v>0.03</v>
      </c>
      <c r="U144" s="289">
        <f>Cockpit!$H$31</f>
        <v>0.03</v>
      </c>
      <c r="V144" s="289">
        <f>Cockpit!$H$31</f>
        <v>0.03</v>
      </c>
      <c r="W144" s="289">
        <f>Cockpit!$H$31</f>
        <v>0.03</v>
      </c>
      <c r="X144" s="289">
        <f>Cockpit!$H$31</f>
        <v>0.03</v>
      </c>
      <c r="Y144" s="289">
        <f>Cockpit!$H$31</f>
        <v>0.03</v>
      </c>
      <c r="Z144" s="289">
        <f>Cockpit!$H$31</f>
        <v>0.03</v>
      </c>
      <c r="AA144" s="289">
        <f>Cockpit!$H$31</f>
        <v>0.03</v>
      </c>
      <c r="AB144" s="289">
        <f>Cockpit!$H$31</f>
        <v>0.03</v>
      </c>
      <c r="AC144" s="289">
        <f>Cockpit!$H$31</f>
        <v>0.03</v>
      </c>
      <c r="AD144" s="289">
        <f>Cockpit!$H$31</f>
        <v>0.03</v>
      </c>
      <c r="AE144" s="289">
        <f>Cockpit!$H$31</f>
        <v>0.03</v>
      </c>
      <c r="AF144" s="289">
        <f>Cockpit!$H$31</f>
        <v>0.03</v>
      </c>
      <c r="AG144" s="289">
        <f>Cockpit!$H$31</f>
        <v>0.03</v>
      </c>
      <c r="AH144" s="289">
        <f>Cockpit!$H$31</f>
        <v>0.03</v>
      </c>
      <c r="AI144" s="289">
        <f>Cockpit!$H$31</f>
        <v>0.03</v>
      </c>
      <c r="AJ144" s="289">
        <f>Cockpit!$H$31</f>
        <v>0.03</v>
      </c>
      <c r="AK144" s="289">
        <f>Cockpit!$H$31</f>
        <v>0.03</v>
      </c>
      <c r="AL144" s="289">
        <f>Cockpit!$H$31</f>
        <v>0.03</v>
      </c>
      <c r="AM144" s="289">
        <f>Cockpit!$H$31</f>
        <v>0.03</v>
      </c>
      <c r="AN144" s="289">
        <f>Cockpit!$H$31</f>
        <v>0.03</v>
      </c>
      <c r="AO144" s="289">
        <f>Cockpit!$H$31</f>
        <v>0.03</v>
      </c>
      <c r="AP144" s="289">
        <f>Cockpit!$H$31</f>
        <v>0.03</v>
      </c>
      <c r="AQ144" s="289">
        <f>Cockpit!$H$31</f>
        <v>0.03</v>
      </c>
      <c r="AR144" s="289">
        <f>Cockpit!$H$31</f>
        <v>0.03</v>
      </c>
      <c r="AS144" s="289">
        <f>Cockpit!$H$31</f>
        <v>0.03</v>
      </c>
      <c r="AT144" s="289">
        <f>Cockpit!$H$31</f>
        <v>0.03</v>
      </c>
      <c r="AU144" s="289">
        <f>Cockpit!$H$31</f>
        <v>0.03</v>
      </c>
      <c r="AV144" s="289">
        <f>Cockpit!$H$31</f>
        <v>0.03</v>
      </c>
      <c r="AW144" s="289">
        <f>Cockpit!$H$31</f>
        <v>0.03</v>
      </c>
      <c r="AX144" s="289">
        <f>Cockpit!$H$31</f>
        <v>0.03</v>
      </c>
      <c r="AY144" s="289">
        <f>Cockpit!$H$31</f>
        <v>0.03</v>
      </c>
      <c r="AZ144" s="289">
        <f>Cockpit!$H$31</f>
        <v>0.03</v>
      </c>
      <c r="BA144" s="289">
        <f>Cockpit!$H$31</f>
        <v>0.03</v>
      </c>
      <c r="BB144" s="290">
        <f>Cockpit!$H$31</f>
        <v>0.03</v>
      </c>
    </row>
    <row r="145" spans="1:54">
      <c r="B145" s="479" t="s">
        <v>67</v>
      </c>
      <c r="C145" s="536"/>
      <c r="D145" s="480"/>
      <c r="E145" s="10">
        <f t="shared" ref="E145:BB145" si="1793">E143*(1+E144)</f>
        <v>0</v>
      </c>
      <c r="F145" s="10">
        <f t="shared" si="1793"/>
        <v>0</v>
      </c>
      <c r="G145" s="10">
        <f t="shared" si="1793"/>
        <v>0</v>
      </c>
      <c r="H145" s="10">
        <f t="shared" si="1793"/>
        <v>0</v>
      </c>
      <c r="I145" s="10">
        <f t="shared" si="1793"/>
        <v>0</v>
      </c>
      <c r="J145" s="10">
        <f t="shared" si="1793"/>
        <v>0</v>
      </c>
      <c r="K145" s="10">
        <f t="shared" si="1793"/>
        <v>0</v>
      </c>
      <c r="L145" s="10">
        <f t="shared" si="1793"/>
        <v>0</v>
      </c>
      <c r="M145" s="10">
        <f t="shared" si="1793"/>
        <v>0</v>
      </c>
      <c r="N145" s="10">
        <f t="shared" si="1793"/>
        <v>0</v>
      </c>
      <c r="O145" s="10">
        <f t="shared" si="1793"/>
        <v>0</v>
      </c>
      <c r="P145" s="10">
        <f t="shared" si="1793"/>
        <v>0</v>
      </c>
      <c r="Q145" s="10">
        <f t="shared" si="1793"/>
        <v>0</v>
      </c>
      <c r="R145" s="10">
        <f t="shared" si="1793"/>
        <v>0</v>
      </c>
      <c r="S145" s="10">
        <f t="shared" si="1793"/>
        <v>0</v>
      </c>
      <c r="T145" s="10">
        <f t="shared" si="1793"/>
        <v>0</v>
      </c>
      <c r="U145" s="10">
        <f t="shared" si="1793"/>
        <v>0</v>
      </c>
      <c r="V145" s="10">
        <f t="shared" si="1793"/>
        <v>0</v>
      </c>
      <c r="W145" s="10">
        <f t="shared" si="1793"/>
        <v>0</v>
      </c>
      <c r="X145" s="10">
        <f t="shared" si="1793"/>
        <v>0</v>
      </c>
      <c r="Y145" s="10">
        <f t="shared" si="1793"/>
        <v>0</v>
      </c>
      <c r="Z145" s="10">
        <f t="shared" si="1793"/>
        <v>0</v>
      </c>
      <c r="AA145" s="10">
        <f t="shared" si="1793"/>
        <v>0</v>
      </c>
      <c r="AB145" s="10">
        <f t="shared" si="1793"/>
        <v>0</v>
      </c>
      <c r="AC145" s="10">
        <f t="shared" si="1793"/>
        <v>0</v>
      </c>
      <c r="AD145" s="10">
        <f t="shared" si="1793"/>
        <v>0</v>
      </c>
      <c r="AE145" s="10">
        <f t="shared" si="1793"/>
        <v>0</v>
      </c>
      <c r="AF145" s="10">
        <f t="shared" si="1793"/>
        <v>0</v>
      </c>
      <c r="AG145" s="10">
        <f t="shared" si="1793"/>
        <v>0</v>
      </c>
      <c r="AH145" s="10">
        <f t="shared" si="1793"/>
        <v>0</v>
      </c>
      <c r="AI145" s="10">
        <f t="shared" si="1793"/>
        <v>0</v>
      </c>
      <c r="AJ145" s="10">
        <f t="shared" si="1793"/>
        <v>0</v>
      </c>
      <c r="AK145" s="10">
        <f t="shared" si="1793"/>
        <v>0</v>
      </c>
      <c r="AL145" s="10">
        <f t="shared" si="1793"/>
        <v>0</v>
      </c>
      <c r="AM145" s="10">
        <f t="shared" si="1793"/>
        <v>0</v>
      </c>
      <c r="AN145" s="10">
        <f t="shared" si="1793"/>
        <v>0</v>
      </c>
      <c r="AO145" s="10">
        <f t="shared" si="1793"/>
        <v>0</v>
      </c>
      <c r="AP145" s="10">
        <f t="shared" si="1793"/>
        <v>0</v>
      </c>
      <c r="AQ145" s="10">
        <f t="shared" si="1793"/>
        <v>0</v>
      </c>
      <c r="AR145" s="10">
        <f t="shared" si="1793"/>
        <v>0</v>
      </c>
      <c r="AS145" s="10">
        <f t="shared" si="1793"/>
        <v>0</v>
      </c>
      <c r="AT145" s="10">
        <f t="shared" si="1793"/>
        <v>0</v>
      </c>
      <c r="AU145" s="10">
        <f t="shared" si="1793"/>
        <v>0</v>
      </c>
      <c r="AV145" s="10">
        <f t="shared" si="1793"/>
        <v>0</v>
      </c>
      <c r="AW145" s="10">
        <f t="shared" si="1793"/>
        <v>0</v>
      </c>
      <c r="AX145" s="10">
        <f t="shared" si="1793"/>
        <v>0</v>
      </c>
      <c r="AY145" s="10">
        <f t="shared" si="1793"/>
        <v>0</v>
      </c>
      <c r="AZ145" s="10">
        <f t="shared" si="1793"/>
        <v>0</v>
      </c>
      <c r="BA145" s="10">
        <f t="shared" si="1793"/>
        <v>0</v>
      </c>
      <c r="BB145" s="283">
        <f t="shared" si="1793"/>
        <v>0</v>
      </c>
    </row>
    <row r="146" spans="1:54" ht="15.75" thickBot="1">
      <c r="B146" s="492" t="s">
        <v>301</v>
      </c>
      <c r="C146" s="537"/>
      <c r="D146" s="493"/>
      <c r="E146" s="367" t="str">
        <f>IFERROR(E145/$C142,"-")</f>
        <v>-</v>
      </c>
      <c r="F146" s="367" t="str">
        <f>IFERROR(F145/$C142,"-")</f>
        <v>-</v>
      </c>
      <c r="G146" s="367" t="str">
        <f t="shared" ref="G146" si="1794">IFERROR(G145/$C142,"-")</f>
        <v>-</v>
      </c>
      <c r="H146" s="367" t="str">
        <f t="shared" ref="H146" si="1795">IFERROR(H145/$C142,"-")</f>
        <v>-</v>
      </c>
      <c r="I146" s="367" t="str">
        <f t="shared" ref="I146" si="1796">IFERROR(I145/$C142,"-")</f>
        <v>-</v>
      </c>
      <c r="J146" s="367" t="str">
        <f t="shared" ref="J146" si="1797">IFERROR(J145/$C142,"-")</f>
        <v>-</v>
      </c>
      <c r="K146" s="367" t="str">
        <f t="shared" ref="K146" si="1798">IFERROR(K145/$C142,"-")</f>
        <v>-</v>
      </c>
      <c r="L146" s="367" t="str">
        <f t="shared" ref="L146" si="1799">IFERROR(L145/$C142,"-")</f>
        <v>-</v>
      </c>
      <c r="M146" s="367" t="str">
        <f t="shared" ref="M146" si="1800">IFERROR(M145/$C142,"-")</f>
        <v>-</v>
      </c>
      <c r="N146" s="367" t="str">
        <f t="shared" ref="N146" si="1801">IFERROR(N145/$C142,"-")</f>
        <v>-</v>
      </c>
      <c r="O146" s="367" t="str">
        <f t="shared" ref="O146" si="1802">IFERROR(O145/$C142,"-")</f>
        <v>-</v>
      </c>
      <c r="P146" s="367" t="str">
        <f t="shared" ref="P146" si="1803">IFERROR(P145/$C142,"-")</f>
        <v>-</v>
      </c>
      <c r="Q146" s="367" t="str">
        <f t="shared" ref="Q146" si="1804">IFERROR(Q145/$C142,"-")</f>
        <v>-</v>
      </c>
      <c r="R146" s="367" t="str">
        <f t="shared" ref="R146" si="1805">IFERROR(R145/$C142,"-")</f>
        <v>-</v>
      </c>
      <c r="S146" s="367" t="str">
        <f t="shared" ref="S146" si="1806">IFERROR(S145/$C142,"-")</f>
        <v>-</v>
      </c>
      <c r="T146" s="367" t="str">
        <f t="shared" ref="T146" si="1807">IFERROR(T145/$C142,"-")</f>
        <v>-</v>
      </c>
      <c r="U146" s="367" t="str">
        <f t="shared" ref="U146" si="1808">IFERROR(U145/$C142,"-")</f>
        <v>-</v>
      </c>
      <c r="V146" s="367" t="str">
        <f t="shared" ref="V146" si="1809">IFERROR(V145/$C142,"-")</f>
        <v>-</v>
      </c>
      <c r="W146" s="367" t="str">
        <f t="shared" ref="W146" si="1810">IFERROR(W145/$C142,"-")</f>
        <v>-</v>
      </c>
      <c r="X146" s="367" t="str">
        <f t="shared" ref="X146" si="1811">IFERROR(X145/$C142,"-")</f>
        <v>-</v>
      </c>
      <c r="Y146" s="367" t="str">
        <f t="shared" ref="Y146" si="1812">IFERROR(Y145/$C142,"-")</f>
        <v>-</v>
      </c>
      <c r="Z146" s="367" t="str">
        <f t="shared" ref="Z146" si="1813">IFERROR(Z145/$C142,"-")</f>
        <v>-</v>
      </c>
      <c r="AA146" s="367" t="str">
        <f t="shared" ref="AA146" si="1814">IFERROR(AA145/$C142,"-")</f>
        <v>-</v>
      </c>
      <c r="AB146" s="367" t="str">
        <f t="shared" ref="AB146" si="1815">IFERROR(AB145/$C142,"-")</f>
        <v>-</v>
      </c>
      <c r="AC146" s="367" t="str">
        <f t="shared" ref="AC146" si="1816">IFERROR(AC145/$C142,"-")</f>
        <v>-</v>
      </c>
      <c r="AD146" s="367" t="str">
        <f t="shared" ref="AD146" si="1817">IFERROR(AD145/$C142,"-")</f>
        <v>-</v>
      </c>
      <c r="AE146" s="367" t="str">
        <f t="shared" ref="AE146" si="1818">IFERROR(AE145/$C142,"-")</f>
        <v>-</v>
      </c>
      <c r="AF146" s="367" t="str">
        <f t="shared" ref="AF146" si="1819">IFERROR(AF145/$C142,"-")</f>
        <v>-</v>
      </c>
      <c r="AG146" s="367" t="str">
        <f t="shared" ref="AG146" si="1820">IFERROR(AG145/$C142,"-")</f>
        <v>-</v>
      </c>
      <c r="AH146" s="367" t="str">
        <f t="shared" ref="AH146" si="1821">IFERROR(AH145/$C142,"-")</f>
        <v>-</v>
      </c>
      <c r="AI146" s="367" t="str">
        <f t="shared" ref="AI146" si="1822">IFERROR(AI145/$C142,"-")</f>
        <v>-</v>
      </c>
      <c r="AJ146" s="367" t="str">
        <f t="shared" ref="AJ146" si="1823">IFERROR(AJ145/$C142,"-")</f>
        <v>-</v>
      </c>
      <c r="AK146" s="367" t="str">
        <f t="shared" ref="AK146" si="1824">IFERROR(AK145/$C142,"-")</f>
        <v>-</v>
      </c>
      <c r="AL146" s="367" t="str">
        <f t="shared" ref="AL146" si="1825">IFERROR(AL145/$C142,"-")</f>
        <v>-</v>
      </c>
      <c r="AM146" s="367" t="str">
        <f t="shared" ref="AM146" si="1826">IFERROR(AM145/$C142,"-")</f>
        <v>-</v>
      </c>
      <c r="AN146" s="367" t="str">
        <f t="shared" ref="AN146" si="1827">IFERROR(AN145/$C142,"-")</f>
        <v>-</v>
      </c>
      <c r="AO146" s="367" t="str">
        <f t="shared" ref="AO146" si="1828">IFERROR(AO145/$C142,"-")</f>
        <v>-</v>
      </c>
      <c r="AP146" s="367" t="str">
        <f t="shared" ref="AP146" si="1829">IFERROR(AP145/$C142,"-")</f>
        <v>-</v>
      </c>
      <c r="AQ146" s="367" t="str">
        <f t="shared" ref="AQ146" si="1830">IFERROR(AQ145/$C142,"-")</f>
        <v>-</v>
      </c>
      <c r="AR146" s="367" t="str">
        <f t="shared" ref="AR146" si="1831">IFERROR(AR145/$C142,"-")</f>
        <v>-</v>
      </c>
      <c r="AS146" s="367" t="str">
        <f t="shared" ref="AS146" si="1832">IFERROR(AS145/$C142,"-")</f>
        <v>-</v>
      </c>
      <c r="AT146" s="367" t="str">
        <f t="shared" ref="AT146" si="1833">IFERROR(AT145/$C142,"-")</f>
        <v>-</v>
      </c>
      <c r="AU146" s="367" t="str">
        <f t="shared" ref="AU146" si="1834">IFERROR(AU145/$C142,"-")</f>
        <v>-</v>
      </c>
      <c r="AV146" s="367" t="str">
        <f t="shared" ref="AV146" si="1835">IFERROR(AV145/$C142,"-")</f>
        <v>-</v>
      </c>
      <c r="AW146" s="367" t="str">
        <f t="shared" ref="AW146" si="1836">IFERROR(AW145/$C142,"-")</f>
        <v>-</v>
      </c>
      <c r="AX146" s="367" t="str">
        <f t="shared" ref="AX146" si="1837">IFERROR(AX145/$C142,"-")</f>
        <v>-</v>
      </c>
      <c r="AY146" s="367" t="str">
        <f t="shared" ref="AY146" si="1838">IFERROR(AY145/$C142,"-")</f>
        <v>-</v>
      </c>
      <c r="AZ146" s="367" t="str">
        <f t="shared" ref="AZ146" si="1839">IFERROR(AZ145/$C142,"-")</f>
        <v>-</v>
      </c>
      <c r="BA146" s="367" t="str">
        <f t="shared" ref="BA146" si="1840">IFERROR(BA145/$C142,"-")</f>
        <v>-</v>
      </c>
      <c r="BB146" s="368" t="str">
        <f t="shared" ref="BB146" si="1841">IFERROR(BB145/$C142,"-")</f>
        <v>-</v>
      </c>
    </row>
    <row r="147" spans="1:54" ht="17.25" customHeight="1" thickBot="1">
      <c r="J147" s="6"/>
      <c r="K147" s="6"/>
      <c r="L147" s="6"/>
      <c r="M147" s="6"/>
      <c r="O147" s="5"/>
      <c r="P147" s="5"/>
      <c r="Q147" s="5"/>
      <c r="R147" s="5"/>
    </row>
    <row r="148" spans="1:54" ht="18" thickBot="1">
      <c r="A148"/>
      <c r="B148" s="533" t="s">
        <v>315</v>
      </c>
      <c r="C148" s="534"/>
      <c r="D148" s="32"/>
      <c r="E148" s="275"/>
      <c r="J148" s="6"/>
      <c r="K148" s="6"/>
      <c r="L148" s="6"/>
      <c r="M148" s="6"/>
    </row>
    <row r="149" spans="1:54" ht="15.75" thickBot="1">
      <c r="B149" s="360" t="s">
        <v>11</v>
      </c>
      <c r="C149" s="369">
        <v>0</v>
      </c>
      <c r="D149" s="364"/>
      <c r="E149" s="365">
        <f t="shared" ref="E149:AJ149" si="1842">E$9</f>
        <v>2024</v>
      </c>
      <c r="F149" s="279">
        <f t="shared" si="1842"/>
        <v>2025</v>
      </c>
      <c r="G149" s="279">
        <f t="shared" si="1842"/>
        <v>2026</v>
      </c>
      <c r="H149" s="279">
        <f t="shared" si="1842"/>
        <v>2027</v>
      </c>
      <c r="I149" s="279">
        <f t="shared" si="1842"/>
        <v>2028</v>
      </c>
      <c r="J149" s="279">
        <f t="shared" si="1842"/>
        <v>2029</v>
      </c>
      <c r="K149" s="279">
        <f t="shared" si="1842"/>
        <v>2030</v>
      </c>
      <c r="L149" s="279">
        <f t="shared" si="1842"/>
        <v>2031</v>
      </c>
      <c r="M149" s="279">
        <f t="shared" si="1842"/>
        <v>2032</v>
      </c>
      <c r="N149" s="279">
        <f t="shared" si="1842"/>
        <v>2033</v>
      </c>
      <c r="O149" s="279">
        <f t="shared" si="1842"/>
        <v>2034</v>
      </c>
      <c r="P149" s="279">
        <f t="shared" si="1842"/>
        <v>2035</v>
      </c>
      <c r="Q149" s="279">
        <f t="shared" si="1842"/>
        <v>2036</v>
      </c>
      <c r="R149" s="279">
        <f t="shared" si="1842"/>
        <v>2037</v>
      </c>
      <c r="S149" s="279">
        <f t="shared" si="1842"/>
        <v>2038</v>
      </c>
      <c r="T149" s="279">
        <f t="shared" si="1842"/>
        <v>2039</v>
      </c>
      <c r="U149" s="279">
        <f t="shared" si="1842"/>
        <v>2040</v>
      </c>
      <c r="V149" s="279">
        <f t="shared" si="1842"/>
        <v>2041</v>
      </c>
      <c r="W149" s="279">
        <f t="shared" si="1842"/>
        <v>2042</v>
      </c>
      <c r="X149" s="279">
        <f t="shared" si="1842"/>
        <v>2043</v>
      </c>
      <c r="Y149" s="279">
        <f t="shared" si="1842"/>
        <v>2044</v>
      </c>
      <c r="Z149" s="279">
        <f t="shared" si="1842"/>
        <v>2045</v>
      </c>
      <c r="AA149" s="279">
        <f t="shared" si="1842"/>
        <v>2046</v>
      </c>
      <c r="AB149" s="279">
        <f t="shared" si="1842"/>
        <v>2047</v>
      </c>
      <c r="AC149" s="279">
        <f t="shared" si="1842"/>
        <v>2048</v>
      </c>
      <c r="AD149" s="279">
        <f t="shared" si="1842"/>
        <v>2049</v>
      </c>
      <c r="AE149" s="279">
        <f t="shared" si="1842"/>
        <v>2050</v>
      </c>
      <c r="AF149" s="279">
        <f t="shared" si="1842"/>
        <v>2051</v>
      </c>
      <c r="AG149" s="279">
        <f t="shared" si="1842"/>
        <v>2052</v>
      </c>
      <c r="AH149" s="279">
        <f t="shared" si="1842"/>
        <v>2053</v>
      </c>
      <c r="AI149" s="279">
        <f t="shared" si="1842"/>
        <v>2054</v>
      </c>
      <c r="AJ149" s="279">
        <f t="shared" si="1842"/>
        <v>2055</v>
      </c>
      <c r="AK149" s="279">
        <f t="shared" ref="AK149:BB149" si="1843">AK$9</f>
        <v>2056</v>
      </c>
      <c r="AL149" s="279">
        <f t="shared" si="1843"/>
        <v>2057</v>
      </c>
      <c r="AM149" s="279">
        <f t="shared" si="1843"/>
        <v>2058</v>
      </c>
      <c r="AN149" s="279">
        <f t="shared" si="1843"/>
        <v>2059</v>
      </c>
      <c r="AO149" s="279">
        <f t="shared" si="1843"/>
        <v>2060</v>
      </c>
      <c r="AP149" s="279">
        <f t="shared" si="1843"/>
        <v>2061</v>
      </c>
      <c r="AQ149" s="279">
        <f t="shared" si="1843"/>
        <v>2062</v>
      </c>
      <c r="AR149" s="279">
        <f t="shared" si="1843"/>
        <v>2063</v>
      </c>
      <c r="AS149" s="279">
        <f t="shared" si="1843"/>
        <v>2064</v>
      </c>
      <c r="AT149" s="279">
        <f t="shared" si="1843"/>
        <v>2065</v>
      </c>
      <c r="AU149" s="279">
        <f t="shared" si="1843"/>
        <v>2066</v>
      </c>
      <c r="AV149" s="279">
        <f t="shared" si="1843"/>
        <v>2067</v>
      </c>
      <c r="AW149" s="279">
        <f t="shared" si="1843"/>
        <v>2068</v>
      </c>
      <c r="AX149" s="279">
        <f t="shared" si="1843"/>
        <v>2069</v>
      </c>
      <c r="AY149" s="279">
        <f t="shared" si="1843"/>
        <v>2070</v>
      </c>
      <c r="AZ149" s="279">
        <f t="shared" si="1843"/>
        <v>2071</v>
      </c>
      <c r="BA149" s="279">
        <f t="shared" si="1843"/>
        <v>2072</v>
      </c>
      <c r="BB149" s="280">
        <f t="shared" si="1843"/>
        <v>2073</v>
      </c>
    </row>
    <row r="150" spans="1:54">
      <c r="A150"/>
      <c r="B150" s="485" t="s">
        <v>261</v>
      </c>
      <c r="C150" s="535"/>
      <c r="D150" s="486"/>
      <c r="E150" s="307">
        <v>0</v>
      </c>
      <c r="F150" s="281">
        <f>E152</f>
        <v>0</v>
      </c>
      <c r="G150" s="281">
        <f t="shared" ref="G150" si="1844">F152</f>
        <v>0</v>
      </c>
      <c r="H150" s="281">
        <f t="shared" ref="H150" si="1845">G152</f>
        <v>0</v>
      </c>
      <c r="I150" s="281">
        <f t="shared" ref="I150" si="1846">H152</f>
        <v>0</v>
      </c>
      <c r="J150" s="281">
        <f t="shared" ref="J150" si="1847">I152</f>
        <v>0</v>
      </c>
      <c r="K150" s="281">
        <f t="shared" ref="K150" si="1848">J152</f>
        <v>0</v>
      </c>
      <c r="L150" s="281">
        <f t="shared" ref="L150" si="1849">K152</f>
        <v>0</v>
      </c>
      <c r="M150" s="281">
        <f t="shared" ref="M150" si="1850">L152</f>
        <v>0</v>
      </c>
      <c r="N150" s="281">
        <f t="shared" ref="N150" si="1851">M152</f>
        <v>0</v>
      </c>
      <c r="O150" s="281">
        <f t="shared" ref="O150" si="1852">N152</f>
        <v>0</v>
      </c>
      <c r="P150" s="281">
        <f t="shared" ref="P150" si="1853">O152</f>
        <v>0</v>
      </c>
      <c r="Q150" s="281">
        <f t="shared" ref="Q150" si="1854">P152</f>
        <v>0</v>
      </c>
      <c r="R150" s="281">
        <f t="shared" ref="R150" si="1855">Q152</f>
        <v>0</v>
      </c>
      <c r="S150" s="281">
        <f t="shared" ref="S150" si="1856">R152</f>
        <v>0</v>
      </c>
      <c r="T150" s="281">
        <f t="shared" ref="T150" si="1857">S152</f>
        <v>0</v>
      </c>
      <c r="U150" s="281">
        <f t="shared" ref="U150" si="1858">T152</f>
        <v>0</v>
      </c>
      <c r="V150" s="281">
        <f t="shared" ref="V150" si="1859">U152</f>
        <v>0</v>
      </c>
      <c r="W150" s="281">
        <f t="shared" ref="W150" si="1860">V152</f>
        <v>0</v>
      </c>
      <c r="X150" s="281">
        <f t="shared" ref="X150" si="1861">W152</f>
        <v>0</v>
      </c>
      <c r="Y150" s="281">
        <f t="shared" ref="Y150" si="1862">X152</f>
        <v>0</v>
      </c>
      <c r="Z150" s="281">
        <f t="shared" ref="Z150" si="1863">Y152</f>
        <v>0</v>
      </c>
      <c r="AA150" s="281">
        <f t="shared" ref="AA150" si="1864">Z152</f>
        <v>0</v>
      </c>
      <c r="AB150" s="281">
        <f t="shared" ref="AB150" si="1865">AA152</f>
        <v>0</v>
      </c>
      <c r="AC150" s="281">
        <f t="shared" ref="AC150" si="1866">AB152</f>
        <v>0</v>
      </c>
      <c r="AD150" s="281">
        <f t="shared" ref="AD150" si="1867">AC152</f>
        <v>0</v>
      </c>
      <c r="AE150" s="281">
        <f t="shared" ref="AE150" si="1868">AD152</f>
        <v>0</v>
      </c>
      <c r="AF150" s="281">
        <f t="shared" ref="AF150" si="1869">AE152</f>
        <v>0</v>
      </c>
      <c r="AG150" s="281">
        <f t="shared" ref="AG150" si="1870">AF152</f>
        <v>0</v>
      </c>
      <c r="AH150" s="281">
        <f t="shared" ref="AH150" si="1871">AG152</f>
        <v>0</v>
      </c>
      <c r="AI150" s="281">
        <f t="shared" ref="AI150" si="1872">AH152</f>
        <v>0</v>
      </c>
      <c r="AJ150" s="281">
        <f t="shared" ref="AJ150" si="1873">AI152</f>
        <v>0</v>
      </c>
      <c r="AK150" s="281">
        <f t="shared" ref="AK150" si="1874">AJ152</f>
        <v>0</v>
      </c>
      <c r="AL150" s="281">
        <f t="shared" ref="AL150" si="1875">AK152</f>
        <v>0</v>
      </c>
      <c r="AM150" s="281">
        <f t="shared" ref="AM150" si="1876">AL152</f>
        <v>0</v>
      </c>
      <c r="AN150" s="281">
        <f t="shared" ref="AN150" si="1877">AM152</f>
        <v>0</v>
      </c>
      <c r="AO150" s="281">
        <f t="shared" ref="AO150" si="1878">AN152</f>
        <v>0</v>
      </c>
      <c r="AP150" s="281">
        <f t="shared" ref="AP150" si="1879">AO152</f>
        <v>0</v>
      </c>
      <c r="AQ150" s="281">
        <f t="shared" ref="AQ150" si="1880">AP152</f>
        <v>0</v>
      </c>
      <c r="AR150" s="281">
        <f t="shared" ref="AR150" si="1881">AQ152</f>
        <v>0</v>
      </c>
      <c r="AS150" s="281">
        <f t="shared" ref="AS150" si="1882">AR152</f>
        <v>0</v>
      </c>
      <c r="AT150" s="281">
        <f t="shared" ref="AT150" si="1883">AS152</f>
        <v>0</v>
      </c>
      <c r="AU150" s="281">
        <f t="shared" ref="AU150" si="1884">AT152</f>
        <v>0</v>
      </c>
      <c r="AV150" s="281">
        <f t="shared" ref="AV150" si="1885">AU152</f>
        <v>0</v>
      </c>
      <c r="AW150" s="281">
        <f t="shared" ref="AW150" si="1886">AV152</f>
        <v>0</v>
      </c>
      <c r="AX150" s="281">
        <f t="shared" ref="AX150" si="1887">AW152</f>
        <v>0</v>
      </c>
      <c r="AY150" s="281">
        <f t="shared" ref="AY150" si="1888">AX152</f>
        <v>0</v>
      </c>
      <c r="AZ150" s="281">
        <f t="shared" ref="AZ150" si="1889">AY152</f>
        <v>0</v>
      </c>
      <c r="BA150" s="281">
        <f t="shared" ref="BA150" si="1890">AZ152</f>
        <v>0</v>
      </c>
      <c r="BB150" s="282">
        <f t="shared" ref="BB150" si="1891">BA152</f>
        <v>0</v>
      </c>
    </row>
    <row r="151" spans="1:54">
      <c r="A151"/>
      <c r="B151" s="479" t="s">
        <v>99</v>
      </c>
      <c r="C151" s="536"/>
      <c r="D151" s="480"/>
      <c r="E151" s="289">
        <f>Cockpit!$H$31</f>
        <v>0.03</v>
      </c>
      <c r="F151" s="289">
        <f>Cockpit!$H$31</f>
        <v>0.03</v>
      </c>
      <c r="G151" s="289">
        <f>Cockpit!$H$31</f>
        <v>0.03</v>
      </c>
      <c r="H151" s="289">
        <f>Cockpit!$H$31</f>
        <v>0.03</v>
      </c>
      <c r="I151" s="289">
        <f>Cockpit!$H$31</f>
        <v>0.03</v>
      </c>
      <c r="J151" s="289">
        <f>Cockpit!$H$31</f>
        <v>0.03</v>
      </c>
      <c r="K151" s="289">
        <f>Cockpit!$H$31</f>
        <v>0.03</v>
      </c>
      <c r="L151" s="289">
        <f>Cockpit!$H$31</f>
        <v>0.03</v>
      </c>
      <c r="M151" s="289">
        <f>Cockpit!$H$31</f>
        <v>0.03</v>
      </c>
      <c r="N151" s="289">
        <f>Cockpit!$H$31</f>
        <v>0.03</v>
      </c>
      <c r="O151" s="289">
        <f>Cockpit!$H$31</f>
        <v>0.03</v>
      </c>
      <c r="P151" s="289">
        <f>Cockpit!$H$31</f>
        <v>0.03</v>
      </c>
      <c r="Q151" s="289">
        <f>Cockpit!$H$31</f>
        <v>0.03</v>
      </c>
      <c r="R151" s="289">
        <f>Cockpit!$H$31</f>
        <v>0.03</v>
      </c>
      <c r="S151" s="289">
        <f>Cockpit!$H$31</f>
        <v>0.03</v>
      </c>
      <c r="T151" s="289">
        <f>Cockpit!$H$31</f>
        <v>0.03</v>
      </c>
      <c r="U151" s="289">
        <f>Cockpit!$H$31</f>
        <v>0.03</v>
      </c>
      <c r="V151" s="289">
        <f>Cockpit!$H$31</f>
        <v>0.03</v>
      </c>
      <c r="W151" s="289">
        <f>Cockpit!$H$31</f>
        <v>0.03</v>
      </c>
      <c r="X151" s="289">
        <f>Cockpit!$H$31</f>
        <v>0.03</v>
      </c>
      <c r="Y151" s="289">
        <f>Cockpit!$H$31</f>
        <v>0.03</v>
      </c>
      <c r="Z151" s="289">
        <f>Cockpit!$H$31</f>
        <v>0.03</v>
      </c>
      <c r="AA151" s="289">
        <f>Cockpit!$H$31</f>
        <v>0.03</v>
      </c>
      <c r="AB151" s="289">
        <f>Cockpit!$H$31</f>
        <v>0.03</v>
      </c>
      <c r="AC151" s="289">
        <f>Cockpit!$H$31</f>
        <v>0.03</v>
      </c>
      <c r="AD151" s="289">
        <f>Cockpit!$H$31</f>
        <v>0.03</v>
      </c>
      <c r="AE151" s="289">
        <f>Cockpit!$H$31</f>
        <v>0.03</v>
      </c>
      <c r="AF151" s="289">
        <f>Cockpit!$H$31</f>
        <v>0.03</v>
      </c>
      <c r="AG151" s="289">
        <f>Cockpit!$H$31</f>
        <v>0.03</v>
      </c>
      <c r="AH151" s="289">
        <f>Cockpit!$H$31</f>
        <v>0.03</v>
      </c>
      <c r="AI151" s="289">
        <f>Cockpit!$H$31</f>
        <v>0.03</v>
      </c>
      <c r="AJ151" s="289">
        <f>Cockpit!$H$31</f>
        <v>0.03</v>
      </c>
      <c r="AK151" s="289">
        <f>Cockpit!$H$31</f>
        <v>0.03</v>
      </c>
      <c r="AL151" s="289">
        <f>Cockpit!$H$31</f>
        <v>0.03</v>
      </c>
      <c r="AM151" s="289">
        <f>Cockpit!$H$31</f>
        <v>0.03</v>
      </c>
      <c r="AN151" s="289">
        <f>Cockpit!$H$31</f>
        <v>0.03</v>
      </c>
      <c r="AO151" s="289">
        <f>Cockpit!$H$31</f>
        <v>0.03</v>
      </c>
      <c r="AP151" s="289">
        <f>Cockpit!$H$31</f>
        <v>0.03</v>
      </c>
      <c r="AQ151" s="289">
        <f>Cockpit!$H$31</f>
        <v>0.03</v>
      </c>
      <c r="AR151" s="289">
        <f>Cockpit!$H$31</f>
        <v>0.03</v>
      </c>
      <c r="AS151" s="289">
        <f>Cockpit!$H$31</f>
        <v>0.03</v>
      </c>
      <c r="AT151" s="289">
        <f>Cockpit!$H$31</f>
        <v>0.03</v>
      </c>
      <c r="AU151" s="289">
        <f>Cockpit!$H$31</f>
        <v>0.03</v>
      </c>
      <c r="AV151" s="289">
        <f>Cockpit!$H$31</f>
        <v>0.03</v>
      </c>
      <c r="AW151" s="289">
        <f>Cockpit!$H$31</f>
        <v>0.03</v>
      </c>
      <c r="AX151" s="289">
        <f>Cockpit!$H$31</f>
        <v>0.03</v>
      </c>
      <c r="AY151" s="289">
        <f>Cockpit!$H$31</f>
        <v>0.03</v>
      </c>
      <c r="AZ151" s="289">
        <f>Cockpit!$H$31</f>
        <v>0.03</v>
      </c>
      <c r="BA151" s="289">
        <f>Cockpit!$H$31</f>
        <v>0.03</v>
      </c>
      <c r="BB151" s="290">
        <f>Cockpit!$H$31</f>
        <v>0.03</v>
      </c>
    </row>
    <row r="152" spans="1:54">
      <c r="B152" s="479" t="s">
        <v>67</v>
      </c>
      <c r="C152" s="536"/>
      <c r="D152" s="480"/>
      <c r="E152" s="10">
        <f t="shared" ref="E152:BB152" si="1892">E150*(1+E151)</f>
        <v>0</v>
      </c>
      <c r="F152" s="10">
        <f t="shared" si="1892"/>
        <v>0</v>
      </c>
      <c r="G152" s="10">
        <f t="shared" si="1892"/>
        <v>0</v>
      </c>
      <c r="H152" s="10">
        <f t="shared" si="1892"/>
        <v>0</v>
      </c>
      <c r="I152" s="10">
        <f t="shared" si="1892"/>
        <v>0</v>
      </c>
      <c r="J152" s="10">
        <f t="shared" si="1892"/>
        <v>0</v>
      </c>
      <c r="K152" s="10">
        <f t="shared" si="1892"/>
        <v>0</v>
      </c>
      <c r="L152" s="10">
        <f t="shared" si="1892"/>
        <v>0</v>
      </c>
      <c r="M152" s="10">
        <f t="shared" si="1892"/>
        <v>0</v>
      </c>
      <c r="N152" s="10">
        <f t="shared" si="1892"/>
        <v>0</v>
      </c>
      <c r="O152" s="10">
        <f t="shared" si="1892"/>
        <v>0</v>
      </c>
      <c r="P152" s="10">
        <f t="shared" si="1892"/>
        <v>0</v>
      </c>
      <c r="Q152" s="10">
        <f t="shared" si="1892"/>
        <v>0</v>
      </c>
      <c r="R152" s="10">
        <f t="shared" si="1892"/>
        <v>0</v>
      </c>
      <c r="S152" s="10">
        <f t="shared" si="1892"/>
        <v>0</v>
      </c>
      <c r="T152" s="10">
        <f t="shared" si="1892"/>
        <v>0</v>
      </c>
      <c r="U152" s="10">
        <f t="shared" si="1892"/>
        <v>0</v>
      </c>
      <c r="V152" s="10">
        <f t="shared" si="1892"/>
        <v>0</v>
      </c>
      <c r="W152" s="10">
        <f t="shared" si="1892"/>
        <v>0</v>
      </c>
      <c r="X152" s="10">
        <f t="shared" si="1892"/>
        <v>0</v>
      </c>
      <c r="Y152" s="10">
        <f t="shared" si="1892"/>
        <v>0</v>
      </c>
      <c r="Z152" s="10">
        <f t="shared" si="1892"/>
        <v>0</v>
      </c>
      <c r="AA152" s="10">
        <f t="shared" si="1892"/>
        <v>0</v>
      </c>
      <c r="AB152" s="10">
        <f t="shared" si="1892"/>
        <v>0</v>
      </c>
      <c r="AC152" s="10">
        <f t="shared" si="1892"/>
        <v>0</v>
      </c>
      <c r="AD152" s="10">
        <f t="shared" si="1892"/>
        <v>0</v>
      </c>
      <c r="AE152" s="10">
        <f t="shared" si="1892"/>
        <v>0</v>
      </c>
      <c r="AF152" s="10">
        <f t="shared" si="1892"/>
        <v>0</v>
      </c>
      <c r="AG152" s="10">
        <f t="shared" si="1892"/>
        <v>0</v>
      </c>
      <c r="AH152" s="10">
        <f t="shared" si="1892"/>
        <v>0</v>
      </c>
      <c r="AI152" s="10">
        <f t="shared" si="1892"/>
        <v>0</v>
      </c>
      <c r="AJ152" s="10">
        <f t="shared" si="1892"/>
        <v>0</v>
      </c>
      <c r="AK152" s="10">
        <f t="shared" si="1892"/>
        <v>0</v>
      </c>
      <c r="AL152" s="10">
        <f t="shared" si="1892"/>
        <v>0</v>
      </c>
      <c r="AM152" s="10">
        <f t="shared" si="1892"/>
        <v>0</v>
      </c>
      <c r="AN152" s="10">
        <f t="shared" si="1892"/>
        <v>0</v>
      </c>
      <c r="AO152" s="10">
        <f t="shared" si="1892"/>
        <v>0</v>
      </c>
      <c r="AP152" s="10">
        <f t="shared" si="1892"/>
        <v>0</v>
      </c>
      <c r="AQ152" s="10">
        <f t="shared" si="1892"/>
        <v>0</v>
      </c>
      <c r="AR152" s="10">
        <f t="shared" si="1892"/>
        <v>0</v>
      </c>
      <c r="AS152" s="10">
        <f t="shared" si="1892"/>
        <v>0</v>
      </c>
      <c r="AT152" s="10">
        <f t="shared" si="1892"/>
        <v>0</v>
      </c>
      <c r="AU152" s="10">
        <f t="shared" si="1892"/>
        <v>0</v>
      </c>
      <c r="AV152" s="10">
        <f t="shared" si="1892"/>
        <v>0</v>
      </c>
      <c r="AW152" s="10">
        <f t="shared" si="1892"/>
        <v>0</v>
      </c>
      <c r="AX152" s="10">
        <f t="shared" si="1892"/>
        <v>0</v>
      </c>
      <c r="AY152" s="10">
        <f t="shared" si="1892"/>
        <v>0</v>
      </c>
      <c r="AZ152" s="10">
        <f t="shared" si="1892"/>
        <v>0</v>
      </c>
      <c r="BA152" s="10">
        <f t="shared" si="1892"/>
        <v>0</v>
      </c>
      <c r="BB152" s="283">
        <f t="shared" si="1892"/>
        <v>0</v>
      </c>
    </row>
    <row r="153" spans="1:54" ht="15.75" thickBot="1">
      <c r="B153" s="492" t="s">
        <v>301</v>
      </c>
      <c r="C153" s="537"/>
      <c r="D153" s="493"/>
      <c r="E153" s="367" t="str">
        <f>IFERROR(E152/$C149,"-")</f>
        <v>-</v>
      </c>
      <c r="F153" s="367" t="str">
        <f>IFERROR(F152/$C149,"-")</f>
        <v>-</v>
      </c>
      <c r="G153" s="367" t="str">
        <f t="shared" ref="G153" si="1893">IFERROR(G152/$C149,"-")</f>
        <v>-</v>
      </c>
      <c r="H153" s="367" t="str">
        <f t="shared" ref="H153" si="1894">IFERROR(H152/$C149,"-")</f>
        <v>-</v>
      </c>
      <c r="I153" s="367" t="str">
        <f t="shared" ref="I153" si="1895">IFERROR(I152/$C149,"-")</f>
        <v>-</v>
      </c>
      <c r="J153" s="367" t="str">
        <f t="shared" ref="J153" si="1896">IFERROR(J152/$C149,"-")</f>
        <v>-</v>
      </c>
      <c r="K153" s="367" t="str">
        <f t="shared" ref="K153" si="1897">IFERROR(K152/$C149,"-")</f>
        <v>-</v>
      </c>
      <c r="L153" s="367" t="str">
        <f t="shared" ref="L153" si="1898">IFERROR(L152/$C149,"-")</f>
        <v>-</v>
      </c>
      <c r="M153" s="367" t="str">
        <f t="shared" ref="M153" si="1899">IFERROR(M152/$C149,"-")</f>
        <v>-</v>
      </c>
      <c r="N153" s="367" t="str">
        <f t="shared" ref="N153" si="1900">IFERROR(N152/$C149,"-")</f>
        <v>-</v>
      </c>
      <c r="O153" s="367" t="str">
        <f t="shared" ref="O153" si="1901">IFERROR(O152/$C149,"-")</f>
        <v>-</v>
      </c>
      <c r="P153" s="367" t="str">
        <f t="shared" ref="P153" si="1902">IFERROR(P152/$C149,"-")</f>
        <v>-</v>
      </c>
      <c r="Q153" s="367" t="str">
        <f t="shared" ref="Q153" si="1903">IFERROR(Q152/$C149,"-")</f>
        <v>-</v>
      </c>
      <c r="R153" s="367" t="str">
        <f t="shared" ref="R153" si="1904">IFERROR(R152/$C149,"-")</f>
        <v>-</v>
      </c>
      <c r="S153" s="367" t="str">
        <f t="shared" ref="S153" si="1905">IFERROR(S152/$C149,"-")</f>
        <v>-</v>
      </c>
      <c r="T153" s="367" t="str">
        <f t="shared" ref="T153" si="1906">IFERROR(T152/$C149,"-")</f>
        <v>-</v>
      </c>
      <c r="U153" s="367" t="str">
        <f t="shared" ref="U153" si="1907">IFERROR(U152/$C149,"-")</f>
        <v>-</v>
      </c>
      <c r="V153" s="367" t="str">
        <f t="shared" ref="V153" si="1908">IFERROR(V152/$C149,"-")</f>
        <v>-</v>
      </c>
      <c r="W153" s="367" t="str">
        <f t="shared" ref="W153" si="1909">IFERROR(W152/$C149,"-")</f>
        <v>-</v>
      </c>
      <c r="X153" s="367" t="str">
        <f t="shared" ref="X153" si="1910">IFERROR(X152/$C149,"-")</f>
        <v>-</v>
      </c>
      <c r="Y153" s="367" t="str">
        <f t="shared" ref="Y153" si="1911">IFERROR(Y152/$C149,"-")</f>
        <v>-</v>
      </c>
      <c r="Z153" s="367" t="str">
        <f t="shared" ref="Z153" si="1912">IFERROR(Z152/$C149,"-")</f>
        <v>-</v>
      </c>
      <c r="AA153" s="367" t="str">
        <f t="shared" ref="AA153" si="1913">IFERROR(AA152/$C149,"-")</f>
        <v>-</v>
      </c>
      <c r="AB153" s="367" t="str">
        <f t="shared" ref="AB153" si="1914">IFERROR(AB152/$C149,"-")</f>
        <v>-</v>
      </c>
      <c r="AC153" s="367" t="str">
        <f t="shared" ref="AC153" si="1915">IFERROR(AC152/$C149,"-")</f>
        <v>-</v>
      </c>
      <c r="AD153" s="367" t="str">
        <f t="shared" ref="AD153" si="1916">IFERROR(AD152/$C149,"-")</f>
        <v>-</v>
      </c>
      <c r="AE153" s="367" t="str">
        <f t="shared" ref="AE153" si="1917">IFERROR(AE152/$C149,"-")</f>
        <v>-</v>
      </c>
      <c r="AF153" s="367" t="str">
        <f t="shared" ref="AF153" si="1918">IFERROR(AF152/$C149,"-")</f>
        <v>-</v>
      </c>
      <c r="AG153" s="367" t="str">
        <f t="shared" ref="AG153" si="1919">IFERROR(AG152/$C149,"-")</f>
        <v>-</v>
      </c>
      <c r="AH153" s="367" t="str">
        <f t="shared" ref="AH153" si="1920">IFERROR(AH152/$C149,"-")</f>
        <v>-</v>
      </c>
      <c r="AI153" s="367" t="str">
        <f t="shared" ref="AI153" si="1921">IFERROR(AI152/$C149,"-")</f>
        <v>-</v>
      </c>
      <c r="AJ153" s="367" t="str">
        <f t="shared" ref="AJ153" si="1922">IFERROR(AJ152/$C149,"-")</f>
        <v>-</v>
      </c>
      <c r="AK153" s="367" t="str">
        <f t="shared" ref="AK153" si="1923">IFERROR(AK152/$C149,"-")</f>
        <v>-</v>
      </c>
      <c r="AL153" s="367" t="str">
        <f t="shared" ref="AL153" si="1924">IFERROR(AL152/$C149,"-")</f>
        <v>-</v>
      </c>
      <c r="AM153" s="367" t="str">
        <f t="shared" ref="AM153" si="1925">IFERROR(AM152/$C149,"-")</f>
        <v>-</v>
      </c>
      <c r="AN153" s="367" t="str">
        <f t="shared" ref="AN153" si="1926">IFERROR(AN152/$C149,"-")</f>
        <v>-</v>
      </c>
      <c r="AO153" s="367" t="str">
        <f t="shared" ref="AO153" si="1927">IFERROR(AO152/$C149,"-")</f>
        <v>-</v>
      </c>
      <c r="AP153" s="367" t="str">
        <f t="shared" ref="AP153" si="1928">IFERROR(AP152/$C149,"-")</f>
        <v>-</v>
      </c>
      <c r="AQ153" s="367" t="str">
        <f t="shared" ref="AQ153" si="1929">IFERROR(AQ152/$C149,"-")</f>
        <v>-</v>
      </c>
      <c r="AR153" s="367" t="str">
        <f t="shared" ref="AR153" si="1930">IFERROR(AR152/$C149,"-")</f>
        <v>-</v>
      </c>
      <c r="AS153" s="367" t="str">
        <f t="shared" ref="AS153" si="1931">IFERROR(AS152/$C149,"-")</f>
        <v>-</v>
      </c>
      <c r="AT153" s="367" t="str">
        <f t="shared" ref="AT153" si="1932">IFERROR(AT152/$C149,"-")</f>
        <v>-</v>
      </c>
      <c r="AU153" s="367" t="str">
        <f t="shared" ref="AU153" si="1933">IFERROR(AU152/$C149,"-")</f>
        <v>-</v>
      </c>
      <c r="AV153" s="367" t="str">
        <f t="shared" ref="AV153" si="1934">IFERROR(AV152/$C149,"-")</f>
        <v>-</v>
      </c>
      <c r="AW153" s="367" t="str">
        <f t="shared" ref="AW153" si="1935">IFERROR(AW152/$C149,"-")</f>
        <v>-</v>
      </c>
      <c r="AX153" s="367" t="str">
        <f t="shared" ref="AX153" si="1936">IFERROR(AX152/$C149,"-")</f>
        <v>-</v>
      </c>
      <c r="AY153" s="367" t="str">
        <f t="shared" ref="AY153" si="1937">IFERROR(AY152/$C149,"-")</f>
        <v>-</v>
      </c>
      <c r="AZ153" s="367" t="str">
        <f t="shared" ref="AZ153" si="1938">IFERROR(AZ152/$C149,"-")</f>
        <v>-</v>
      </c>
      <c r="BA153" s="367" t="str">
        <f t="shared" ref="BA153" si="1939">IFERROR(BA152/$C149,"-")</f>
        <v>-</v>
      </c>
      <c r="BB153" s="368" t="str">
        <f t="shared" ref="BB153" si="1940">IFERROR(BB152/$C149,"-")</f>
        <v>-</v>
      </c>
    </row>
    <row r="154" spans="1:54" ht="17.25" customHeight="1" thickBot="1">
      <c r="J154" s="6"/>
      <c r="K154" s="6"/>
      <c r="L154" s="6"/>
      <c r="M154" s="6"/>
      <c r="O154" s="5"/>
      <c r="P154" s="5"/>
      <c r="Q154" s="5"/>
      <c r="R154" s="5"/>
    </row>
    <row r="155" spans="1:54" ht="18" thickBot="1">
      <c r="A155"/>
      <c r="B155" s="533" t="s">
        <v>316</v>
      </c>
      <c r="C155" s="534"/>
      <c r="D155" s="32"/>
      <c r="E155" s="275"/>
      <c r="J155" s="6"/>
      <c r="K155" s="6"/>
      <c r="L155" s="6"/>
      <c r="M155" s="6"/>
    </row>
    <row r="156" spans="1:54" ht="15.75" thickBot="1">
      <c r="B156" s="360" t="s">
        <v>11</v>
      </c>
      <c r="C156" s="369">
        <v>0</v>
      </c>
      <c r="D156" s="364"/>
      <c r="E156" s="365">
        <f t="shared" ref="E156:AJ156" si="1941">E$9</f>
        <v>2024</v>
      </c>
      <c r="F156" s="279">
        <f t="shared" si="1941"/>
        <v>2025</v>
      </c>
      <c r="G156" s="279">
        <f t="shared" si="1941"/>
        <v>2026</v>
      </c>
      <c r="H156" s="279">
        <f t="shared" si="1941"/>
        <v>2027</v>
      </c>
      <c r="I156" s="279">
        <f t="shared" si="1941"/>
        <v>2028</v>
      </c>
      <c r="J156" s="279">
        <f t="shared" si="1941"/>
        <v>2029</v>
      </c>
      <c r="K156" s="279">
        <f t="shared" si="1941"/>
        <v>2030</v>
      </c>
      <c r="L156" s="279">
        <f t="shared" si="1941"/>
        <v>2031</v>
      </c>
      <c r="M156" s="279">
        <f t="shared" si="1941"/>
        <v>2032</v>
      </c>
      <c r="N156" s="279">
        <f t="shared" si="1941"/>
        <v>2033</v>
      </c>
      <c r="O156" s="279">
        <f t="shared" si="1941"/>
        <v>2034</v>
      </c>
      <c r="P156" s="279">
        <f t="shared" si="1941"/>
        <v>2035</v>
      </c>
      <c r="Q156" s="279">
        <f t="shared" si="1941"/>
        <v>2036</v>
      </c>
      <c r="R156" s="279">
        <f t="shared" si="1941"/>
        <v>2037</v>
      </c>
      <c r="S156" s="279">
        <f t="shared" si="1941"/>
        <v>2038</v>
      </c>
      <c r="T156" s="279">
        <f t="shared" si="1941"/>
        <v>2039</v>
      </c>
      <c r="U156" s="279">
        <f t="shared" si="1941"/>
        <v>2040</v>
      </c>
      <c r="V156" s="279">
        <f t="shared" si="1941"/>
        <v>2041</v>
      </c>
      <c r="W156" s="279">
        <f t="shared" si="1941"/>
        <v>2042</v>
      </c>
      <c r="X156" s="279">
        <f t="shared" si="1941"/>
        <v>2043</v>
      </c>
      <c r="Y156" s="279">
        <f t="shared" si="1941"/>
        <v>2044</v>
      </c>
      <c r="Z156" s="279">
        <f t="shared" si="1941"/>
        <v>2045</v>
      </c>
      <c r="AA156" s="279">
        <f t="shared" si="1941"/>
        <v>2046</v>
      </c>
      <c r="AB156" s="279">
        <f t="shared" si="1941"/>
        <v>2047</v>
      </c>
      <c r="AC156" s="279">
        <f t="shared" si="1941"/>
        <v>2048</v>
      </c>
      <c r="AD156" s="279">
        <f t="shared" si="1941"/>
        <v>2049</v>
      </c>
      <c r="AE156" s="279">
        <f t="shared" si="1941"/>
        <v>2050</v>
      </c>
      <c r="AF156" s="279">
        <f t="shared" si="1941"/>
        <v>2051</v>
      </c>
      <c r="AG156" s="279">
        <f t="shared" si="1941"/>
        <v>2052</v>
      </c>
      <c r="AH156" s="279">
        <f t="shared" si="1941"/>
        <v>2053</v>
      </c>
      <c r="AI156" s="279">
        <f t="shared" si="1941"/>
        <v>2054</v>
      </c>
      <c r="AJ156" s="279">
        <f t="shared" si="1941"/>
        <v>2055</v>
      </c>
      <c r="AK156" s="279">
        <f t="shared" ref="AK156:BB156" si="1942">AK$9</f>
        <v>2056</v>
      </c>
      <c r="AL156" s="279">
        <f t="shared" si="1942"/>
        <v>2057</v>
      </c>
      <c r="AM156" s="279">
        <f t="shared" si="1942"/>
        <v>2058</v>
      </c>
      <c r="AN156" s="279">
        <f t="shared" si="1942"/>
        <v>2059</v>
      </c>
      <c r="AO156" s="279">
        <f t="shared" si="1942"/>
        <v>2060</v>
      </c>
      <c r="AP156" s="279">
        <f t="shared" si="1942"/>
        <v>2061</v>
      </c>
      <c r="AQ156" s="279">
        <f t="shared" si="1942"/>
        <v>2062</v>
      </c>
      <c r="AR156" s="279">
        <f t="shared" si="1942"/>
        <v>2063</v>
      </c>
      <c r="AS156" s="279">
        <f t="shared" si="1942"/>
        <v>2064</v>
      </c>
      <c r="AT156" s="279">
        <f t="shared" si="1942"/>
        <v>2065</v>
      </c>
      <c r="AU156" s="279">
        <f t="shared" si="1942"/>
        <v>2066</v>
      </c>
      <c r="AV156" s="279">
        <f t="shared" si="1942"/>
        <v>2067</v>
      </c>
      <c r="AW156" s="279">
        <f t="shared" si="1942"/>
        <v>2068</v>
      </c>
      <c r="AX156" s="279">
        <f t="shared" si="1942"/>
        <v>2069</v>
      </c>
      <c r="AY156" s="279">
        <f t="shared" si="1942"/>
        <v>2070</v>
      </c>
      <c r="AZ156" s="279">
        <f t="shared" si="1942"/>
        <v>2071</v>
      </c>
      <c r="BA156" s="279">
        <f t="shared" si="1942"/>
        <v>2072</v>
      </c>
      <c r="BB156" s="280">
        <f t="shared" si="1942"/>
        <v>2073</v>
      </c>
    </row>
    <row r="157" spans="1:54">
      <c r="A157"/>
      <c r="B157" s="485" t="s">
        <v>261</v>
      </c>
      <c r="C157" s="535"/>
      <c r="D157" s="486"/>
      <c r="E157" s="307">
        <v>0</v>
      </c>
      <c r="F157" s="281">
        <f>E159</f>
        <v>0</v>
      </c>
      <c r="G157" s="281">
        <f t="shared" ref="G157" si="1943">F159</f>
        <v>0</v>
      </c>
      <c r="H157" s="281">
        <f t="shared" ref="H157" si="1944">G159</f>
        <v>0</v>
      </c>
      <c r="I157" s="281">
        <f t="shared" ref="I157" si="1945">H159</f>
        <v>0</v>
      </c>
      <c r="J157" s="281">
        <f t="shared" ref="J157" si="1946">I159</f>
        <v>0</v>
      </c>
      <c r="K157" s="281">
        <f t="shared" ref="K157" si="1947">J159</f>
        <v>0</v>
      </c>
      <c r="L157" s="281">
        <f t="shared" ref="L157" si="1948">K159</f>
        <v>0</v>
      </c>
      <c r="M157" s="281">
        <f t="shared" ref="M157" si="1949">L159</f>
        <v>0</v>
      </c>
      <c r="N157" s="281">
        <f t="shared" ref="N157" si="1950">M159</f>
        <v>0</v>
      </c>
      <c r="O157" s="281">
        <f t="shared" ref="O157" si="1951">N159</f>
        <v>0</v>
      </c>
      <c r="P157" s="281">
        <f t="shared" ref="P157" si="1952">O159</f>
        <v>0</v>
      </c>
      <c r="Q157" s="281">
        <f t="shared" ref="Q157" si="1953">P159</f>
        <v>0</v>
      </c>
      <c r="R157" s="281">
        <f t="shared" ref="R157" si="1954">Q159</f>
        <v>0</v>
      </c>
      <c r="S157" s="281">
        <f t="shared" ref="S157" si="1955">R159</f>
        <v>0</v>
      </c>
      <c r="T157" s="281">
        <f t="shared" ref="T157" si="1956">S159</f>
        <v>0</v>
      </c>
      <c r="U157" s="281">
        <f t="shared" ref="U157" si="1957">T159</f>
        <v>0</v>
      </c>
      <c r="V157" s="281">
        <f t="shared" ref="V157" si="1958">U159</f>
        <v>0</v>
      </c>
      <c r="W157" s="281">
        <f t="shared" ref="W157" si="1959">V159</f>
        <v>0</v>
      </c>
      <c r="X157" s="281">
        <f t="shared" ref="X157" si="1960">W159</f>
        <v>0</v>
      </c>
      <c r="Y157" s="281">
        <f t="shared" ref="Y157" si="1961">X159</f>
        <v>0</v>
      </c>
      <c r="Z157" s="281">
        <f t="shared" ref="Z157" si="1962">Y159</f>
        <v>0</v>
      </c>
      <c r="AA157" s="281">
        <f t="shared" ref="AA157" si="1963">Z159</f>
        <v>0</v>
      </c>
      <c r="AB157" s="281">
        <f t="shared" ref="AB157" si="1964">AA159</f>
        <v>0</v>
      </c>
      <c r="AC157" s="281">
        <f t="shared" ref="AC157" si="1965">AB159</f>
        <v>0</v>
      </c>
      <c r="AD157" s="281">
        <f t="shared" ref="AD157" si="1966">AC159</f>
        <v>0</v>
      </c>
      <c r="AE157" s="281">
        <f t="shared" ref="AE157" si="1967">AD159</f>
        <v>0</v>
      </c>
      <c r="AF157" s="281">
        <f t="shared" ref="AF157" si="1968">AE159</f>
        <v>0</v>
      </c>
      <c r="AG157" s="281">
        <f t="shared" ref="AG157" si="1969">AF159</f>
        <v>0</v>
      </c>
      <c r="AH157" s="281">
        <f t="shared" ref="AH157" si="1970">AG159</f>
        <v>0</v>
      </c>
      <c r="AI157" s="281">
        <f t="shared" ref="AI157" si="1971">AH159</f>
        <v>0</v>
      </c>
      <c r="AJ157" s="281">
        <f t="shared" ref="AJ157" si="1972">AI159</f>
        <v>0</v>
      </c>
      <c r="AK157" s="281">
        <f t="shared" ref="AK157" si="1973">AJ159</f>
        <v>0</v>
      </c>
      <c r="AL157" s="281">
        <f t="shared" ref="AL157" si="1974">AK159</f>
        <v>0</v>
      </c>
      <c r="AM157" s="281">
        <f t="shared" ref="AM157" si="1975">AL159</f>
        <v>0</v>
      </c>
      <c r="AN157" s="281">
        <f t="shared" ref="AN157" si="1976">AM159</f>
        <v>0</v>
      </c>
      <c r="AO157" s="281">
        <f t="shared" ref="AO157" si="1977">AN159</f>
        <v>0</v>
      </c>
      <c r="AP157" s="281">
        <f t="shared" ref="AP157" si="1978">AO159</f>
        <v>0</v>
      </c>
      <c r="AQ157" s="281">
        <f t="shared" ref="AQ157" si="1979">AP159</f>
        <v>0</v>
      </c>
      <c r="AR157" s="281">
        <f t="shared" ref="AR157" si="1980">AQ159</f>
        <v>0</v>
      </c>
      <c r="AS157" s="281">
        <f t="shared" ref="AS157" si="1981">AR159</f>
        <v>0</v>
      </c>
      <c r="AT157" s="281">
        <f t="shared" ref="AT157" si="1982">AS159</f>
        <v>0</v>
      </c>
      <c r="AU157" s="281">
        <f t="shared" ref="AU157" si="1983">AT159</f>
        <v>0</v>
      </c>
      <c r="AV157" s="281">
        <f t="shared" ref="AV157" si="1984">AU159</f>
        <v>0</v>
      </c>
      <c r="AW157" s="281">
        <f t="shared" ref="AW157" si="1985">AV159</f>
        <v>0</v>
      </c>
      <c r="AX157" s="281">
        <f t="shared" ref="AX157" si="1986">AW159</f>
        <v>0</v>
      </c>
      <c r="AY157" s="281">
        <f t="shared" ref="AY157" si="1987">AX159</f>
        <v>0</v>
      </c>
      <c r="AZ157" s="281">
        <f t="shared" ref="AZ157" si="1988">AY159</f>
        <v>0</v>
      </c>
      <c r="BA157" s="281">
        <f t="shared" ref="BA157" si="1989">AZ159</f>
        <v>0</v>
      </c>
      <c r="BB157" s="282">
        <f t="shared" ref="BB157" si="1990">BA159</f>
        <v>0</v>
      </c>
    </row>
    <row r="158" spans="1:54">
      <c r="A158"/>
      <c r="B158" s="479" t="s">
        <v>99</v>
      </c>
      <c r="C158" s="536"/>
      <c r="D158" s="480"/>
      <c r="E158" s="289">
        <f>Cockpit!$H$31</f>
        <v>0.03</v>
      </c>
      <c r="F158" s="289">
        <f>Cockpit!$H$31</f>
        <v>0.03</v>
      </c>
      <c r="G158" s="289">
        <f>Cockpit!$H$31</f>
        <v>0.03</v>
      </c>
      <c r="H158" s="289">
        <f>Cockpit!$H$31</f>
        <v>0.03</v>
      </c>
      <c r="I158" s="289">
        <f>Cockpit!$H$31</f>
        <v>0.03</v>
      </c>
      <c r="J158" s="289">
        <f>Cockpit!$H$31</f>
        <v>0.03</v>
      </c>
      <c r="K158" s="289">
        <f>Cockpit!$H$31</f>
        <v>0.03</v>
      </c>
      <c r="L158" s="289">
        <f>Cockpit!$H$31</f>
        <v>0.03</v>
      </c>
      <c r="M158" s="289">
        <f>Cockpit!$H$31</f>
        <v>0.03</v>
      </c>
      <c r="N158" s="289">
        <f>Cockpit!$H$31</f>
        <v>0.03</v>
      </c>
      <c r="O158" s="289">
        <f>Cockpit!$H$31</f>
        <v>0.03</v>
      </c>
      <c r="P158" s="289">
        <f>Cockpit!$H$31</f>
        <v>0.03</v>
      </c>
      <c r="Q158" s="289">
        <f>Cockpit!$H$31</f>
        <v>0.03</v>
      </c>
      <c r="R158" s="289">
        <f>Cockpit!$H$31</f>
        <v>0.03</v>
      </c>
      <c r="S158" s="289">
        <f>Cockpit!$H$31</f>
        <v>0.03</v>
      </c>
      <c r="T158" s="289">
        <f>Cockpit!$H$31</f>
        <v>0.03</v>
      </c>
      <c r="U158" s="289">
        <f>Cockpit!$H$31</f>
        <v>0.03</v>
      </c>
      <c r="V158" s="289">
        <f>Cockpit!$H$31</f>
        <v>0.03</v>
      </c>
      <c r="W158" s="289">
        <f>Cockpit!$H$31</f>
        <v>0.03</v>
      </c>
      <c r="X158" s="289">
        <f>Cockpit!$H$31</f>
        <v>0.03</v>
      </c>
      <c r="Y158" s="289">
        <f>Cockpit!$H$31</f>
        <v>0.03</v>
      </c>
      <c r="Z158" s="289">
        <f>Cockpit!$H$31</f>
        <v>0.03</v>
      </c>
      <c r="AA158" s="289">
        <f>Cockpit!$H$31</f>
        <v>0.03</v>
      </c>
      <c r="AB158" s="289">
        <f>Cockpit!$H$31</f>
        <v>0.03</v>
      </c>
      <c r="AC158" s="289">
        <f>Cockpit!$H$31</f>
        <v>0.03</v>
      </c>
      <c r="AD158" s="289">
        <f>Cockpit!$H$31</f>
        <v>0.03</v>
      </c>
      <c r="AE158" s="289">
        <f>Cockpit!$H$31</f>
        <v>0.03</v>
      </c>
      <c r="AF158" s="289">
        <f>Cockpit!$H$31</f>
        <v>0.03</v>
      </c>
      <c r="AG158" s="289">
        <f>Cockpit!$H$31</f>
        <v>0.03</v>
      </c>
      <c r="AH158" s="289">
        <f>Cockpit!$H$31</f>
        <v>0.03</v>
      </c>
      <c r="AI158" s="289">
        <f>Cockpit!$H$31</f>
        <v>0.03</v>
      </c>
      <c r="AJ158" s="289">
        <f>Cockpit!$H$31</f>
        <v>0.03</v>
      </c>
      <c r="AK158" s="289">
        <f>Cockpit!$H$31</f>
        <v>0.03</v>
      </c>
      <c r="AL158" s="289">
        <f>Cockpit!$H$31</f>
        <v>0.03</v>
      </c>
      <c r="AM158" s="289">
        <f>Cockpit!$H$31</f>
        <v>0.03</v>
      </c>
      <c r="AN158" s="289">
        <f>Cockpit!$H$31</f>
        <v>0.03</v>
      </c>
      <c r="AO158" s="289">
        <f>Cockpit!$H$31</f>
        <v>0.03</v>
      </c>
      <c r="AP158" s="289">
        <f>Cockpit!$H$31</f>
        <v>0.03</v>
      </c>
      <c r="AQ158" s="289">
        <f>Cockpit!$H$31</f>
        <v>0.03</v>
      </c>
      <c r="AR158" s="289">
        <f>Cockpit!$H$31</f>
        <v>0.03</v>
      </c>
      <c r="AS158" s="289">
        <f>Cockpit!$H$31</f>
        <v>0.03</v>
      </c>
      <c r="AT158" s="289">
        <f>Cockpit!$H$31</f>
        <v>0.03</v>
      </c>
      <c r="AU158" s="289">
        <f>Cockpit!$H$31</f>
        <v>0.03</v>
      </c>
      <c r="AV158" s="289">
        <f>Cockpit!$H$31</f>
        <v>0.03</v>
      </c>
      <c r="AW158" s="289">
        <f>Cockpit!$H$31</f>
        <v>0.03</v>
      </c>
      <c r="AX158" s="289">
        <f>Cockpit!$H$31</f>
        <v>0.03</v>
      </c>
      <c r="AY158" s="289">
        <f>Cockpit!$H$31</f>
        <v>0.03</v>
      </c>
      <c r="AZ158" s="289">
        <f>Cockpit!$H$31</f>
        <v>0.03</v>
      </c>
      <c r="BA158" s="289">
        <f>Cockpit!$H$31</f>
        <v>0.03</v>
      </c>
      <c r="BB158" s="290">
        <f>Cockpit!$H$31</f>
        <v>0.03</v>
      </c>
    </row>
    <row r="159" spans="1:54">
      <c r="B159" s="479" t="s">
        <v>67</v>
      </c>
      <c r="C159" s="536"/>
      <c r="D159" s="480"/>
      <c r="E159" s="10">
        <f t="shared" ref="E159:BB159" si="1991">E157*(1+E158)</f>
        <v>0</v>
      </c>
      <c r="F159" s="10">
        <f t="shared" si="1991"/>
        <v>0</v>
      </c>
      <c r="G159" s="10">
        <f t="shared" si="1991"/>
        <v>0</v>
      </c>
      <c r="H159" s="10">
        <f t="shared" si="1991"/>
        <v>0</v>
      </c>
      <c r="I159" s="10">
        <f t="shared" si="1991"/>
        <v>0</v>
      </c>
      <c r="J159" s="10">
        <f t="shared" si="1991"/>
        <v>0</v>
      </c>
      <c r="K159" s="10">
        <f t="shared" si="1991"/>
        <v>0</v>
      </c>
      <c r="L159" s="10">
        <f t="shared" si="1991"/>
        <v>0</v>
      </c>
      <c r="M159" s="10">
        <f t="shared" si="1991"/>
        <v>0</v>
      </c>
      <c r="N159" s="10">
        <f t="shared" si="1991"/>
        <v>0</v>
      </c>
      <c r="O159" s="10">
        <f t="shared" si="1991"/>
        <v>0</v>
      </c>
      <c r="P159" s="10">
        <f t="shared" si="1991"/>
        <v>0</v>
      </c>
      <c r="Q159" s="10">
        <f t="shared" si="1991"/>
        <v>0</v>
      </c>
      <c r="R159" s="10">
        <f t="shared" si="1991"/>
        <v>0</v>
      </c>
      <c r="S159" s="10">
        <f t="shared" si="1991"/>
        <v>0</v>
      </c>
      <c r="T159" s="10">
        <f t="shared" si="1991"/>
        <v>0</v>
      </c>
      <c r="U159" s="10">
        <f t="shared" si="1991"/>
        <v>0</v>
      </c>
      <c r="V159" s="10">
        <f t="shared" si="1991"/>
        <v>0</v>
      </c>
      <c r="W159" s="10">
        <f t="shared" si="1991"/>
        <v>0</v>
      </c>
      <c r="X159" s="10">
        <f t="shared" si="1991"/>
        <v>0</v>
      </c>
      <c r="Y159" s="10">
        <f t="shared" si="1991"/>
        <v>0</v>
      </c>
      <c r="Z159" s="10">
        <f t="shared" si="1991"/>
        <v>0</v>
      </c>
      <c r="AA159" s="10">
        <f t="shared" si="1991"/>
        <v>0</v>
      </c>
      <c r="AB159" s="10">
        <f t="shared" si="1991"/>
        <v>0</v>
      </c>
      <c r="AC159" s="10">
        <f t="shared" si="1991"/>
        <v>0</v>
      </c>
      <c r="AD159" s="10">
        <f t="shared" si="1991"/>
        <v>0</v>
      </c>
      <c r="AE159" s="10">
        <f t="shared" si="1991"/>
        <v>0</v>
      </c>
      <c r="AF159" s="10">
        <f t="shared" si="1991"/>
        <v>0</v>
      </c>
      <c r="AG159" s="10">
        <f t="shared" si="1991"/>
        <v>0</v>
      </c>
      <c r="AH159" s="10">
        <f t="shared" si="1991"/>
        <v>0</v>
      </c>
      <c r="AI159" s="10">
        <f t="shared" si="1991"/>
        <v>0</v>
      </c>
      <c r="AJ159" s="10">
        <f t="shared" si="1991"/>
        <v>0</v>
      </c>
      <c r="AK159" s="10">
        <f t="shared" si="1991"/>
        <v>0</v>
      </c>
      <c r="AL159" s="10">
        <f t="shared" si="1991"/>
        <v>0</v>
      </c>
      <c r="AM159" s="10">
        <f t="shared" si="1991"/>
        <v>0</v>
      </c>
      <c r="AN159" s="10">
        <f t="shared" si="1991"/>
        <v>0</v>
      </c>
      <c r="AO159" s="10">
        <f t="shared" si="1991"/>
        <v>0</v>
      </c>
      <c r="AP159" s="10">
        <f t="shared" si="1991"/>
        <v>0</v>
      </c>
      <c r="AQ159" s="10">
        <f t="shared" si="1991"/>
        <v>0</v>
      </c>
      <c r="AR159" s="10">
        <f t="shared" si="1991"/>
        <v>0</v>
      </c>
      <c r="AS159" s="10">
        <f t="shared" si="1991"/>
        <v>0</v>
      </c>
      <c r="AT159" s="10">
        <f t="shared" si="1991"/>
        <v>0</v>
      </c>
      <c r="AU159" s="10">
        <f t="shared" si="1991"/>
        <v>0</v>
      </c>
      <c r="AV159" s="10">
        <f t="shared" si="1991"/>
        <v>0</v>
      </c>
      <c r="AW159" s="10">
        <f t="shared" si="1991"/>
        <v>0</v>
      </c>
      <c r="AX159" s="10">
        <f t="shared" si="1991"/>
        <v>0</v>
      </c>
      <c r="AY159" s="10">
        <f t="shared" si="1991"/>
        <v>0</v>
      </c>
      <c r="AZ159" s="10">
        <f t="shared" si="1991"/>
        <v>0</v>
      </c>
      <c r="BA159" s="10">
        <f t="shared" si="1991"/>
        <v>0</v>
      </c>
      <c r="BB159" s="283">
        <f t="shared" si="1991"/>
        <v>0</v>
      </c>
    </row>
    <row r="160" spans="1:54" ht="15.75" thickBot="1">
      <c r="B160" s="492" t="s">
        <v>301</v>
      </c>
      <c r="C160" s="537"/>
      <c r="D160" s="493"/>
      <c r="E160" s="367" t="str">
        <f>IFERROR(E159/$C156,"-")</f>
        <v>-</v>
      </c>
      <c r="F160" s="367" t="str">
        <f>IFERROR(F159/$C156,"-")</f>
        <v>-</v>
      </c>
      <c r="G160" s="367" t="str">
        <f t="shared" ref="G160" si="1992">IFERROR(G159/$C156,"-")</f>
        <v>-</v>
      </c>
      <c r="H160" s="367" t="str">
        <f t="shared" ref="H160" si="1993">IFERROR(H159/$C156,"-")</f>
        <v>-</v>
      </c>
      <c r="I160" s="367" t="str">
        <f t="shared" ref="I160" si="1994">IFERROR(I159/$C156,"-")</f>
        <v>-</v>
      </c>
      <c r="J160" s="367" t="str">
        <f t="shared" ref="J160" si="1995">IFERROR(J159/$C156,"-")</f>
        <v>-</v>
      </c>
      <c r="K160" s="367" t="str">
        <f t="shared" ref="K160" si="1996">IFERROR(K159/$C156,"-")</f>
        <v>-</v>
      </c>
      <c r="L160" s="367" t="str">
        <f t="shared" ref="L160" si="1997">IFERROR(L159/$C156,"-")</f>
        <v>-</v>
      </c>
      <c r="M160" s="367" t="str">
        <f t="shared" ref="M160" si="1998">IFERROR(M159/$C156,"-")</f>
        <v>-</v>
      </c>
      <c r="N160" s="367" t="str">
        <f t="shared" ref="N160" si="1999">IFERROR(N159/$C156,"-")</f>
        <v>-</v>
      </c>
      <c r="O160" s="367" t="str">
        <f t="shared" ref="O160" si="2000">IFERROR(O159/$C156,"-")</f>
        <v>-</v>
      </c>
      <c r="P160" s="367" t="str">
        <f t="shared" ref="P160" si="2001">IFERROR(P159/$C156,"-")</f>
        <v>-</v>
      </c>
      <c r="Q160" s="367" t="str">
        <f t="shared" ref="Q160" si="2002">IFERROR(Q159/$C156,"-")</f>
        <v>-</v>
      </c>
      <c r="R160" s="367" t="str">
        <f t="shared" ref="R160" si="2003">IFERROR(R159/$C156,"-")</f>
        <v>-</v>
      </c>
      <c r="S160" s="367" t="str">
        <f t="shared" ref="S160" si="2004">IFERROR(S159/$C156,"-")</f>
        <v>-</v>
      </c>
      <c r="T160" s="367" t="str">
        <f t="shared" ref="T160" si="2005">IFERROR(T159/$C156,"-")</f>
        <v>-</v>
      </c>
      <c r="U160" s="367" t="str">
        <f t="shared" ref="U160" si="2006">IFERROR(U159/$C156,"-")</f>
        <v>-</v>
      </c>
      <c r="V160" s="367" t="str">
        <f t="shared" ref="V160" si="2007">IFERROR(V159/$C156,"-")</f>
        <v>-</v>
      </c>
      <c r="W160" s="367" t="str">
        <f t="shared" ref="W160" si="2008">IFERROR(W159/$C156,"-")</f>
        <v>-</v>
      </c>
      <c r="X160" s="367" t="str">
        <f t="shared" ref="X160" si="2009">IFERROR(X159/$C156,"-")</f>
        <v>-</v>
      </c>
      <c r="Y160" s="367" t="str">
        <f t="shared" ref="Y160" si="2010">IFERROR(Y159/$C156,"-")</f>
        <v>-</v>
      </c>
      <c r="Z160" s="367" t="str">
        <f t="shared" ref="Z160" si="2011">IFERROR(Z159/$C156,"-")</f>
        <v>-</v>
      </c>
      <c r="AA160" s="367" t="str">
        <f t="shared" ref="AA160" si="2012">IFERROR(AA159/$C156,"-")</f>
        <v>-</v>
      </c>
      <c r="AB160" s="367" t="str">
        <f t="shared" ref="AB160" si="2013">IFERROR(AB159/$C156,"-")</f>
        <v>-</v>
      </c>
      <c r="AC160" s="367" t="str">
        <f t="shared" ref="AC160" si="2014">IFERROR(AC159/$C156,"-")</f>
        <v>-</v>
      </c>
      <c r="AD160" s="367" t="str">
        <f t="shared" ref="AD160" si="2015">IFERROR(AD159/$C156,"-")</f>
        <v>-</v>
      </c>
      <c r="AE160" s="367" t="str">
        <f t="shared" ref="AE160" si="2016">IFERROR(AE159/$C156,"-")</f>
        <v>-</v>
      </c>
      <c r="AF160" s="367" t="str">
        <f t="shared" ref="AF160" si="2017">IFERROR(AF159/$C156,"-")</f>
        <v>-</v>
      </c>
      <c r="AG160" s="367" t="str">
        <f t="shared" ref="AG160" si="2018">IFERROR(AG159/$C156,"-")</f>
        <v>-</v>
      </c>
      <c r="AH160" s="367" t="str">
        <f t="shared" ref="AH160" si="2019">IFERROR(AH159/$C156,"-")</f>
        <v>-</v>
      </c>
      <c r="AI160" s="367" t="str">
        <f t="shared" ref="AI160" si="2020">IFERROR(AI159/$C156,"-")</f>
        <v>-</v>
      </c>
      <c r="AJ160" s="367" t="str">
        <f t="shared" ref="AJ160" si="2021">IFERROR(AJ159/$C156,"-")</f>
        <v>-</v>
      </c>
      <c r="AK160" s="367" t="str">
        <f t="shared" ref="AK160" si="2022">IFERROR(AK159/$C156,"-")</f>
        <v>-</v>
      </c>
      <c r="AL160" s="367" t="str">
        <f t="shared" ref="AL160" si="2023">IFERROR(AL159/$C156,"-")</f>
        <v>-</v>
      </c>
      <c r="AM160" s="367" t="str">
        <f t="shared" ref="AM160" si="2024">IFERROR(AM159/$C156,"-")</f>
        <v>-</v>
      </c>
      <c r="AN160" s="367" t="str">
        <f t="shared" ref="AN160" si="2025">IFERROR(AN159/$C156,"-")</f>
        <v>-</v>
      </c>
      <c r="AO160" s="367" t="str">
        <f t="shared" ref="AO160" si="2026">IFERROR(AO159/$C156,"-")</f>
        <v>-</v>
      </c>
      <c r="AP160" s="367" t="str">
        <f t="shared" ref="AP160" si="2027">IFERROR(AP159/$C156,"-")</f>
        <v>-</v>
      </c>
      <c r="AQ160" s="367" t="str">
        <f t="shared" ref="AQ160" si="2028">IFERROR(AQ159/$C156,"-")</f>
        <v>-</v>
      </c>
      <c r="AR160" s="367" t="str">
        <f t="shared" ref="AR160" si="2029">IFERROR(AR159/$C156,"-")</f>
        <v>-</v>
      </c>
      <c r="AS160" s="367" t="str">
        <f t="shared" ref="AS160" si="2030">IFERROR(AS159/$C156,"-")</f>
        <v>-</v>
      </c>
      <c r="AT160" s="367" t="str">
        <f t="shared" ref="AT160" si="2031">IFERROR(AT159/$C156,"-")</f>
        <v>-</v>
      </c>
      <c r="AU160" s="367" t="str">
        <f t="shared" ref="AU160" si="2032">IFERROR(AU159/$C156,"-")</f>
        <v>-</v>
      </c>
      <c r="AV160" s="367" t="str">
        <f t="shared" ref="AV160" si="2033">IFERROR(AV159/$C156,"-")</f>
        <v>-</v>
      </c>
      <c r="AW160" s="367" t="str">
        <f t="shared" ref="AW160" si="2034">IFERROR(AW159/$C156,"-")</f>
        <v>-</v>
      </c>
      <c r="AX160" s="367" t="str">
        <f t="shared" ref="AX160" si="2035">IFERROR(AX159/$C156,"-")</f>
        <v>-</v>
      </c>
      <c r="AY160" s="367" t="str">
        <f t="shared" ref="AY160" si="2036">IFERROR(AY159/$C156,"-")</f>
        <v>-</v>
      </c>
      <c r="AZ160" s="367" t="str">
        <f t="shared" ref="AZ160" si="2037">IFERROR(AZ159/$C156,"-")</f>
        <v>-</v>
      </c>
      <c r="BA160" s="367" t="str">
        <f t="shared" ref="BA160" si="2038">IFERROR(BA159/$C156,"-")</f>
        <v>-</v>
      </c>
      <c r="BB160" s="368" t="str">
        <f t="shared" ref="BB160" si="2039">IFERROR(BB159/$C156,"-")</f>
        <v>-</v>
      </c>
    </row>
    <row r="161" spans="1:54" ht="17.25" customHeight="1" thickBot="1">
      <c r="J161" s="6"/>
      <c r="K161" s="6"/>
      <c r="L161" s="6"/>
      <c r="M161" s="6"/>
      <c r="O161" s="5"/>
      <c r="P161" s="5"/>
      <c r="Q161" s="5"/>
      <c r="R161" s="5"/>
    </row>
    <row r="162" spans="1:54" ht="18" thickBot="1">
      <c r="A162"/>
      <c r="B162" s="533" t="s">
        <v>317</v>
      </c>
      <c r="C162" s="534"/>
      <c r="D162" s="32"/>
      <c r="E162" s="275"/>
      <c r="J162" s="6"/>
      <c r="K162" s="6"/>
      <c r="L162" s="6"/>
      <c r="M162" s="6"/>
    </row>
    <row r="163" spans="1:54" ht="15.75" thickBot="1">
      <c r="B163" s="360" t="s">
        <v>11</v>
      </c>
      <c r="C163" s="369">
        <v>0</v>
      </c>
      <c r="D163" s="364"/>
      <c r="E163" s="365">
        <f t="shared" ref="E163:AJ163" si="2040">E$9</f>
        <v>2024</v>
      </c>
      <c r="F163" s="279">
        <f t="shared" si="2040"/>
        <v>2025</v>
      </c>
      <c r="G163" s="279">
        <f t="shared" si="2040"/>
        <v>2026</v>
      </c>
      <c r="H163" s="279">
        <f t="shared" si="2040"/>
        <v>2027</v>
      </c>
      <c r="I163" s="279">
        <f t="shared" si="2040"/>
        <v>2028</v>
      </c>
      <c r="J163" s="279">
        <f t="shared" si="2040"/>
        <v>2029</v>
      </c>
      <c r="K163" s="279">
        <f t="shared" si="2040"/>
        <v>2030</v>
      </c>
      <c r="L163" s="279">
        <f t="shared" si="2040"/>
        <v>2031</v>
      </c>
      <c r="M163" s="279">
        <f t="shared" si="2040"/>
        <v>2032</v>
      </c>
      <c r="N163" s="279">
        <f t="shared" si="2040"/>
        <v>2033</v>
      </c>
      <c r="O163" s="279">
        <f t="shared" si="2040"/>
        <v>2034</v>
      </c>
      <c r="P163" s="279">
        <f t="shared" si="2040"/>
        <v>2035</v>
      </c>
      <c r="Q163" s="279">
        <f t="shared" si="2040"/>
        <v>2036</v>
      </c>
      <c r="R163" s="279">
        <f t="shared" si="2040"/>
        <v>2037</v>
      </c>
      <c r="S163" s="279">
        <f t="shared" si="2040"/>
        <v>2038</v>
      </c>
      <c r="T163" s="279">
        <f t="shared" si="2040"/>
        <v>2039</v>
      </c>
      <c r="U163" s="279">
        <f t="shared" si="2040"/>
        <v>2040</v>
      </c>
      <c r="V163" s="279">
        <f t="shared" si="2040"/>
        <v>2041</v>
      </c>
      <c r="W163" s="279">
        <f t="shared" si="2040"/>
        <v>2042</v>
      </c>
      <c r="X163" s="279">
        <f t="shared" si="2040"/>
        <v>2043</v>
      </c>
      <c r="Y163" s="279">
        <f t="shared" si="2040"/>
        <v>2044</v>
      </c>
      <c r="Z163" s="279">
        <f t="shared" si="2040"/>
        <v>2045</v>
      </c>
      <c r="AA163" s="279">
        <f t="shared" si="2040"/>
        <v>2046</v>
      </c>
      <c r="AB163" s="279">
        <f t="shared" si="2040"/>
        <v>2047</v>
      </c>
      <c r="AC163" s="279">
        <f t="shared" si="2040"/>
        <v>2048</v>
      </c>
      <c r="AD163" s="279">
        <f t="shared" si="2040"/>
        <v>2049</v>
      </c>
      <c r="AE163" s="279">
        <f t="shared" si="2040"/>
        <v>2050</v>
      </c>
      <c r="AF163" s="279">
        <f t="shared" si="2040"/>
        <v>2051</v>
      </c>
      <c r="AG163" s="279">
        <f t="shared" si="2040"/>
        <v>2052</v>
      </c>
      <c r="AH163" s="279">
        <f t="shared" si="2040"/>
        <v>2053</v>
      </c>
      <c r="AI163" s="279">
        <f t="shared" si="2040"/>
        <v>2054</v>
      </c>
      <c r="AJ163" s="279">
        <f t="shared" si="2040"/>
        <v>2055</v>
      </c>
      <c r="AK163" s="279">
        <f t="shared" ref="AK163:BB163" si="2041">AK$9</f>
        <v>2056</v>
      </c>
      <c r="AL163" s="279">
        <f t="shared" si="2041"/>
        <v>2057</v>
      </c>
      <c r="AM163" s="279">
        <f t="shared" si="2041"/>
        <v>2058</v>
      </c>
      <c r="AN163" s="279">
        <f t="shared" si="2041"/>
        <v>2059</v>
      </c>
      <c r="AO163" s="279">
        <f t="shared" si="2041"/>
        <v>2060</v>
      </c>
      <c r="AP163" s="279">
        <f t="shared" si="2041"/>
        <v>2061</v>
      </c>
      <c r="AQ163" s="279">
        <f t="shared" si="2041"/>
        <v>2062</v>
      </c>
      <c r="AR163" s="279">
        <f t="shared" si="2041"/>
        <v>2063</v>
      </c>
      <c r="AS163" s="279">
        <f t="shared" si="2041"/>
        <v>2064</v>
      </c>
      <c r="AT163" s="279">
        <f t="shared" si="2041"/>
        <v>2065</v>
      </c>
      <c r="AU163" s="279">
        <f t="shared" si="2041"/>
        <v>2066</v>
      </c>
      <c r="AV163" s="279">
        <f t="shared" si="2041"/>
        <v>2067</v>
      </c>
      <c r="AW163" s="279">
        <f t="shared" si="2041"/>
        <v>2068</v>
      </c>
      <c r="AX163" s="279">
        <f t="shared" si="2041"/>
        <v>2069</v>
      </c>
      <c r="AY163" s="279">
        <f t="shared" si="2041"/>
        <v>2070</v>
      </c>
      <c r="AZ163" s="279">
        <f t="shared" si="2041"/>
        <v>2071</v>
      </c>
      <c r="BA163" s="279">
        <f t="shared" si="2041"/>
        <v>2072</v>
      </c>
      <c r="BB163" s="280">
        <f t="shared" si="2041"/>
        <v>2073</v>
      </c>
    </row>
    <row r="164" spans="1:54">
      <c r="A164"/>
      <c r="B164" s="485" t="s">
        <v>261</v>
      </c>
      <c r="C164" s="535"/>
      <c r="D164" s="486"/>
      <c r="E164" s="307">
        <v>0</v>
      </c>
      <c r="F164" s="281">
        <f>E166</f>
        <v>0</v>
      </c>
      <c r="G164" s="281">
        <f t="shared" ref="G164" si="2042">F166</f>
        <v>0</v>
      </c>
      <c r="H164" s="281">
        <f t="shared" ref="H164" si="2043">G166</f>
        <v>0</v>
      </c>
      <c r="I164" s="281">
        <f t="shared" ref="I164" si="2044">H166</f>
        <v>0</v>
      </c>
      <c r="J164" s="281">
        <f t="shared" ref="J164" si="2045">I166</f>
        <v>0</v>
      </c>
      <c r="K164" s="281">
        <f t="shared" ref="K164" si="2046">J166</f>
        <v>0</v>
      </c>
      <c r="L164" s="281">
        <f t="shared" ref="L164" si="2047">K166</f>
        <v>0</v>
      </c>
      <c r="M164" s="281">
        <f t="shared" ref="M164" si="2048">L166</f>
        <v>0</v>
      </c>
      <c r="N164" s="281">
        <f t="shared" ref="N164" si="2049">M166</f>
        <v>0</v>
      </c>
      <c r="O164" s="281">
        <f t="shared" ref="O164" si="2050">N166</f>
        <v>0</v>
      </c>
      <c r="P164" s="281">
        <f t="shared" ref="P164" si="2051">O166</f>
        <v>0</v>
      </c>
      <c r="Q164" s="281">
        <f t="shared" ref="Q164" si="2052">P166</f>
        <v>0</v>
      </c>
      <c r="R164" s="281">
        <f t="shared" ref="R164" si="2053">Q166</f>
        <v>0</v>
      </c>
      <c r="S164" s="281">
        <f t="shared" ref="S164" si="2054">R166</f>
        <v>0</v>
      </c>
      <c r="T164" s="281">
        <f t="shared" ref="T164" si="2055">S166</f>
        <v>0</v>
      </c>
      <c r="U164" s="281">
        <f t="shared" ref="U164" si="2056">T166</f>
        <v>0</v>
      </c>
      <c r="V164" s="281">
        <f t="shared" ref="V164" si="2057">U166</f>
        <v>0</v>
      </c>
      <c r="W164" s="281">
        <f t="shared" ref="W164" si="2058">V166</f>
        <v>0</v>
      </c>
      <c r="X164" s="281">
        <f t="shared" ref="X164" si="2059">W166</f>
        <v>0</v>
      </c>
      <c r="Y164" s="281">
        <f t="shared" ref="Y164" si="2060">X166</f>
        <v>0</v>
      </c>
      <c r="Z164" s="281">
        <f t="shared" ref="Z164" si="2061">Y166</f>
        <v>0</v>
      </c>
      <c r="AA164" s="281">
        <f t="shared" ref="AA164" si="2062">Z166</f>
        <v>0</v>
      </c>
      <c r="AB164" s="281">
        <f t="shared" ref="AB164" si="2063">AA166</f>
        <v>0</v>
      </c>
      <c r="AC164" s="281">
        <f t="shared" ref="AC164" si="2064">AB166</f>
        <v>0</v>
      </c>
      <c r="AD164" s="281">
        <f t="shared" ref="AD164" si="2065">AC166</f>
        <v>0</v>
      </c>
      <c r="AE164" s="281">
        <f t="shared" ref="AE164" si="2066">AD166</f>
        <v>0</v>
      </c>
      <c r="AF164" s="281">
        <f t="shared" ref="AF164" si="2067">AE166</f>
        <v>0</v>
      </c>
      <c r="AG164" s="281">
        <f t="shared" ref="AG164" si="2068">AF166</f>
        <v>0</v>
      </c>
      <c r="AH164" s="281">
        <f t="shared" ref="AH164" si="2069">AG166</f>
        <v>0</v>
      </c>
      <c r="AI164" s="281">
        <f t="shared" ref="AI164" si="2070">AH166</f>
        <v>0</v>
      </c>
      <c r="AJ164" s="281">
        <f t="shared" ref="AJ164" si="2071">AI166</f>
        <v>0</v>
      </c>
      <c r="AK164" s="281">
        <f t="shared" ref="AK164" si="2072">AJ166</f>
        <v>0</v>
      </c>
      <c r="AL164" s="281">
        <f t="shared" ref="AL164" si="2073">AK166</f>
        <v>0</v>
      </c>
      <c r="AM164" s="281">
        <f t="shared" ref="AM164" si="2074">AL166</f>
        <v>0</v>
      </c>
      <c r="AN164" s="281">
        <f t="shared" ref="AN164" si="2075">AM166</f>
        <v>0</v>
      </c>
      <c r="AO164" s="281">
        <f t="shared" ref="AO164" si="2076">AN166</f>
        <v>0</v>
      </c>
      <c r="AP164" s="281">
        <f t="shared" ref="AP164" si="2077">AO166</f>
        <v>0</v>
      </c>
      <c r="AQ164" s="281">
        <f t="shared" ref="AQ164" si="2078">AP166</f>
        <v>0</v>
      </c>
      <c r="AR164" s="281">
        <f t="shared" ref="AR164" si="2079">AQ166</f>
        <v>0</v>
      </c>
      <c r="AS164" s="281">
        <f t="shared" ref="AS164" si="2080">AR166</f>
        <v>0</v>
      </c>
      <c r="AT164" s="281">
        <f t="shared" ref="AT164" si="2081">AS166</f>
        <v>0</v>
      </c>
      <c r="AU164" s="281">
        <f t="shared" ref="AU164" si="2082">AT166</f>
        <v>0</v>
      </c>
      <c r="AV164" s="281">
        <f t="shared" ref="AV164" si="2083">AU166</f>
        <v>0</v>
      </c>
      <c r="AW164" s="281">
        <f t="shared" ref="AW164" si="2084">AV166</f>
        <v>0</v>
      </c>
      <c r="AX164" s="281">
        <f t="shared" ref="AX164" si="2085">AW166</f>
        <v>0</v>
      </c>
      <c r="AY164" s="281">
        <f t="shared" ref="AY164" si="2086">AX166</f>
        <v>0</v>
      </c>
      <c r="AZ164" s="281">
        <f t="shared" ref="AZ164" si="2087">AY166</f>
        <v>0</v>
      </c>
      <c r="BA164" s="281">
        <f t="shared" ref="BA164" si="2088">AZ166</f>
        <v>0</v>
      </c>
      <c r="BB164" s="282">
        <f t="shared" ref="BB164" si="2089">BA166</f>
        <v>0</v>
      </c>
    </row>
    <row r="165" spans="1:54">
      <c r="A165"/>
      <c r="B165" s="479" t="s">
        <v>99</v>
      </c>
      <c r="C165" s="536"/>
      <c r="D165" s="480"/>
      <c r="E165" s="289">
        <f>Cockpit!$H$31</f>
        <v>0.03</v>
      </c>
      <c r="F165" s="289">
        <f>Cockpit!$H$31</f>
        <v>0.03</v>
      </c>
      <c r="G165" s="289">
        <f>Cockpit!$H$31</f>
        <v>0.03</v>
      </c>
      <c r="H165" s="289">
        <f>Cockpit!$H$31</f>
        <v>0.03</v>
      </c>
      <c r="I165" s="289">
        <f>Cockpit!$H$31</f>
        <v>0.03</v>
      </c>
      <c r="J165" s="289">
        <f>Cockpit!$H$31</f>
        <v>0.03</v>
      </c>
      <c r="K165" s="289">
        <f>Cockpit!$H$31</f>
        <v>0.03</v>
      </c>
      <c r="L165" s="289">
        <f>Cockpit!$H$31</f>
        <v>0.03</v>
      </c>
      <c r="M165" s="289">
        <f>Cockpit!$H$31</f>
        <v>0.03</v>
      </c>
      <c r="N165" s="289">
        <f>Cockpit!$H$31</f>
        <v>0.03</v>
      </c>
      <c r="O165" s="289">
        <f>Cockpit!$H$31</f>
        <v>0.03</v>
      </c>
      <c r="P165" s="289">
        <f>Cockpit!$H$31</f>
        <v>0.03</v>
      </c>
      <c r="Q165" s="289">
        <f>Cockpit!$H$31</f>
        <v>0.03</v>
      </c>
      <c r="R165" s="289">
        <f>Cockpit!$H$31</f>
        <v>0.03</v>
      </c>
      <c r="S165" s="289">
        <f>Cockpit!$H$31</f>
        <v>0.03</v>
      </c>
      <c r="T165" s="289">
        <f>Cockpit!$H$31</f>
        <v>0.03</v>
      </c>
      <c r="U165" s="289">
        <f>Cockpit!$H$31</f>
        <v>0.03</v>
      </c>
      <c r="V165" s="289">
        <f>Cockpit!$H$31</f>
        <v>0.03</v>
      </c>
      <c r="W165" s="289">
        <f>Cockpit!$H$31</f>
        <v>0.03</v>
      </c>
      <c r="X165" s="289">
        <f>Cockpit!$H$31</f>
        <v>0.03</v>
      </c>
      <c r="Y165" s="289">
        <f>Cockpit!$H$31</f>
        <v>0.03</v>
      </c>
      <c r="Z165" s="289">
        <f>Cockpit!$H$31</f>
        <v>0.03</v>
      </c>
      <c r="AA165" s="289">
        <f>Cockpit!$H$31</f>
        <v>0.03</v>
      </c>
      <c r="AB165" s="289">
        <f>Cockpit!$H$31</f>
        <v>0.03</v>
      </c>
      <c r="AC165" s="289">
        <f>Cockpit!$H$31</f>
        <v>0.03</v>
      </c>
      <c r="AD165" s="289">
        <f>Cockpit!$H$31</f>
        <v>0.03</v>
      </c>
      <c r="AE165" s="289">
        <f>Cockpit!$H$31</f>
        <v>0.03</v>
      </c>
      <c r="AF165" s="289">
        <f>Cockpit!$H$31</f>
        <v>0.03</v>
      </c>
      <c r="AG165" s="289">
        <f>Cockpit!$H$31</f>
        <v>0.03</v>
      </c>
      <c r="AH165" s="289">
        <f>Cockpit!$H$31</f>
        <v>0.03</v>
      </c>
      <c r="AI165" s="289">
        <f>Cockpit!$H$31</f>
        <v>0.03</v>
      </c>
      <c r="AJ165" s="289">
        <f>Cockpit!$H$31</f>
        <v>0.03</v>
      </c>
      <c r="AK165" s="289">
        <f>Cockpit!$H$31</f>
        <v>0.03</v>
      </c>
      <c r="AL165" s="289">
        <f>Cockpit!$H$31</f>
        <v>0.03</v>
      </c>
      <c r="AM165" s="289">
        <f>Cockpit!$H$31</f>
        <v>0.03</v>
      </c>
      <c r="AN165" s="289">
        <f>Cockpit!$H$31</f>
        <v>0.03</v>
      </c>
      <c r="AO165" s="289">
        <f>Cockpit!$H$31</f>
        <v>0.03</v>
      </c>
      <c r="AP165" s="289">
        <f>Cockpit!$H$31</f>
        <v>0.03</v>
      </c>
      <c r="AQ165" s="289">
        <f>Cockpit!$H$31</f>
        <v>0.03</v>
      </c>
      <c r="AR165" s="289">
        <f>Cockpit!$H$31</f>
        <v>0.03</v>
      </c>
      <c r="AS165" s="289">
        <f>Cockpit!$H$31</f>
        <v>0.03</v>
      </c>
      <c r="AT165" s="289">
        <f>Cockpit!$H$31</f>
        <v>0.03</v>
      </c>
      <c r="AU165" s="289">
        <f>Cockpit!$H$31</f>
        <v>0.03</v>
      </c>
      <c r="AV165" s="289">
        <f>Cockpit!$H$31</f>
        <v>0.03</v>
      </c>
      <c r="AW165" s="289">
        <f>Cockpit!$H$31</f>
        <v>0.03</v>
      </c>
      <c r="AX165" s="289">
        <f>Cockpit!$H$31</f>
        <v>0.03</v>
      </c>
      <c r="AY165" s="289">
        <f>Cockpit!$H$31</f>
        <v>0.03</v>
      </c>
      <c r="AZ165" s="289">
        <f>Cockpit!$H$31</f>
        <v>0.03</v>
      </c>
      <c r="BA165" s="289">
        <f>Cockpit!$H$31</f>
        <v>0.03</v>
      </c>
      <c r="BB165" s="290">
        <f>Cockpit!$H$31</f>
        <v>0.03</v>
      </c>
    </row>
    <row r="166" spans="1:54">
      <c r="B166" s="479" t="s">
        <v>67</v>
      </c>
      <c r="C166" s="536"/>
      <c r="D166" s="480"/>
      <c r="E166" s="10">
        <f t="shared" ref="E166:BB166" si="2090">E164*(1+E165)</f>
        <v>0</v>
      </c>
      <c r="F166" s="10">
        <f t="shared" si="2090"/>
        <v>0</v>
      </c>
      <c r="G166" s="10">
        <f t="shared" si="2090"/>
        <v>0</v>
      </c>
      <c r="H166" s="10">
        <f t="shared" si="2090"/>
        <v>0</v>
      </c>
      <c r="I166" s="10">
        <f t="shared" si="2090"/>
        <v>0</v>
      </c>
      <c r="J166" s="10">
        <f t="shared" si="2090"/>
        <v>0</v>
      </c>
      <c r="K166" s="10">
        <f t="shared" si="2090"/>
        <v>0</v>
      </c>
      <c r="L166" s="10">
        <f t="shared" si="2090"/>
        <v>0</v>
      </c>
      <c r="M166" s="10">
        <f t="shared" si="2090"/>
        <v>0</v>
      </c>
      <c r="N166" s="10">
        <f t="shared" si="2090"/>
        <v>0</v>
      </c>
      <c r="O166" s="10">
        <f t="shared" si="2090"/>
        <v>0</v>
      </c>
      <c r="P166" s="10">
        <f t="shared" si="2090"/>
        <v>0</v>
      </c>
      <c r="Q166" s="10">
        <f t="shared" si="2090"/>
        <v>0</v>
      </c>
      <c r="R166" s="10">
        <f t="shared" si="2090"/>
        <v>0</v>
      </c>
      <c r="S166" s="10">
        <f t="shared" si="2090"/>
        <v>0</v>
      </c>
      <c r="T166" s="10">
        <f t="shared" si="2090"/>
        <v>0</v>
      </c>
      <c r="U166" s="10">
        <f t="shared" si="2090"/>
        <v>0</v>
      </c>
      <c r="V166" s="10">
        <f t="shared" si="2090"/>
        <v>0</v>
      </c>
      <c r="W166" s="10">
        <f t="shared" si="2090"/>
        <v>0</v>
      </c>
      <c r="X166" s="10">
        <f t="shared" si="2090"/>
        <v>0</v>
      </c>
      <c r="Y166" s="10">
        <f t="shared" si="2090"/>
        <v>0</v>
      </c>
      <c r="Z166" s="10">
        <f t="shared" si="2090"/>
        <v>0</v>
      </c>
      <c r="AA166" s="10">
        <f t="shared" si="2090"/>
        <v>0</v>
      </c>
      <c r="AB166" s="10">
        <f t="shared" si="2090"/>
        <v>0</v>
      </c>
      <c r="AC166" s="10">
        <f t="shared" si="2090"/>
        <v>0</v>
      </c>
      <c r="AD166" s="10">
        <f t="shared" si="2090"/>
        <v>0</v>
      </c>
      <c r="AE166" s="10">
        <f t="shared" si="2090"/>
        <v>0</v>
      </c>
      <c r="AF166" s="10">
        <f t="shared" si="2090"/>
        <v>0</v>
      </c>
      <c r="AG166" s="10">
        <f t="shared" si="2090"/>
        <v>0</v>
      </c>
      <c r="AH166" s="10">
        <f t="shared" si="2090"/>
        <v>0</v>
      </c>
      <c r="AI166" s="10">
        <f t="shared" si="2090"/>
        <v>0</v>
      </c>
      <c r="AJ166" s="10">
        <f t="shared" si="2090"/>
        <v>0</v>
      </c>
      <c r="AK166" s="10">
        <f t="shared" si="2090"/>
        <v>0</v>
      </c>
      <c r="AL166" s="10">
        <f t="shared" si="2090"/>
        <v>0</v>
      </c>
      <c r="AM166" s="10">
        <f t="shared" si="2090"/>
        <v>0</v>
      </c>
      <c r="AN166" s="10">
        <f t="shared" si="2090"/>
        <v>0</v>
      </c>
      <c r="AO166" s="10">
        <f t="shared" si="2090"/>
        <v>0</v>
      </c>
      <c r="AP166" s="10">
        <f t="shared" si="2090"/>
        <v>0</v>
      </c>
      <c r="AQ166" s="10">
        <f t="shared" si="2090"/>
        <v>0</v>
      </c>
      <c r="AR166" s="10">
        <f t="shared" si="2090"/>
        <v>0</v>
      </c>
      <c r="AS166" s="10">
        <f t="shared" si="2090"/>
        <v>0</v>
      </c>
      <c r="AT166" s="10">
        <f t="shared" si="2090"/>
        <v>0</v>
      </c>
      <c r="AU166" s="10">
        <f t="shared" si="2090"/>
        <v>0</v>
      </c>
      <c r="AV166" s="10">
        <f t="shared" si="2090"/>
        <v>0</v>
      </c>
      <c r="AW166" s="10">
        <f t="shared" si="2090"/>
        <v>0</v>
      </c>
      <c r="AX166" s="10">
        <f t="shared" si="2090"/>
        <v>0</v>
      </c>
      <c r="AY166" s="10">
        <f t="shared" si="2090"/>
        <v>0</v>
      </c>
      <c r="AZ166" s="10">
        <f t="shared" si="2090"/>
        <v>0</v>
      </c>
      <c r="BA166" s="10">
        <f t="shared" si="2090"/>
        <v>0</v>
      </c>
      <c r="BB166" s="283">
        <f t="shared" si="2090"/>
        <v>0</v>
      </c>
    </row>
    <row r="167" spans="1:54" ht="15.75" thickBot="1">
      <c r="B167" s="492" t="s">
        <v>301</v>
      </c>
      <c r="C167" s="537"/>
      <c r="D167" s="493"/>
      <c r="E167" s="367" t="str">
        <f>IFERROR(E166/$C163,"-")</f>
        <v>-</v>
      </c>
      <c r="F167" s="367" t="str">
        <f>IFERROR(F166/$C163,"-")</f>
        <v>-</v>
      </c>
      <c r="G167" s="367" t="str">
        <f t="shared" ref="G167" si="2091">IFERROR(G166/$C163,"-")</f>
        <v>-</v>
      </c>
      <c r="H167" s="367" t="str">
        <f t="shared" ref="H167" si="2092">IFERROR(H166/$C163,"-")</f>
        <v>-</v>
      </c>
      <c r="I167" s="367" t="str">
        <f t="shared" ref="I167" si="2093">IFERROR(I166/$C163,"-")</f>
        <v>-</v>
      </c>
      <c r="J167" s="367" t="str">
        <f t="shared" ref="J167" si="2094">IFERROR(J166/$C163,"-")</f>
        <v>-</v>
      </c>
      <c r="K167" s="367" t="str">
        <f t="shared" ref="K167" si="2095">IFERROR(K166/$C163,"-")</f>
        <v>-</v>
      </c>
      <c r="L167" s="367" t="str">
        <f t="shared" ref="L167" si="2096">IFERROR(L166/$C163,"-")</f>
        <v>-</v>
      </c>
      <c r="M167" s="367" t="str">
        <f t="shared" ref="M167" si="2097">IFERROR(M166/$C163,"-")</f>
        <v>-</v>
      </c>
      <c r="N167" s="367" t="str">
        <f t="shared" ref="N167" si="2098">IFERROR(N166/$C163,"-")</f>
        <v>-</v>
      </c>
      <c r="O167" s="367" t="str">
        <f t="shared" ref="O167" si="2099">IFERROR(O166/$C163,"-")</f>
        <v>-</v>
      </c>
      <c r="P167" s="367" t="str">
        <f t="shared" ref="P167" si="2100">IFERROR(P166/$C163,"-")</f>
        <v>-</v>
      </c>
      <c r="Q167" s="367" t="str">
        <f t="shared" ref="Q167" si="2101">IFERROR(Q166/$C163,"-")</f>
        <v>-</v>
      </c>
      <c r="R167" s="367" t="str">
        <f t="shared" ref="R167" si="2102">IFERROR(R166/$C163,"-")</f>
        <v>-</v>
      </c>
      <c r="S167" s="367" t="str">
        <f t="shared" ref="S167" si="2103">IFERROR(S166/$C163,"-")</f>
        <v>-</v>
      </c>
      <c r="T167" s="367" t="str">
        <f t="shared" ref="T167" si="2104">IFERROR(T166/$C163,"-")</f>
        <v>-</v>
      </c>
      <c r="U167" s="367" t="str">
        <f t="shared" ref="U167" si="2105">IFERROR(U166/$C163,"-")</f>
        <v>-</v>
      </c>
      <c r="V167" s="367" t="str">
        <f t="shared" ref="V167" si="2106">IFERROR(V166/$C163,"-")</f>
        <v>-</v>
      </c>
      <c r="W167" s="367" t="str">
        <f t="shared" ref="W167" si="2107">IFERROR(W166/$C163,"-")</f>
        <v>-</v>
      </c>
      <c r="X167" s="367" t="str">
        <f t="shared" ref="X167" si="2108">IFERROR(X166/$C163,"-")</f>
        <v>-</v>
      </c>
      <c r="Y167" s="367" t="str">
        <f t="shared" ref="Y167" si="2109">IFERROR(Y166/$C163,"-")</f>
        <v>-</v>
      </c>
      <c r="Z167" s="367" t="str">
        <f t="shared" ref="Z167" si="2110">IFERROR(Z166/$C163,"-")</f>
        <v>-</v>
      </c>
      <c r="AA167" s="367" t="str">
        <f t="shared" ref="AA167" si="2111">IFERROR(AA166/$C163,"-")</f>
        <v>-</v>
      </c>
      <c r="AB167" s="367" t="str">
        <f t="shared" ref="AB167" si="2112">IFERROR(AB166/$C163,"-")</f>
        <v>-</v>
      </c>
      <c r="AC167" s="367" t="str">
        <f t="shared" ref="AC167" si="2113">IFERROR(AC166/$C163,"-")</f>
        <v>-</v>
      </c>
      <c r="AD167" s="367" t="str">
        <f t="shared" ref="AD167" si="2114">IFERROR(AD166/$C163,"-")</f>
        <v>-</v>
      </c>
      <c r="AE167" s="367" t="str">
        <f t="shared" ref="AE167" si="2115">IFERROR(AE166/$C163,"-")</f>
        <v>-</v>
      </c>
      <c r="AF167" s="367" t="str">
        <f t="shared" ref="AF167" si="2116">IFERROR(AF166/$C163,"-")</f>
        <v>-</v>
      </c>
      <c r="AG167" s="367" t="str">
        <f t="shared" ref="AG167" si="2117">IFERROR(AG166/$C163,"-")</f>
        <v>-</v>
      </c>
      <c r="AH167" s="367" t="str">
        <f t="shared" ref="AH167" si="2118">IFERROR(AH166/$C163,"-")</f>
        <v>-</v>
      </c>
      <c r="AI167" s="367" t="str">
        <f t="shared" ref="AI167" si="2119">IFERROR(AI166/$C163,"-")</f>
        <v>-</v>
      </c>
      <c r="AJ167" s="367" t="str">
        <f t="shared" ref="AJ167" si="2120">IFERROR(AJ166/$C163,"-")</f>
        <v>-</v>
      </c>
      <c r="AK167" s="367" t="str">
        <f t="shared" ref="AK167" si="2121">IFERROR(AK166/$C163,"-")</f>
        <v>-</v>
      </c>
      <c r="AL167" s="367" t="str">
        <f t="shared" ref="AL167" si="2122">IFERROR(AL166/$C163,"-")</f>
        <v>-</v>
      </c>
      <c r="AM167" s="367" t="str">
        <f t="shared" ref="AM167" si="2123">IFERROR(AM166/$C163,"-")</f>
        <v>-</v>
      </c>
      <c r="AN167" s="367" t="str">
        <f t="shared" ref="AN167" si="2124">IFERROR(AN166/$C163,"-")</f>
        <v>-</v>
      </c>
      <c r="AO167" s="367" t="str">
        <f t="shared" ref="AO167" si="2125">IFERROR(AO166/$C163,"-")</f>
        <v>-</v>
      </c>
      <c r="AP167" s="367" t="str">
        <f t="shared" ref="AP167" si="2126">IFERROR(AP166/$C163,"-")</f>
        <v>-</v>
      </c>
      <c r="AQ167" s="367" t="str">
        <f t="shared" ref="AQ167" si="2127">IFERROR(AQ166/$C163,"-")</f>
        <v>-</v>
      </c>
      <c r="AR167" s="367" t="str">
        <f t="shared" ref="AR167" si="2128">IFERROR(AR166/$C163,"-")</f>
        <v>-</v>
      </c>
      <c r="AS167" s="367" t="str">
        <f t="shared" ref="AS167" si="2129">IFERROR(AS166/$C163,"-")</f>
        <v>-</v>
      </c>
      <c r="AT167" s="367" t="str">
        <f t="shared" ref="AT167" si="2130">IFERROR(AT166/$C163,"-")</f>
        <v>-</v>
      </c>
      <c r="AU167" s="367" t="str">
        <f t="shared" ref="AU167" si="2131">IFERROR(AU166/$C163,"-")</f>
        <v>-</v>
      </c>
      <c r="AV167" s="367" t="str">
        <f t="shared" ref="AV167" si="2132">IFERROR(AV166/$C163,"-")</f>
        <v>-</v>
      </c>
      <c r="AW167" s="367" t="str">
        <f t="shared" ref="AW167" si="2133">IFERROR(AW166/$C163,"-")</f>
        <v>-</v>
      </c>
      <c r="AX167" s="367" t="str">
        <f t="shared" ref="AX167" si="2134">IFERROR(AX166/$C163,"-")</f>
        <v>-</v>
      </c>
      <c r="AY167" s="367" t="str">
        <f t="shared" ref="AY167" si="2135">IFERROR(AY166/$C163,"-")</f>
        <v>-</v>
      </c>
      <c r="AZ167" s="367" t="str">
        <f t="shared" ref="AZ167" si="2136">IFERROR(AZ166/$C163,"-")</f>
        <v>-</v>
      </c>
      <c r="BA167" s="367" t="str">
        <f t="shared" ref="BA167" si="2137">IFERROR(BA166/$C163,"-")</f>
        <v>-</v>
      </c>
      <c r="BB167" s="368" t="str">
        <f t="shared" ref="BB167" si="2138">IFERROR(BB166/$C163,"-")</f>
        <v>-</v>
      </c>
    </row>
    <row r="168" spans="1:54" ht="17.25" customHeight="1" thickBot="1">
      <c r="J168" s="6"/>
      <c r="K168" s="6"/>
      <c r="L168" s="6"/>
      <c r="M168" s="6"/>
      <c r="O168" s="5"/>
      <c r="P168" s="5"/>
      <c r="Q168" s="5"/>
      <c r="R168" s="5"/>
    </row>
    <row r="169" spans="1:54" ht="18" thickBot="1">
      <c r="A169"/>
      <c r="B169" s="533" t="s">
        <v>318</v>
      </c>
      <c r="C169" s="534"/>
      <c r="D169" s="32"/>
      <c r="E169" s="275"/>
      <c r="J169" s="6"/>
      <c r="K169" s="6"/>
      <c r="L169" s="6"/>
      <c r="M169" s="6"/>
    </row>
    <row r="170" spans="1:54" ht="15.75" thickBot="1">
      <c r="B170" s="360" t="s">
        <v>11</v>
      </c>
      <c r="C170" s="369">
        <v>0</v>
      </c>
      <c r="D170" s="364"/>
      <c r="E170" s="365">
        <f t="shared" ref="E170:AJ170" si="2139">E$9</f>
        <v>2024</v>
      </c>
      <c r="F170" s="279">
        <f t="shared" si="2139"/>
        <v>2025</v>
      </c>
      <c r="G170" s="279">
        <f t="shared" si="2139"/>
        <v>2026</v>
      </c>
      <c r="H170" s="279">
        <f t="shared" si="2139"/>
        <v>2027</v>
      </c>
      <c r="I170" s="279">
        <f t="shared" si="2139"/>
        <v>2028</v>
      </c>
      <c r="J170" s="279">
        <f t="shared" si="2139"/>
        <v>2029</v>
      </c>
      <c r="K170" s="279">
        <f t="shared" si="2139"/>
        <v>2030</v>
      </c>
      <c r="L170" s="279">
        <f t="shared" si="2139"/>
        <v>2031</v>
      </c>
      <c r="M170" s="279">
        <f t="shared" si="2139"/>
        <v>2032</v>
      </c>
      <c r="N170" s="279">
        <f t="shared" si="2139"/>
        <v>2033</v>
      </c>
      <c r="O170" s="279">
        <f t="shared" si="2139"/>
        <v>2034</v>
      </c>
      <c r="P170" s="279">
        <f t="shared" si="2139"/>
        <v>2035</v>
      </c>
      <c r="Q170" s="279">
        <f t="shared" si="2139"/>
        <v>2036</v>
      </c>
      <c r="R170" s="279">
        <f t="shared" si="2139"/>
        <v>2037</v>
      </c>
      <c r="S170" s="279">
        <f t="shared" si="2139"/>
        <v>2038</v>
      </c>
      <c r="T170" s="279">
        <f t="shared" si="2139"/>
        <v>2039</v>
      </c>
      <c r="U170" s="279">
        <f t="shared" si="2139"/>
        <v>2040</v>
      </c>
      <c r="V170" s="279">
        <f t="shared" si="2139"/>
        <v>2041</v>
      </c>
      <c r="W170" s="279">
        <f t="shared" si="2139"/>
        <v>2042</v>
      </c>
      <c r="X170" s="279">
        <f t="shared" si="2139"/>
        <v>2043</v>
      </c>
      <c r="Y170" s="279">
        <f t="shared" si="2139"/>
        <v>2044</v>
      </c>
      <c r="Z170" s="279">
        <f t="shared" si="2139"/>
        <v>2045</v>
      </c>
      <c r="AA170" s="279">
        <f t="shared" si="2139"/>
        <v>2046</v>
      </c>
      <c r="AB170" s="279">
        <f t="shared" si="2139"/>
        <v>2047</v>
      </c>
      <c r="AC170" s="279">
        <f t="shared" si="2139"/>
        <v>2048</v>
      </c>
      <c r="AD170" s="279">
        <f t="shared" si="2139"/>
        <v>2049</v>
      </c>
      <c r="AE170" s="279">
        <f t="shared" si="2139"/>
        <v>2050</v>
      </c>
      <c r="AF170" s="279">
        <f t="shared" si="2139"/>
        <v>2051</v>
      </c>
      <c r="AG170" s="279">
        <f t="shared" si="2139"/>
        <v>2052</v>
      </c>
      <c r="AH170" s="279">
        <f t="shared" si="2139"/>
        <v>2053</v>
      </c>
      <c r="AI170" s="279">
        <f t="shared" si="2139"/>
        <v>2054</v>
      </c>
      <c r="AJ170" s="279">
        <f t="shared" si="2139"/>
        <v>2055</v>
      </c>
      <c r="AK170" s="279">
        <f t="shared" ref="AK170:BB170" si="2140">AK$9</f>
        <v>2056</v>
      </c>
      <c r="AL170" s="279">
        <f t="shared" si="2140"/>
        <v>2057</v>
      </c>
      <c r="AM170" s="279">
        <f t="shared" si="2140"/>
        <v>2058</v>
      </c>
      <c r="AN170" s="279">
        <f t="shared" si="2140"/>
        <v>2059</v>
      </c>
      <c r="AO170" s="279">
        <f t="shared" si="2140"/>
        <v>2060</v>
      </c>
      <c r="AP170" s="279">
        <f t="shared" si="2140"/>
        <v>2061</v>
      </c>
      <c r="AQ170" s="279">
        <f t="shared" si="2140"/>
        <v>2062</v>
      </c>
      <c r="AR170" s="279">
        <f t="shared" si="2140"/>
        <v>2063</v>
      </c>
      <c r="AS170" s="279">
        <f t="shared" si="2140"/>
        <v>2064</v>
      </c>
      <c r="AT170" s="279">
        <f t="shared" si="2140"/>
        <v>2065</v>
      </c>
      <c r="AU170" s="279">
        <f t="shared" si="2140"/>
        <v>2066</v>
      </c>
      <c r="AV170" s="279">
        <f t="shared" si="2140"/>
        <v>2067</v>
      </c>
      <c r="AW170" s="279">
        <f t="shared" si="2140"/>
        <v>2068</v>
      </c>
      <c r="AX170" s="279">
        <f t="shared" si="2140"/>
        <v>2069</v>
      </c>
      <c r="AY170" s="279">
        <f t="shared" si="2140"/>
        <v>2070</v>
      </c>
      <c r="AZ170" s="279">
        <f t="shared" si="2140"/>
        <v>2071</v>
      </c>
      <c r="BA170" s="279">
        <f t="shared" si="2140"/>
        <v>2072</v>
      </c>
      <c r="BB170" s="280">
        <f t="shared" si="2140"/>
        <v>2073</v>
      </c>
    </row>
    <row r="171" spans="1:54">
      <c r="A171"/>
      <c r="B171" s="485" t="s">
        <v>261</v>
      </c>
      <c r="C171" s="535"/>
      <c r="D171" s="486"/>
      <c r="E171" s="307">
        <v>0</v>
      </c>
      <c r="F171" s="281">
        <f>E173</f>
        <v>0</v>
      </c>
      <c r="G171" s="281">
        <f t="shared" ref="G171" si="2141">F173</f>
        <v>0</v>
      </c>
      <c r="H171" s="281">
        <f t="shared" ref="H171" si="2142">G173</f>
        <v>0</v>
      </c>
      <c r="I171" s="281">
        <f t="shared" ref="I171" si="2143">H173</f>
        <v>0</v>
      </c>
      <c r="J171" s="281">
        <f t="shared" ref="J171" si="2144">I173</f>
        <v>0</v>
      </c>
      <c r="K171" s="281">
        <f t="shared" ref="K171" si="2145">J173</f>
        <v>0</v>
      </c>
      <c r="L171" s="281">
        <f t="shared" ref="L171" si="2146">K173</f>
        <v>0</v>
      </c>
      <c r="M171" s="281">
        <f t="shared" ref="M171" si="2147">L173</f>
        <v>0</v>
      </c>
      <c r="N171" s="281">
        <f t="shared" ref="N171" si="2148">M173</f>
        <v>0</v>
      </c>
      <c r="O171" s="281">
        <f t="shared" ref="O171" si="2149">N173</f>
        <v>0</v>
      </c>
      <c r="P171" s="281">
        <f t="shared" ref="P171" si="2150">O173</f>
        <v>0</v>
      </c>
      <c r="Q171" s="281">
        <f t="shared" ref="Q171" si="2151">P173</f>
        <v>0</v>
      </c>
      <c r="R171" s="281">
        <f t="shared" ref="R171" si="2152">Q173</f>
        <v>0</v>
      </c>
      <c r="S171" s="281">
        <f t="shared" ref="S171" si="2153">R173</f>
        <v>0</v>
      </c>
      <c r="T171" s="281">
        <f t="shared" ref="T171" si="2154">S173</f>
        <v>0</v>
      </c>
      <c r="U171" s="281">
        <f t="shared" ref="U171" si="2155">T173</f>
        <v>0</v>
      </c>
      <c r="V171" s="281">
        <f t="shared" ref="V171" si="2156">U173</f>
        <v>0</v>
      </c>
      <c r="W171" s="281">
        <f t="shared" ref="W171" si="2157">V173</f>
        <v>0</v>
      </c>
      <c r="X171" s="281">
        <f t="shared" ref="X171" si="2158">W173</f>
        <v>0</v>
      </c>
      <c r="Y171" s="281">
        <f t="shared" ref="Y171" si="2159">X173</f>
        <v>0</v>
      </c>
      <c r="Z171" s="281">
        <f t="shared" ref="Z171" si="2160">Y173</f>
        <v>0</v>
      </c>
      <c r="AA171" s="281">
        <f t="shared" ref="AA171" si="2161">Z173</f>
        <v>0</v>
      </c>
      <c r="AB171" s="281">
        <f t="shared" ref="AB171" si="2162">AA173</f>
        <v>0</v>
      </c>
      <c r="AC171" s="281">
        <f t="shared" ref="AC171" si="2163">AB173</f>
        <v>0</v>
      </c>
      <c r="AD171" s="281">
        <f t="shared" ref="AD171" si="2164">AC173</f>
        <v>0</v>
      </c>
      <c r="AE171" s="281">
        <f t="shared" ref="AE171" si="2165">AD173</f>
        <v>0</v>
      </c>
      <c r="AF171" s="281">
        <f t="shared" ref="AF171" si="2166">AE173</f>
        <v>0</v>
      </c>
      <c r="AG171" s="281">
        <f t="shared" ref="AG171" si="2167">AF173</f>
        <v>0</v>
      </c>
      <c r="AH171" s="281">
        <f t="shared" ref="AH171" si="2168">AG173</f>
        <v>0</v>
      </c>
      <c r="AI171" s="281">
        <f t="shared" ref="AI171" si="2169">AH173</f>
        <v>0</v>
      </c>
      <c r="AJ171" s="281">
        <f t="shared" ref="AJ171" si="2170">AI173</f>
        <v>0</v>
      </c>
      <c r="AK171" s="281">
        <f t="shared" ref="AK171" si="2171">AJ173</f>
        <v>0</v>
      </c>
      <c r="AL171" s="281">
        <f t="shared" ref="AL171" si="2172">AK173</f>
        <v>0</v>
      </c>
      <c r="AM171" s="281">
        <f t="shared" ref="AM171" si="2173">AL173</f>
        <v>0</v>
      </c>
      <c r="AN171" s="281">
        <f t="shared" ref="AN171" si="2174">AM173</f>
        <v>0</v>
      </c>
      <c r="AO171" s="281">
        <f t="shared" ref="AO171" si="2175">AN173</f>
        <v>0</v>
      </c>
      <c r="AP171" s="281">
        <f t="shared" ref="AP171" si="2176">AO173</f>
        <v>0</v>
      </c>
      <c r="AQ171" s="281">
        <f t="shared" ref="AQ171" si="2177">AP173</f>
        <v>0</v>
      </c>
      <c r="AR171" s="281">
        <f t="shared" ref="AR171" si="2178">AQ173</f>
        <v>0</v>
      </c>
      <c r="AS171" s="281">
        <f t="shared" ref="AS171" si="2179">AR173</f>
        <v>0</v>
      </c>
      <c r="AT171" s="281">
        <f t="shared" ref="AT171" si="2180">AS173</f>
        <v>0</v>
      </c>
      <c r="AU171" s="281">
        <f t="shared" ref="AU171" si="2181">AT173</f>
        <v>0</v>
      </c>
      <c r="AV171" s="281">
        <f t="shared" ref="AV171" si="2182">AU173</f>
        <v>0</v>
      </c>
      <c r="AW171" s="281">
        <f t="shared" ref="AW171" si="2183">AV173</f>
        <v>0</v>
      </c>
      <c r="AX171" s="281">
        <f t="shared" ref="AX171" si="2184">AW173</f>
        <v>0</v>
      </c>
      <c r="AY171" s="281">
        <f t="shared" ref="AY171" si="2185">AX173</f>
        <v>0</v>
      </c>
      <c r="AZ171" s="281">
        <f t="shared" ref="AZ171" si="2186">AY173</f>
        <v>0</v>
      </c>
      <c r="BA171" s="281">
        <f t="shared" ref="BA171" si="2187">AZ173</f>
        <v>0</v>
      </c>
      <c r="BB171" s="282">
        <f t="shared" ref="BB171" si="2188">BA173</f>
        <v>0</v>
      </c>
    </row>
    <row r="172" spans="1:54">
      <c r="A172"/>
      <c r="B172" s="479" t="s">
        <v>99</v>
      </c>
      <c r="C172" s="536"/>
      <c r="D172" s="480"/>
      <c r="E172" s="289">
        <f>Cockpit!$H$31</f>
        <v>0.03</v>
      </c>
      <c r="F172" s="289">
        <f>Cockpit!$H$31</f>
        <v>0.03</v>
      </c>
      <c r="G172" s="289">
        <f>Cockpit!$H$31</f>
        <v>0.03</v>
      </c>
      <c r="H172" s="289">
        <f>Cockpit!$H$31</f>
        <v>0.03</v>
      </c>
      <c r="I172" s="289">
        <f>Cockpit!$H$31</f>
        <v>0.03</v>
      </c>
      <c r="J172" s="289">
        <f>Cockpit!$H$31</f>
        <v>0.03</v>
      </c>
      <c r="K172" s="289">
        <f>Cockpit!$H$31</f>
        <v>0.03</v>
      </c>
      <c r="L172" s="289">
        <f>Cockpit!$H$31</f>
        <v>0.03</v>
      </c>
      <c r="M172" s="289">
        <f>Cockpit!$H$31</f>
        <v>0.03</v>
      </c>
      <c r="N172" s="289">
        <f>Cockpit!$H$31</f>
        <v>0.03</v>
      </c>
      <c r="O172" s="289">
        <f>Cockpit!$H$31</f>
        <v>0.03</v>
      </c>
      <c r="P172" s="289">
        <f>Cockpit!$H$31</f>
        <v>0.03</v>
      </c>
      <c r="Q172" s="289">
        <f>Cockpit!$H$31</f>
        <v>0.03</v>
      </c>
      <c r="R172" s="289">
        <f>Cockpit!$H$31</f>
        <v>0.03</v>
      </c>
      <c r="S172" s="289">
        <f>Cockpit!$H$31</f>
        <v>0.03</v>
      </c>
      <c r="T172" s="289">
        <f>Cockpit!$H$31</f>
        <v>0.03</v>
      </c>
      <c r="U172" s="289">
        <f>Cockpit!$H$31</f>
        <v>0.03</v>
      </c>
      <c r="V172" s="289">
        <f>Cockpit!$H$31</f>
        <v>0.03</v>
      </c>
      <c r="W172" s="289">
        <f>Cockpit!$H$31</f>
        <v>0.03</v>
      </c>
      <c r="X172" s="289">
        <f>Cockpit!$H$31</f>
        <v>0.03</v>
      </c>
      <c r="Y172" s="289">
        <f>Cockpit!$H$31</f>
        <v>0.03</v>
      </c>
      <c r="Z172" s="289">
        <f>Cockpit!$H$31</f>
        <v>0.03</v>
      </c>
      <c r="AA172" s="289">
        <f>Cockpit!$H$31</f>
        <v>0.03</v>
      </c>
      <c r="AB172" s="289">
        <f>Cockpit!$H$31</f>
        <v>0.03</v>
      </c>
      <c r="AC172" s="289">
        <f>Cockpit!$H$31</f>
        <v>0.03</v>
      </c>
      <c r="AD172" s="289">
        <f>Cockpit!$H$31</f>
        <v>0.03</v>
      </c>
      <c r="AE172" s="289">
        <f>Cockpit!$H$31</f>
        <v>0.03</v>
      </c>
      <c r="AF172" s="289">
        <f>Cockpit!$H$31</f>
        <v>0.03</v>
      </c>
      <c r="AG172" s="289">
        <f>Cockpit!$H$31</f>
        <v>0.03</v>
      </c>
      <c r="AH172" s="289">
        <f>Cockpit!$H$31</f>
        <v>0.03</v>
      </c>
      <c r="AI172" s="289">
        <f>Cockpit!$H$31</f>
        <v>0.03</v>
      </c>
      <c r="AJ172" s="289">
        <f>Cockpit!$H$31</f>
        <v>0.03</v>
      </c>
      <c r="AK172" s="289">
        <f>Cockpit!$H$31</f>
        <v>0.03</v>
      </c>
      <c r="AL172" s="289">
        <f>Cockpit!$H$31</f>
        <v>0.03</v>
      </c>
      <c r="AM172" s="289">
        <f>Cockpit!$H$31</f>
        <v>0.03</v>
      </c>
      <c r="AN172" s="289">
        <f>Cockpit!$H$31</f>
        <v>0.03</v>
      </c>
      <c r="AO172" s="289">
        <f>Cockpit!$H$31</f>
        <v>0.03</v>
      </c>
      <c r="AP172" s="289">
        <f>Cockpit!$H$31</f>
        <v>0.03</v>
      </c>
      <c r="AQ172" s="289">
        <f>Cockpit!$H$31</f>
        <v>0.03</v>
      </c>
      <c r="AR172" s="289">
        <f>Cockpit!$H$31</f>
        <v>0.03</v>
      </c>
      <c r="AS172" s="289">
        <f>Cockpit!$H$31</f>
        <v>0.03</v>
      </c>
      <c r="AT172" s="289">
        <f>Cockpit!$H$31</f>
        <v>0.03</v>
      </c>
      <c r="AU172" s="289">
        <f>Cockpit!$H$31</f>
        <v>0.03</v>
      </c>
      <c r="AV172" s="289">
        <f>Cockpit!$H$31</f>
        <v>0.03</v>
      </c>
      <c r="AW172" s="289">
        <f>Cockpit!$H$31</f>
        <v>0.03</v>
      </c>
      <c r="AX172" s="289">
        <f>Cockpit!$H$31</f>
        <v>0.03</v>
      </c>
      <c r="AY172" s="289">
        <f>Cockpit!$H$31</f>
        <v>0.03</v>
      </c>
      <c r="AZ172" s="289">
        <f>Cockpit!$H$31</f>
        <v>0.03</v>
      </c>
      <c r="BA172" s="289">
        <f>Cockpit!$H$31</f>
        <v>0.03</v>
      </c>
      <c r="BB172" s="290">
        <f>Cockpit!$H$31</f>
        <v>0.03</v>
      </c>
    </row>
    <row r="173" spans="1:54">
      <c r="B173" s="479" t="s">
        <v>67</v>
      </c>
      <c r="C173" s="536"/>
      <c r="D173" s="480"/>
      <c r="E173" s="10">
        <f t="shared" ref="E173:BB173" si="2189">E171*(1+E172)</f>
        <v>0</v>
      </c>
      <c r="F173" s="10">
        <f t="shared" si="2189"/>
        <v>0</v>
      </c>
      <c r="G173" s="10">
        <f t="shared" si="2189"/>
        <v>0</v>
      </c>
      <c r="H173" s="10">
        <f t="shared" si="2189"/>
        <v>0</v>
      </c>
      <c r="I173" s="10">
        <f t="shared" si="2189"/>
        <v>0</v>
      </c>
      <c r="J173" s="10">
        <f t="shared" si="2189"/>
        <v>0</v>
      </c>
      <c r="K173" s="10">
        <f t="shared" si="2189"/>
        <v>0</v>
      </c>
      <c r="L173" s="10">
        <f t="shared" si="2189"/>
        <v>0</v>
      </c>
      <c r="M173" s="10">
        <f t="shared" si="2189"/>
        <v>0</v>
      </c>
      <c r="N173" s="10">
        <f t="shared" si="2189"/>
        <v>0</v>
      </c>
      <c r="O173" s="10">
        <f t="shared" si="2189"/>
        <v>0</v>
      </c>
      <c r="P173" s="10">
        <f t="shared" si="2189"/>
        <v>0</v>
      </c>
      <c r="Q173" s="10">
        <f t="shared" si="2189"/>
        <v>0</v>
      </c>
      <c r="R173" s="10">
        <f t="shared" si="2189"/>
        <v>0</v>
      </c>
      <c r="S173" s="10">
        <f t="shared" si="2189"/>
        <v>0</v>
      </c>
      <c r="T173" s="10">
        <f t="shared" si="2189"/>
        <v>0</v>
      </c>
      <c r="U173" s="10">
        <f t="shared" si="2189"/>
        <v>0</v>
      </c>
      <c r="V173" s="10">
        <f t="shared" si="2189"/>
        <v>0</v>
      </c>
      <c r="W173" s="10">
        <f t="shared" si="2189"/>
        <v>0</v>
      </c>
      <c r="X173" s="10">
        <f t="shared" si="2189"/>
        <v>0</v>
      </c>
      <c r="Y173" s="10">
        <f t="shared" si="2189"/>
        <v>0</v>
      </c>
      <c r="Z173" s="10">
        <f t="shared" si="2189"/>
        <v>0</v>
      </c>
      <c r="AA173" s="10">
        <f t="shared" si="2189"/>
        <v>0</v>
      </c>
      <c r="AB173" s="10">
        <f t="shared" si="2189"/>
        <v>0</v>
      </c>
      <c r="AC173" s="10">
        <f t="shared" si="2189"/>
        <v>0</v>
      </c>
      <c r="AD173" s="10">
        <f t="shared" si="2189"/>
        <v>0</v>
      </c>
      <c r="AE173" s="10">
        <f t="shared" si="2189"/>
        <v>0</v>
      </c>
      <c r="AF173" s="10">
        <f t="shared" si="2189"/>
        <v>0</v>
      </c>
      <c r="AG173" s="10">
        <f t="shared" si="2189"/>
        <v>0</v>
      </c>
      <c r="AH173" s="10">
        <f t="shared" si="2189"/>
        <v>0</v>
      </c>
      <c r="AI173" s="10">
        <f t="shared" si="2189"/>
        <v>0</v>
      </c>
      <c r="AJ173" s="10">
        <f t="shared" si="2189"/>
        <v>0</v>
      </c>
      <c r="AK173" s="10">
        <f t="shared" si="2189"/>
        <v>0</v>
      </c>
      <c r="AL173" s="10">
        <f t="shared" si="2189"/>
        <v>0</v>
      </c>
      <c r="AM173" s="10">
        <f t="shared" si="2189"/>
        <v>0</v>
      </c>
      <c r="AN173" s="10">
        <f t="shared" si="2189"/>
        <v>0</v>
      </c>
      <c r="AO173" s="10">
        <f t="shared" si="2189"/>
        <v>0</v>
      </c>
      <c r="AP173" s="10">
        <f t="shared" si="2189"/>
        <v>0</v>
      </c>
      <c r="AQ173" s="10">
        <f t="shared" si="2189"/>
        <v>0</v>
      </c>
      <c r="AR173" s="10">
        <f t="shared" si="2189"/>
        <v>0</v>
      </c>
      <c r="AS173" s="10">
        <f t="shared" si="2189"/>
        <v>0</v>
      </c>
      <c r="AT173" s="10">
        <f t="shared" si="2189"/>
        <v>0</v>
      </c>
      <c r="AU173" s="10">
        <f t="shared" si="2189"/>
        <v>0</v>
      </c>
      <c r="AV173" s="10">
        <f t="shared" si="2189"/>
        <v>0</v>
      </c>
      <c r="AW173" s="10">
        <f t="shared" si="2189"/>
        <v>0</v>
      </c>
      <c r="AX173" s="10">
        <f t="shared" si="2189"/>
        <v>0</v>
      </c>
      <c r="AY173" s="10">
        <f t="shared" si="2189"/>
        <v>0</v>
      </c>
      <c r="AZ173" s="10">
        <f t="shared" si="2189"/>
        <v>0</v>
      </c>
      <c r="BA173" s="10">
        <f t="shared" si="2189"/>
        <v>0</v>
      </c>
      <c r="BB173" s="283">
        <f t="shared" si="2189"/>
        <v>0</v>
      </c>
    </row>
    <row r="174" spans="1:54" ht="15.75" thickBot="1">
      <c r="B174" s="492" t="s">
        <v>301</v>
      </c>
      <c r="C174" s="537"/>
      <c r="D174" s="493"/>
      <c r="E174" s="367" t="str">
        <f>IFERROR(E173/$C170,"-")</f>
        <v>-</v>
      </c>
      <c r="F174" s="367" t="str">
        <f>IFERROR(F173/$C170,"-")</f>
        <v>-</v>
      </c>
      <c r="G174" s="367" t="str">
        <f t="shared" ref="G174" si="2190">IFERROR(G173/$C170,"-")</f>
        <v>-</v>
      </c>
      <c r="H174" s="367" t="str">
        <f t="shared" ref="H174" si="2191">IFERROR(H173/$C170,"-")</f>
        <v>-</v>
      </c>
      <c r="I174" s="367" t="str">
        <f t="shared" ref="I174" si="2192">IFERROR(I173/$C170,"-")</f>
        <v>-</v>
      </c>
      <c r="J174" s="367" t="str">
        <f t="shared" ref="J174" si="2193">IFERROR(J173/$C170,"-")</f>
        <v>-</v>
      </c>
      <c r="K174" s="367" t="str">
        <f t="shared" ref="K174" si="2194">IFERROR(K173/$C170,"-")</f>
        <v>-</v>
      </c>
      <c r="L174" s="367" t="str">
        <f t="shared" ref="L174" si="2195">IFERROR(L173/$C170,"-")</f>
        <v>-</v>
      </c>
      <c r="M174" s="367" t="str">
        <f t="shared" ref="M174" si="2196">IFERROR(M173/$C170,"-")</f>
        <v>-</v>
      </c>
      <c r="N174" s="367" t="str">
        <f t="shared" ref="N174" si="2197">IFERROR(N173/$C170,"-")</f>
        <v>-</v>
      </c>
      <c r="O174" s="367" t="str">
        <f t="shared" ref="O174" si="2198">IFERROR(O173/$C170,"-")</f>
        <v>-</v>
      </c>
      <c r="P174" s="367" t="str">
        <f t="shared" ref="P174" si="2199">IFERROR(P173/$C170,"-")</f>
        <v>-</v>
      </c>
      <c r="Q174" s="367" t="str">
        <f t="shared" ref="Q174" si="2200">IFERROR(Q173/$C170,"-")</f>
        <v>-</v>
      </c>
      <c r="R174" s="367" t="str">
        <f t="shared" ref="R174" si="2201">IFERROR(R173/$C170,"-")</f>
        <v>-</v>
      </c>
      <c r="S174" s="367" t="str">
        <f t="shared" ref="S174" si="2202">IFERROR(S173/$C170,"-")</f>
        <v>-</v>
      </c>
      <c r="T174" s="367" t="str">
        <f t="shared" ref="T174" si="2203">IFERROR(T173/$C170,"-")</f>
        <v>-</v>
      </c>
      <c r="U174" s="367" t="str">
        <f t="shared" ref="U174" si="2204">IFERROR(U173/$C170,"-")</f>
        <v>-</v>
      </c>
      <c r="V174" s="367" t="str">
        <f t="shared" ref="V174" si="2205">IFERROR(V173/$C170,"-")</f>
        <v>-</v>
      </c>
      <c r="W174" s="367" t="str">
        <f t="shared" ref="W174" si="2206">IFERROR(W173/$C170,"-")</f>
        <v>-</v>
      </c>
      <c r="X174" s="367" t="str">
        <f t="shared" ref="X174" si="2207">IFERROR(X173/$C170,"-")</f>
        <v>-</v>
      </c>
      <c r="Y174" s="367" t="str">
        <f t="shared" ref="Y174" si="2208">IFERROR(Y173/$C170,"-")</f>
        <v>-</v>
      </c>
      <c r="Z174" s="367" t="str">
        <f t="shared" ref="Z174" si="2209">IFERROR(Z173/$C170,"-")</f>
        <v>-</v>
      </c>
      <c r="AA174" s="367" t="str">
        <f t="shared" ref="AA174" si="2210">IFERROR(AA173/$C170,"-")</f>
        <v>-</v>
      </c>
      <c r="AB174" s="367" t="str">
        <f t="shared" ref="AB174" si="2211">IFERROR(AB173/$C170,"-")</f>
        <v>-</v>
      </c>
      <c r="AC174" s="367" t="str">
        <f t="shared" ref="AC174" si="2212">IFERROR(AC173/$C170,"-")</f>
        <v>-</v>
      </c>
      <c r="AD174" s="367" t="str">
        <f t="shared" ref="AD174" si="2213">IFERROR(AD173/$C170,"-")</f>
        <v>-</v>
      </c>
      <c r="AE174" s="367" t="str">
        <f t="shared" ref="AE174" si="2214">IFERROR(AE173/$C170,"-")</f>
        <v>-</v>
      </c>
      <c r="AF174" s="367" t="str">
        <f t="shared" ref="AF174" si="2215">IFERROR(AF173/$C170,"-")</f>
        <v>-</v>
      </c>
      <c r="AG174" s="367" t="str">
        <f t="shared" ref="AG174" si="2216">IFERROR(AG173/$C170,"-")</f>
        <v>-</v>
      </c>
      <c r="AH174" s="367" t="str">
        <f t="shared" ref="AH174" si="2217">IFERROR(AH173/$C170,"-")</f>
        <v>-</v>
      </c>
      <c r="AI174" s="367" t="str">
        <f t="shared" ref="AI174" si="2218">IFERROR(AI173/$C170,"-")</f>
        <v>-</v>
      </c>
      <c r="AJ174" s="367" t="str">
        <f t="shared" ref="AJ174" si="2219">IFERROR(AJ173/$C170,"-")</f>
        <v>-</v>
      </c>
      <c r="AK174" s="367" t="str">
        <f t="shared" ref="AK174" si="2220">IFERROR(AK173/$C170,"-")</f>
        <v>-</v>
      </c>
      <c r="AL174" s="367" t="str">
        <f t="shared" ref="AL174" si="2221">IFERROR(AL173/$C170,"-")</f>
        <v>-</v>
      </c>
      <c r="AM174" s="367" t="str">
        <f t="shared" ref="AM174" si="2222">IFERROR(AM173/$C170,"-")</f>
        <v>-</v>
      </c>
      <c r="AN174" s="367" t="str">
        <f t="shared" ref="AN174" si="2223">IFERROR(AN173/$C170,"-")</f>
        <v>-</v>
      </c>
      <c r="AO174" s="367" t="str">
        <f t="shared" ref="AO174" si="2224">IFERROR(AO173/$C170,"-")</f>
        <v>-</v>
      </c>
      <c r="AP174" s="367" t="str">
        <f t="shared" ref="AP174" si="2225">IFERROR(AP173/$C170,"-")</f>
        <v>-</v>
      </c>
      <c r="AQ174" s="367" t="str">
        <f t="shared" ref="AQ174" si="2226">IFERROR(AQ173/$C170,"-")</f>
        <v>-</v>
      </c>
      <c r="AR174" s="367" t="str">
        <f t="shared" ref="AR174" si="2227">IFERROR(AR173/$C170,"-")</f>
        <v>-</v>
      </c>
      <c r="AS174" s="367" t="str">
        <f t="shared" ref="AS174" si="2228">IFERROR(AS173/$C170,"-")</f>
        <v>-</v>
      </c>
      <c r="AT174" s="367" t="str">
        <f t="shared" ref="AT174" si="2229">IFERROR(AT173/$C170,"-")</f>
        <v>-</v>
      </c>
      <c r="AU174" s="367" t="str">
        <f t="shared" ref="AU174" si="2230">IFERROR(AU173/$C170,"-")</f>
        <v>-</v>
      </c>
      <c r="AV174" s="367" t="str">
        <f t="shared" ref="AV174" si="2231">IFERROR(AV173/$C170,"-")</f>
        <v>-</v>
      </c>
      <c r="AW174" s="367" t="str">
        <f t="shared" ref="AW174" si="2232">IFERROR(AW173/$C170,"-")</f>
        <v>-</v>
      </c>
      <c r="AX174" s="367" t="str">
        <f t="shared" ref="AX174" si="2233">IFERROR(AX173/$C170,"-")</f>
        <v>-</v>
      </c>
      <c r="AY174" s="367" t="str">
        <f t="shared" ref="AY174" si="2234">IFERROR(AY173/$C170,"-")</f>
        <v>-</v>
      </c>
      <c r="AZ174" s="367" t="str">
        <f t="shared" ref="AZ174" si="2235">IFERROR(AZ173/$C170,"-")</f>
        <v>-</v>
      </c>
      <c r="BA174" s="367" t="str">
        <f t="shared" ref="BA174" si="2236">IFERROR(BA173/$C170,"-")</f>
        <v>-</v>
      </c>
      <c r="BB174" s="368" t="str">
        <f t="shared" ref="BB174" si="2237">IFERROR(BB173/$C170,"-")</f>
        <v>-</v>
      </c>
    </row>
    <row r="175" spans="1:54" ht="17.25" customHeight="1" thickBot="1">
      <c r="J175" s="6"/>
      <c r="K175" s="6"/>
      <c r="L175" s="6"/>
      <c r="M175" s="6"/>
      <c r="O175" s="5"/>
      <c r="P175" s="5"/>
      <c r="Q175" s="5"/>
      <c r="R175" s="5"/>
    </row>
    <row r="176" spans="1:54" ht="18" thickBot="1">
      <c r="A176"/>
      <c r="B176" s="533" t="s">
        <v>319</v>
      </c>
      <c r="C176" s="534"/>
      <c r="D176" s="32"/>
      <c r="E176" s="275"/>
      <c r="J176" s="6"/>
      <c r="K176" s="6"/>
      <c r="L176" s="6"/>
      <c r="M176" s="6"/>
    </row>
    <row r="177" spans="1:54" ht="15.75" thickBot="1">
      <c r="B177" s="360" t="s">
        <v>11</v>
      </c>
      <c r="C177" s="369">
        <v>0</v>
      </c>
      <c r="D177" s="364"/>
      <c r="E177" s="365">
        <f t="shared" ref="E177:AJ177" si="2238">E$9</f>
        <v>2024</v>
      </c>
      <c r="F177" s="279">
        <f t="shared" si="2238"/>
        <v>2025</v>
      </c>
      <c r="G177" s="279">
        <f t="shared" si="2238"/>
        <v>2026</v>
      </c>
      <c r="H177" s="279">
        <f t="shared" si="2238"/>
        <v>2027</v>
      </c>
      <c r="I177" s="279">
        <f t="shared" si="2238"/>
        <v>2028</v>
      </c>
      <c r="J177" s="279">
        <f t="shared" si="2238"/>
        <v>2029</v>
      </c>
      <c r="K177" s="279">
        <f t="shared" si="2238"/>
        <v>2030</v>
      </c>
      <c r="L177" s="279">
        <f t="shared" si="2238"/>
        <v>2031</v>
      </c>
      <c r="M177" s="279">
        <f t="shared" si="2238"/>
        <v>2032</v>
      </c>
      <c r="N177" s="279">
        <f t="shared" si="2238"/>
        <v>2033</v>
      </c>
      <c r="O177" s="279">
        <f t="shared" si="2238"/>
        <v>2034</v>
      </c>
      <c r="P177" s="279">
        <f t="shared" si="2238"/>
        <v>2035</v>
      </c>
      <c r="Q177" s="279">
        <f t="shared" si="2238"/>
        <v>2036</v>
      </c>
      <c r="R177" s="279">
        <f t="shared" si="2238"/>
        <v>2037</v>
      </c>
      <c r="S177" s="279">
        <f t="shared" si="2238"/>
        <v>2038</v>
      </c>
      <c r="T177" s="279">
        <f t="shared" si="2238"/>
        <v>2039</v>
      </c>
      <c r="U177" s="279">
        <f t="shared" si="2238"/>
        <v>2040</v>
      </c>
      <c r="V177" s="279">
        <f t="shared" si="2238"/>
        <v>2041</v>
      </c>
      <c r="W177" s="279">
        <f t="shared" si="2238"/>
        <v>2042</v>
      </c>
      <c r="X177" s="279">
        <f t="shared" si="2238"/>
        <v>2043</v>
      </c>
      <c r="Y177" s="279">
        <f t="shared" si="2238"/>
        <v>2044</v>
      </c>
      <c r="Z177" s="279">
        <f t="shared" si="2238"/>
        <v>2045</v>
      </c>
      <c r="AA177" s="279">
        <f t="shared" si="2238"/>
        <v>2046</v>
      </c>
      <c r="AB177" s="279">
        <f t="shared" si="2238"/>
        <v>2047</v>
      </c>
      <c r="AC177" s="279">
        <f t="shared" si="2238"/>
        <v>2048</v>
      </c>
      <c r="AD177" s="279">
        <f t="shared" si="2238"/>
        <v>2049</v>
      </c>
      <c r="AE177" s="279">
        <f t="shared" si="2238"/>
        <v>2050</v>
      </c>
      <c r="AF177" s="279">
        <f t="shared" si="2238"/>
        <v>2051</v>
      </c>
      <c r="AG177" s="279">
        <f t="shared" si="2238"/>
        <v>2052</v>
      </c>
      <c r="AH177" s="279">
        <f t="shared" si="2238"/>
        <v>2053</v>
      </c>
      <c r="AI177" s="279">
        <f t="shared" si="2238"/>
        <v>2054</v>
      </c>
      <c r="AJ177" s="279">
        <f t="shared" si="2238"/>
        <v>2055</v>
      </c>
      <c r="AK177" s="279">
        <f t="shared" ref="AK177:BB177" si="2239">AK$9</f>
        <v>2056</v>
      </c>
      <c r="AL177" s="279">
        <f t="shared" si="2239"/>
        <v>2057</v>
      </c>
      <c r="AM177" s="279">
        <f t="shared" si="2239"/>
        <v>2058</v>
      </c>
      <c r="AN177" s="279">
        <f t="shared" si="2239"/>
        <v>2059</v>
      </c>
      <c r="AO177" s="279">
        <f t="shared" si="2239"/>
        <v>2060</v>
      </c>
      <c r="AP177" s="279">
        <f t="shared" si="2239"/>
        <v>2061</v>
      </c>
      <c r="AQ177" s="279">
        <f t="shared" si="2239"/>
        <v>2062</v>
      </c>
      <c r="AR177" s="279">
        <f t="shared" si="2239"/>
        <v>2063</v>
      </c>
      <c r="AS177" s="279">
        <f t="shared" si="2239"/>
        <v>2064</v>
      </c>
      <c r="AT177" s="279">
        <f t="shared" si="2239"/>
        <v>2065</v>
      </c>
      <c r="AU177" s="279">
        <f t="shared" si="2239"/>
        <v>2066</v>
      </c>
      <c r="AV177" s="279">
        <f t="shared" si="2239"/>
        <v>2067</v>
      </c>
      <c r="AW177" s="279">
        <f t="shared" si="2239"/>
        <v>2068</v>
      </c>
      <c r="AX177" s="279">
        <f t="shared" si="2239"/>
        <v>2069</v>
      </c>
      <c r="AY177" s="279">
        <f t="shared" si="2239"/>
        <v>2070</v>
      </c>
      <c r="AZ177" s="279">
        <f t="shared" si="2239"/>
        <v>2071</v>
      </c>
      <c r="BA177" s="279">
        <f t="shared" si="2239"/>
        <v>2072</v>
      </c>
      <c r="BB177" s="280">
        <f t="shared" si="2239"/>
        <v>2073</v>
      </c>
    </row>
    <row r="178" spans="1:54">
      <c r="A178"/>
      <c r="B178" s="485" t="s">
        <v>261</v>
      </c>
      <c r="C178" s="535"/>
      <c r="D178" s="486"/>
      <c r="E178" s="307">
        <v>0</v>
      </c>
      <c r="F178" s="281">
        <f>E180</f>
        <v>0</v>
      </c>
      <c r="G178" s="281">
        <f t="shared" ref="G178" si="2240">F180</f>
        <v>0</v>
      </c>
      <c r="H178" s="281">
        <f t="shared" ref="H178" si="2241">G180</f>
        <v>0</v>
      </c>
      <c r="I178" s="281">
        <f t="shared" ref="I178" si="2242">H180</f>
        <v>0</v>
      </c>
      <c r="J178" s="281">
        <f t="shared" ref="J178" si="2243">I180</f>
        <v>0</v>
      </c>
      <c r="K178" s="281">
        <f t="shared" ref="K178" si="2244">J180</f>
        <v>0</v>
      </c>
      <c r="L178" s="281">
        <f t="shared" ref="L178" si="2245">K180</f>
        <v>0</v>
      </c>
      <c r="M178" s="281">
        <f t="shared" ref="M178" si="2246">L180</f>
        <v>0</v>
      </c>
      <c r="N178" s="281">
        <f t="shared" ref="N178" si="2247">M180</f>
        <v>0</v>
      </c>
      <c r="O178" s="281">
        <f t="shared" ref="O178" si="2248">N180</f>
        <v>0</v>
      </c>
      <c r="P178" s="281">
        <f t="shared" ref="P178" si="2249">O180</f>
        <v>0</v>
      </c>
      <c r="Q178" s="281">
        <f t="shared" ref="Q178" si="2250">P180</f>
        <v>0</v>
      </c>
      <c r="R178" s="281">
        <f t="shared" ref="R178" si="2251">Q180</f>
        <v>0</v>
      </c>
      <c r="S178" s="281">
        <f t="shared" ref="S178" si="2252">R180</f>
        <v>0</v>
      </c>
      <c r="T178" s="281">
        <f t="shared" ref="T178" si="2253">S180</f>
        <v>0</v>
      </c>
      <c r="U178" s="281">
        <f t="shared" ref="U178" si="2254">T180</f>
        <v>0</v>
      </c>
      <c r="V178" s="281">
        <f t="shared" ref="V178" si="2255">U180</f>
        <v>0</v>
      </c>
      <c r="W178" s="281">
        <f t="shared" ref="W178" si="2256">V180</f>
        <v>0</v>
      </c>
      <c r="X178" s="281">
        <f t="shared" ref="X178" si="2257">W180</f>
        <v>0</v>
      </c>
      <c r="Y178" s="281">
        <f t="shared" ref="Y178" si="2258">X180</f>
        <v>0</v>
      </c>
      <c r="Z178" s="281">
        <f t="shared" ref="Z178" si="2259">Y180</f>
        <v>0</v>
      </c>
      <c r="AA178" s="281">
        <f t="shared" ref="AA178" si="2260">Z180</f>
        <v>0</v>
      </c>
      <c r="AB178" s="281">
        <f t="shared" ref="AB178" si="2261">AA180</f>
        <v>0</v>
      </c>
      <c r="AC178" s="281">
        <f t="shared" ref="AC178" si="2262">AB180</f>
        <v>0</v>
      </c>
      <c r="AD178" s="281">
        <f t="shared" ref="AD178" si="2263">AC180</f>
        <v>0</v>
      </c>
      <c r="AE178" s="281">
        <f t="shared" ref="AE178" si="2264">AD180</f>
        <v>0</v>
      </c>
      <c r="AF178" s="281">
        <f t="shared" ref="AF178" si="2265">AE180</f>
        <v>0</v>
      </c>
      <c r="AG178" s="281">
        <f t="shared" ref="AG178" si="2266">AF180</f>
        <v>0</v>
      </c>
      <c r="AH178" s="281">
        <f t="shared" ref="AH178" si="2267">AG180</f>
        <v>0</v>
      </c>
      <c r="AI178" s="281">
        <f t="shared" ref="AI178" si="2268">AH180</f>
        <v>0</v>
      </c>
      <c r="AJ178" s="281">
        <f t="shared" ref="AJ178" si="2269">AI180</f>
        <v>0</v>
      </c>
      <c r="AK178" s="281">
        <f t="shared" ref="AK178" si="2270">AJ180</f>
        <v>0</v>
      </c>
      <c r="AL178" s="281">
        <f t="shared" ref="AL178" si="2271">AK180</f>
        <v>0</v>
      </c>
      <c r="AM178" s="281">
        <f t="shared" ref="AM178" si="2272">AL180</f>
        <v>0</v>
      </c>
      <c r="AN178" s="281">
        <f t="shared" ref="AN178" si="2273">AM180</f>
        <v>0</v>
      </c>
      <c r="AO178" s="281">
        <f t="shared" ref="AO178" si="2274">AN180</f>
        <v>0</v>
      </c>
      <c r="AP178" s="281">
        <f t="shared" ref="AP178" si="2275">AO180</f>
        <v>0</v>
      </c>
      <c r="AQ178" s="281">
        <f t="shared" ref="AQ178" si="2276">AP180</f>
        <v>0</v>
      </c>
      <c r="AR178" s="281">
        <f t="shared" ref="AR178" si="2277">AQ180</f>
        <v>0</v>
      </c>
      <c r="AS178" s="281">
        <f t="shared" ref="AS178" si="2278">AR180</f>
        <v>0</v>
      </c>
      <c r="AT178" s="281">
        <f t="shared" ref="AT178" si="2279">AS180</f>
        <v>0</v>
      </c>
      <c r="AU178" s="281">
        <f t="shared" ref="AU178" si="2280">AT180</f>
        <v>0</v>
      </c>
      <c r="AV178" s="281">
        <f t="shared" ref="AV178" si="2281">AU180</f>
        <v>0</v>
      </c>
      <c r="AW178" s="281">
        <f t="shared" ref="AW178" si="2282">AV180</f>
        <v>0</v>
      </c>
      <c r="AX178" s="281">
        <f t="shared" ref="AX178" si="2283">AW180</f>
        <v>0</v>
      </c>
      <c r="AY178" s="281">
        <f t="shared" ref="AY178" si="2284">AX180</f>
        <v>0</v>
      </c>
      <c r="AZ178" s="281">
        <f t="shared" ref="AZ178" si="2285">AY180</f>
        <v>0</v>
      </c>
      <c r="BA178" s="281">
        <f t="shared" ref="BA178" si="2286">AZ180</f>
        <v>0</v>
      </c>
      <c r="BB178" s="282">
        <f t="shared" ref="BB178" si="2287">BA180</f>
        <v>0</v>
      </c>
    </row>
    <row r="179" spans="1:54">
      <c r="A179"/>
      <c r="B179" s="479" t="s">
        <v>99</v>
      </c>
      <c r="C179" s="536"/>
      <c r="D179" s="480"/>
      <c r="E179" s="289">
        <f>Cockpit!$H$31</f>
        <v>0.03</v>
      </c>
      <c r="F179" s="289">
        <f>Cockpit!$H$31</f>
        <v>0.03</v>
      </c>
      <c r="G179" s="289">
        <f>Cockpit!$H$31</f>
        <v>0.03</v>
      </c>
      <c r="H179" s="289">
        <f>Cockpit!$H$31</f>
        <v>0.03</v>
      </c>
      <c r="I179" s="289">
        <f>Cockpit!$H$31</f>
        <v>0.03</v>
      </c>
      <c r="J179" s="289">
        <f>Cockpit!$H$31</f>
        <v>0.03</v>
      </c>
      <c r="K179" s="289">
        <f>Cockpit!$H$31</f>
        <v>0.03</v>
      </c>
      <c r="L179" s="289">
        <f>Cockpit!$H$31</f>
        <v>0.03</v>
      </c>
      <c r="M179" s="289">
        <f>Cockpit!$H$31</f>
        <v>0.03</v>
      </c>
      <c r="N179" s="289">
        <f>Cockpit!$H$31</f>
        <v>0.03</v>
      </c>
      <c r="O179" s="289">
        <f>Cockpit!$H$31</f>
        <v>0.03</v>
      </c>
      <c r="P179" s="289">
        <f>Cockpit!$H$31</f>
        <v>0.03</v>
      </c>
      <c r="Q179" s="289">
        <f>Cockpit!$H$31</f>
        <v>0.03</v>
      </c>
      <c r="R179" s="289">
        <f>Cockpit!$H$31</f>
        <v>0.03</v>
      </c>
      <c r="S179" s="289">
        <f>Cockpit!$H$31</f>
        <v>0.03</v>
      </c>
      <c r="T179" s="289">
        <f>Cockpit!$H$31</f>
        <v>0.03</v>
      </c>
      <c r="U179" s="289">
        <f>Cockpit!$H$31</f>
        <v>0.03</v>
      </c>
      <c r="V179" s="289">
        <f>Cockpit!$H$31</f>
        <v>0.03</v>
      </c>
      <c r="W179" s="289">
        <f>Cockpit!$H$31</f>
        <v>0.03</v>
      </c>
      <c r="X179" s="289">
        <f>Cockpit!$H$31</f>
        <v>0.03</v>
      </c>
      <c r="Y179" s="289">
        <f>Cockpit!$H$31</f>
        <v>0.03</v>
      </c>
      <c r="Z179" s="289">
        <f>Cockpit!$H$31</f>
        <v>0.03</v>
      </c>
      <c r="AA179" s="289">
        <f>Cockpit!$H$31</f>
        <v>0.03</v>
      </c>
      <c r="AB179" s="289">
        <f>Cockpit!$H$31</f>
        <v>0.03</v>
      </c>
      <c r="AC179" s="289">
        <f>Cockpit!$H$31</f>
        <v>0.03</v>
      </c>
      <c r="AD179" s="289">
        <f>Cockpit!$H$31</f>
        <v>0.03</v>
      </c>
      <c r="AE179" s="289">
        <f>Cockpit!$H$31</f>
        <v>0.03</v>
      </c>
      <c r="AF179" s="289">
        <f>Cockpit!$H$31</f>
        <v>0.03</v>
      </c>
      <c r="AG179" s="289">
        <f>Cockpit!$H$31</f>
        <v>0.03</v>
      </c>
      <c r="AH179" s="289">
        <f>Cockpit!$H$31</f>
        <v>0.03</v>
      </c>
      <c r="AI179" s="289">
        <f>Cockpit!$H$31</f>
        <v>0.03</v>
      </c>
      <c r="AJ179" s="289">
        <f>Cockpit!$H$31</f>
        <v>0.03</v>
      </c>
      <c r="AK179" s="289">
        <f>Cockpit!$H$31</f>
        <v>0.03</v>
      </c>
      <c r="AL179" s="289">
        <f>Cockpit!$H$31</f>
        <v>0.03</v>
      </c>
      <c r="AM179" s="289">
        <f>Cockpit!$H$31</f>
        <v>0.03</v>
      </c>
      <c r="AN179" s="289">
        <f>Cockpit!$H$31</f>
        <v>0.03</v>
      </c>
      <c r="AO179" s="289">
        <f>Cockpit!$H$31</f>
        <v>0.03</v>
      </c>
      <c r="AP179" s="289">
        <f>Cockpit!$H$31</f>
        <v>0.03</v>
      </c>
      <c r="AQ179" s="289">
        <f>Cockpit!$H$31</f>
        <v>0.03</v>
      </c>
      <c r="AR179" s="289">
        <f>Cockpit!$H$31</f>
        <v>0.03</v>
      </c>
      <c r="AS179" s="289">
        <f>Cockpit!$H$31</f>
        <v>0.03</v>
      </c>
      <c r="AT179" s="289">
        <f>Cockpit!$H$31</f>
        <v>0.03</v>
      </c>
      <c r="AU179" s="289">
        <f>Cockpit!$H$31</f>
        <v>0.03</v>
      </c>
      <c r="AV179" s="289">
        <f>Cockpit!$H$31</f>
        <v>0.03</v>
      </c>
      <c r="AW179" s="289">
        <f>Cockpit!$H$31</f>
        <v>0.03</v>
      </c>
      <c r="AX179" s="289">
        <f>Cockpit!$H$31</f>
        <v>0.03</v>
      </c>
      <c r="AY179" s="289">
        <f>Cockpit!$H$31</f>
        <v>0.03</v>
      </c>
      <c r="AZ179" s="289">
        <f>Cockpit!$H$31</f>
        <v>0.03</v>
      </c>
      <c r="BA179" s="289">
        <f>Cockpit!$H$31</f>
        <v>0.03</v>
      </c>
      <c r="BB179" s="290">
        <f>Cockpit!$H$31</f>
        <v>0.03</v>
      </c>
    </row>
    <row r="180" spans="1:54">
      <c r="B180" s="479" t="s">
        <v>67</v>
      </c>
      <c r="C180" s="536"/>
      <c r="D180" s="480"/>
      <c r="E180" s="10">
        <f t="shared" ref="E180:BB180" si="2288">E178*(1+E179)</f>
        <v>0</v>
      </c>
      <c r="F180" s="10">
        <f t="shared" si="2288"/>
        <v>0</v>
      </c>
      <c r="G180" s="10">
        <f t="shared" si="2288"/>
        <v>0</v>
      </c>
      <c r="H180" s="10">
        <f t="shared" si="2288"/>
        <v>0</v>
      </c>
      <c r="I180" s="10">
        <f t="shared" si="2288"/>
        <v>0</v>
      </c>
      <c r="J180" s="10">
        <f t="shared" si="2288"/>
        <v>0</v>
      </c>
      <c r="K180" s="10">
        <f t="shared" si="2288"/>
        <v>0</v>
      </c>
      <c r="L180" s="10">
        <f t="shared" si="2288"/>
        <v>0</v>
      </c>
      <c r="M180" s="10">
        <f t="shared" si="2288"/>
        <v>0</v>
      </c>
      <c r="N180" s="10">
        <f t="shared" si="2288"/>
        <v>0</v>
      </c>
      <c r="O180" s="10">
        <f t="shared" si="2288"/>
        <v>0</v>
      </c>
      <c r="P180" s="10">
        <f t="shared" si="2288"/>
        <v>0</v>
      </c>
      <c r="Q180" s="10">
        <f t="shared" si="2288"/>
        <v>0</v>
      </c>
      <c r="R180" s="10">
        <f t="shared" si="2288"/>
        <v>0</v>
      </c>
      <c r="S180" s="10">
        <f t="shared" si="2288"/>
        <v>0</v>
      </c>
      <c r="T180" s="10">
        <f t="shared" si="2288"/>
        <v>0</v>
      </c>
      <c r="U180" s="10">
        <f t="shared" si="2288"/>
        <v>0</v>
      </c>
      <c r="V180" s="10">
        <f t="shared" si="2288"/>
        <v>0</v>
      </c>
      <c r="W180" s="10">
        <f t="shared" si="2288"/>
        <v>0</v>
      </c>
      <c r="X180" s="10">
        <f t="shared" si="2288"/>
        <v>0</v>
      </c>
      <c r="Y180" s="10">
        <f t="shared" si="2288"/>
        <v>0</v>
      </c>
      <c r="Z180" s="10">
        <f t="shared" si="2288"/>
        <v>0</v>
      </c>
      <c r="AA180" s="10">
        <f t="shared" si="2288"/>
        <v>0</v>
      </c>
      <c r="AB180" s="10">
        <f t="shared" si="2288"/>
        <v>0</v>
      </c>
      <c r="AC180" s="10">
        <f t="shared" si="2288"/>
        <v>0</v>
      </c>
      <c r="AD180" s="10">
        <f t="shared" si="2288"/>
        <v>0</v>
      </c>
      <c r="AE180" s="10">
        <f t="shared" si="2288"/>
        <v>0</v>
      </c>
      <c r="AF180" s="10">
        <f t="shared" si="2288"/>
        <v>0</v>
      </c>
      <c r="AG180" s="10">
        <f t="shared" si="2288"/>
        <v>0</v>
      </c>
      <c r="AH180" s="10">
        <f t="shared" si="2288"/>
        <v>0</v>
      </c>
      <c r="AI180" s="10">
        <f t="shared" si="2288"/>
        <v>0</v>
      </c>
      <c r="AJ180" s="10">
        <f t="shared" si="2288"/>
        <v>0</v>
      </c>
      <c r="AK180" s="10">
        <f t="shared" si="2288"/>
        <v>0</v>
      </c>
      <c r="AL180" s="10">
        <f t="shared" si="2288"/>
        <v>0</v>
      </c>
      <c r="AM180" s="10">
        <f t="shared" si="2288"/>
        <v>0</v>
      </c>
      <c r="AN180" s="10">
        <f t="shared" si="2288"/>
        <v>0</v>
      </c>
      <c r="AO180" s="10">
        <f t="shared" si="2288"/>
        <v>0</v>
      </c>
      <c r="AP180" s="10">
        <f t="shared" si="2288"/>
        <v>0</v>
      </c>
      <c r="AQ180" s="10">
        <f t="shared" si="2288"/>
        <v>0</v>
      </c>
      <c r="AR180" s="10">
        <f t="shared" si="2288"/>
        <v>0</v>
      </c>
      <c r="AS180" s="10">
        <f t="shared" si="2288"/>
        <v>0</v>
      </c>
      <c r="AT180" s="10">
        <f t="shared" si="2288"/>
        <v>0</v>
      </c>
      <c r="AU180" s="10">
        <f t="shared" si="2288"/>
        <v>0</v>
      </c>
      <c r="AV180" s="10">
        <f t="shared" si="2288"/>
        <v>0</v>
      </c>
      <c r="AW180" s="10">
        <f t="shared" si="2288"/>
        <v>0</v>
      </c>
      <c r="AX180" s="10">
        <f t="shared" si="2288"/>
        <v>0</v>
      </c>
      <c r="AY180" s="10">
        <f t="shared" si="2288"/>
        <v>0</v>
      </c>
      <c r="AZ180" s="10">
        <f t="shared" si="2288"/>
        <v>0</v>
      </c>
      <c r="BA180" s="10">
        <f t="shared" si="2288"/>
        <v>0</v>
      </c>
      <c r="BB180" s="283">
        <f t="shared" si="2288"/>
        <v>0</v>
      </c>
    </row>
    <row r="181" spans="1:54" ht="15.75" thickBot="1">
      <c r="B181" s="492" t="s">
        <v>301</v>
      </c>
      <c r="C181" s="537"/>
      <c r="D181" s="493"/>
      <c r="E181" s="367" t="str">
        <f>IFERROR(E180/$C177,"-")</f>
        <v>-</v>
      </c>
      <c r="F181" s="367" t="str">
        <f>IFERROR(F180/$C177,"-")</f>
        <v>-</v>
      </c>
      <c r="G181" s="367" t="str">
        <f t="shared" ref="G181" si="2289">IFERROR(G180/$C177,"-")</f>
        <v>-</v>
      </c>
      <c r="H181" s="367" t="str">
        <f t="shared" ref="H181" si="2290">IFERROR(H180/$C177,"-")</f>
        <v>-</v>
      </c>
      <c r="I181" s="367" t="str">
        <f t="shared" ref="I181" si="2291">IFERROR(I180/$C177,"-")</f>
        <v>-</v>
      </c>
      <c r="J181" s="367" t="str">
        <f t="shared" ref="J181" si="2292">IFERROR(J180/$C177,"-")</f>
        <v>-</v>
      </c>
      <c r="K181" s="367" t="str">
        <f t="shared" ref="K181" si="2293">IFERROR(K180/$C177,"-")</f>
        <v>-</v>
      </c>
      <c r="L181" s="367" t="str">
        <f t="shared" ref="L181" si="2294">IFERROR(L180/$C177,"-")</f>
        <v>-</v>
      </c>
      <c r="M181" s="367" t="str">
        <f t="shared" ref="M181" si="2295">IFERROR(M180/$C177,"-")</f>
        <v>-</v>
      </c>
      <c r="N181" s="367" t="str">
        <f t="shared" ref="N181" si="2296">IFERROR(N180/$C177,"-")</f>
        <v>-</v>
      </c>
      <c r="O181" s="367" t="str">
        <f t="shared" ref="O181" si="2297">IFERROR(O180/$C177,"-")</f>
        <v>-</v>
      </c>
      <c r="P181" s="367" t="str">
        <f t="shared" ref="P181" si="2298">IFERROR(P180/$C177,"-")</f>
        <v>-</v>
      </c>
      <c r="Q181" s="367" t="str">
        <f t="shared" ref="Q181" si="2299">IFERROR(Q180/$C177,"-")</f>
        <v>-</v>
      </c>
      <c r="R181" s="367" t="str">
        <f t="shared" ref="R181" si="2300">IFERROR(R180/$C177,"-")</f>
        <v>-</v>
      </c>
      <c r="S181" s="367" t="str">
        <f t="shared" ref="S181" si="2301">IFERROR(S180/$C177,"-")</f>
        <v>-</v>
      </c>
      <c r="T181" s="367" t="str">
        <f t="shared" ref="T181" si="2302">IFERROR(T180/$C177,"-")</f>
        <v>-</v>
      </c>
      <c r="U181" s="367" t="str">
        <f t="shared" ref="U181" si="2303">IFERROR(U180/$C177,"-")</f>
        <v>-</v>
      </c>
      <c r="V181" s="367" t="str">
        <f t="shared" ref="V181" si="2304">IFERROR(V180/$C177,"-")</f>
        <v>-</v>
      </c>
      <c r="W181" s="367" t="str">
        <f t="shared" ref="W181" si="2305">IFERROR(W180/$C177,"-")</f>
        <v>-</v>
      </c>
      <c r="X181" s="367" t="str">
        <f t="shared" ref="X181" si="2306">IFERROR(X180/$C177,"-")</f>
        <v>-</v>
      </c>
      <c r="Y181" s="367" t="str">
        <f t="shared" ref="Y181" si="2307">IFERROR(Y180/$C177,"-")</f>
        <v>-</v>
      </c>
      <c r="Z181" s="367" t="str">
        <f t="shared" ref="Z181" si="2308">IFERROR(Z180/$C177,"-")</f>
        <v>-</v>
      </c>
      <c r="AA181" s="367" t="str">
        <f t="shared" ref="AA181" si="2309">IFERROR(AA180/$C177,"-")</f>
        <v>-</v>
      </c>
      <c r="AB181" s="367" t="str">
        <f t="shared" ref="AB181" si="2310">IFERROR(AB180/$C177,"-")</f>
        <v>-</v>
      </c>
      <c r="AC181" s="367" t="str">
        <f t="shared" ref="AC181" si="2311">IFERROR(AC180/$C177,"-")</f>
        <v>-</v>
      </c>
      <c r="AD181" s="367" t="str">
        <f t="shared" ref="AD181" si="2312">IFERROR(AD180/$C177,"-")</f>
        <v>-</v>
      </c>
      <c r="AE181" s="367" t="str">
        <f t="shared" ref="AE181" si="2313">IFERROR(AE180/$C177,"-")</f>
        <v>-</v>
      </c>
      <c r="AF181" s="367" t="str">
        <f t="shared" ref="AF181" si="2314">IFERROR(AF180/$C177,"-")</f>
        <v>-</v>
      </c>
      <c r="AG181" s="367" t="str">
        <f t="shared" ref="AG181" si="2315">IFERROR(AG180/$C177,"-")</f>
        <v>-</v>
      </c>
      <c r="AH181" s="367" t="str">
        <f t="shared" ref="AH181" si="2316">IFERROR(AH180/$C177,"-")</f>
        <v>-</v>
      </c>
      <c r="AI181" s="367" t="str">
        <f t="shared" ref="AI181" si="2317">IFERROR(AI180/$C177,"-")</f>
        <v>-</v>
      </c>
      <c r="AJ181" s="367" t="str">
        <f t="shared" ref="AJ181" si="2318">IFERROR(AJ180/$C177,"-")</f>
        <v>-</v>
      </c>
      <c r="AK181" s="367" t="str">
        <f t="shared" ref="AK181" si="2319">IFERROR(AK180/$C177,"-")</f>
        <v>-</v>
      </c>
      <c r="AL181" s="367" t="str">
        <f t="shared" ref="AL181" si="2320">IFERROR(AL180/$C177,"-")</f>
        <v>-</v>
      </c>
      <c r="AM181" s="367" t="str">
        <f t="shared" ref="AM181" si="2321">IFERROR(AM180/$C177,"-")</f>
        <v>-</v>
      </c>
      <c r="AN181" s="367" t="str">
        <f t="shared" ref="AN181" si="2322">IFERROR(AN180/$C177,"-")</f>
        <v>-</v>
      </c>
      <c r="AO181" s="367" t="str">
        <f t="shared" ref="AO181" si="2323">IFERROR(AO180/$C177,"-")</f>
        <v>-</v>
      </c>
      <c r="AP181" s="367" t="str">
        <f t="shared" ref="AP181" si="2324">IFERROR(AP180/$C177,"-")</f>
        <v>-</v>
      </c>
      <c r="AQ181" s="367" t="str">
        <f t="shared" ref="AQ181" si="2325">IFERROR(AQ180/$C177,"-")</f>
        <v>-</v>
      </c>
      <c r="AR181" s="367" t="str">
        <f t="shared" ref="AR181" si="2326">IFERROR(AR180/$C177,"-")</f>
        <v>-</v>
      </c>
      <c r="AS181" s="367" t="str">
        <f t="shared" ref="AS181" si="2327">IFERROR(AS180/$C177,"-")</f>
        <v>-</v>
      </c>
      <c r="AT181" s="367" t="str">
        <f t="shared" ref="AT181" si="2328">IFERROR(AT180/$C177,"-")</f>
        <v>-</v>
      </c>
      <c r="AU181" s="367" t="str">
        <f t="shared" ref="AU181" si="2329">IFERROR(AU180/$C177,"-")</f>
        <v>-</v>
      </c>
      <c r="AV181" s="367" t="str">
        <f t="shared" ref="AV181" si="2330">IFERROR(AV180/$C177,"-")</f>
        <v>-</v>
      </c>
      <c r="AW181" s="367" t="str">
        <f t="shared" ref="AW181" si="2331">IFERROR(AW180/$C177,"-")</f>
        <v>-</v>
      </c>
      <c r="AX181" s="367" t="str">
        <f t="shared" ref="AX181" si="2332">IFERROR(AX180/$C177,"-")</f>
        <v>-</v>
      </c>
      <c r="AY181" s="367" t="str">
        <f t="shared" ref="AY181" si="2333">IFERROR(AY180/$C177,"-")</f>
        <v>-</v>
      </c>
      <c r="AZ181" s="367" t="str">
        <f t="shared" ref="AZ181" si="2334">IFERROR(AZ180/$C177,"-")</f>
        <v>-</v>
      </c>
      <c r="BA181" s="367" t="str">
        <f t="shared" ref="BA181" si="2335">IFERROR(BA180/$C177,"-")</f>
        <v>-</v>
      </c>
      <c r="BB181" s="368" t="str">
        <f t="shared" ref="BB181" si="2336">IFERROR(BB180/$C177,"-")</f>
        <v>-</v>
      </c>
    </row>
    <row r="182" spans="1:54" ht="17.25" customHeight="1" thickBot="1">
      <c r="J182" s="6"/>
      <c r="K182" s="6"/>
      <c r="L182" s="6"/>
      <c r="M182" s="6"/>
      <c r="O182" s="5"/>
      <c r="P182" s="5"/>
      <c r="Q182" s="5"/>
      <c r="R182" s="5"/>
    </row>
    <row r="183" spans="1:54" ht="18" thickBot="1">
      <c r="A183"/>
      <c r="B183" s="533" t="s">
        <v>320</v>
      </c>
      <c r="C183" s="534"/>
      <c r="D183" s="32"/>
      <c r="E183" s="275"/>
      <c r="J183" s="6"/>
      <c r="K183" s="6"/>
      <c r="L183" s="6"/>
      <c r="M183" s="6"/>
    </row>
    <row r="184" spans="1:54" ht="15.75" thickBot="1">
      <c r="B184" s="360" t="s">
        <v>11</v>
      </c>
      <c r="C184" s="369">
        <v>0</v>
      </c>
      <c r="D184" s="364"/>
      <c r="E184" s="365">
        <f t="shared" ref="E184:AJ184" si="2337">E$9</f>
        <v>2024</v>
      </c>
      <c r="F184" s="279">
        <f t="shared" si="2337"/>
        <v>2025</v>
      </c>
      <c r="G184" s="279">
        <f t="shared" si="2337"/>
        <v>2026</v>
      </c>
      <c r="H184" s="279">
        <f t="shared" si="2337"/>
        <v>2027</v>
      </c>
      <c r="I184" s="279">
        <f t="shared" si="2337"/>
        <v>2028</v>
      </c>
      <c r="J184" s="279">
        <f t="shared" si="2337"/>
        <v>2029</v>
      </c>
      <c r="K184" s="279">
        <f t="shared" si="2337"/>
        <v>2030</v>
      </c>
      <c r="L184" s="279">
        <f t="shared" si="2337"/>
        <v>2031</v>
      </c>
      <c r="M184" s="279">
        <f t="shared" si="2337"/>
        <v>2032</v>
      </c>
      <c r="N184" s="279">
        <f t="shared" si="2337"/>
        <v>2033</v>
      </c>
      <c r="O184" s="279">
        <f t="shared" si="2337"/>
        <v>2034</v>
      </c>
      <c r="P184" s="279">
        <f t="shared" si="2337"/>
        <v>2035</v>
      </c>
      <c r="Q184" s="279">
        <f t="shared" si="2337"/>
        <v>2036</v>
      </c>
      <c r="R184" s="279">
        <f t="shared" si="2337"/>
        <v>2037</v>
      </c>
      <c r="S184" s="279">
        <f t="shared" si="2337"/>
        <v>2038</v>
      </c>
      <c r="T184" s="279">
        <f t="shared" si="2337"/>
        <v>2039</v>
      </c>
      <c r="U184" s="279">
        <f t="shared" si="2337"/>
        <v>2040</v>
      </c>
      <c r="V184" s="279">
        <f t="shared" si="2337"/>
        <v>2041</v>
      </c>
      <c r="W184" s="279">
        <f t="shared" si="2337"/>
        <v>2042</v>
      </c>
      <c r="X184" s="279">
        <f t="shared" si="2337"/>
        <v>2043</v>
      </c>
      <c r="Y184" s="279">
        <f t="shared" si="2337"/>
        <v>2044</v>
      </c>
      <c r="Z184" s="279">
        <f t="shared" si="2337"/>
        <v>2045</v>
      </c>
      <c r="AA184" s="279">
        <f t="shared" si="2337"/>
        <v>2046</v>
      </c>
      <c r="AB184" s="279">
        <f t="shared" si="2337"/>
        <v>2047</v>
      </c>
      <c r="AC184" s="279">
        <f t="shared" si="2337"/>
        <v>2048</v>
      </c>
      <c r="AD184" s="279">
        <f t="shared" si="2337"/>
        <v>2049</v>
      </c>
      <c r="AE184" s="279">
        <f t="shared" si="2337"/>
        <v>2050</v>
      </c>
      <c r="AF184" s="279">
        <f t="shared" si="2337"/>
        <v>2051</v>
      </c>
      <c r="AG184" s="279">
        <f t="shared" si="2337"/>
        <v>2052</v>
      </c>
      <c r="AH184" s="279">
        <f t="shared" si="2337"/>
        <v>2053</v>
      </c>
      <c r="AI184" s="279">
        <f t="shared" si="2337"/>
        <v>2054</v>
      </c>
      <c r="AJ184" s="279">
        <f t="shared" si="2337"/>
        <v>2055</v>
      </c>
      <c r="AK184" s="279">
        <f t="shared" ref="AK184:BB184" si="2338">AK$9</f>
        <v>2056</v>
      </c>
      <c r="AL184" s="279">
        <f t="shared" si="2338"/>
        <v>2057</v>
      </c>
      <c r="AM184" s="279">
        <f t="shared" si="2338"/>
        <v>2058</v>
      </c>
      <c r="AN184" s="279">
        <f t="shared" si="2338"/>
        <v>2059</v>
      </c>
      <c r="AO184" s="279">
        <f t="shared" si="2338"/>
        <v>2060</v>
      </c>
      <c r="AP184" s="279">
        <f t="shared" si="2338"/>
        <v>2061</v>
      </c>
      <c r="AQ184" s="279">
        <f t="shared" si="2338"/>
        <v>2062</v>
      </c>
      <c r="AR184" s="279">
        <f t="shared" si="2338"/>
        <v>2063</v>
      </c>
      <c r="AS184" s="279">
        <f t="shared" si="2338"/>
        <v>2064</v>
      </c>
      <c r="AT184" s="279">
        <f t="shared" si="2338"/>
        <v>2065</v>
      </c>
      <c r="AU184" s="279">
        <f t="shared" si="2338"/>
        <v>2066</v>
      </c>
      <c r="AV184" s="279">
        <f t="shared" si="2338"/>
        <v>2067</v>
      </c>
      <c r="AW184" s="279">
        <f t="shared" si="2338"/>
        <v>2068</v>
      </c>
      <c r="AX184" s="279">
        <f t="shared" si="2338"/>
        <v>2069</v>
      </c>
      <c r="AY184" s="279">
        <f t="shared" si="2338"/>
        <v>2070</v>
      </c>
      <c r="AZ184" s="279">
        <f t="shared" si="2338"/>
        <v>2071</v>
      </c>
      <c r="BA184" s="279">
        <f t="shared" si="2338"/>
        <v>2072</v>
      </c>
      <c r="BB184" s="280">
        <f t="shared" si="2338"/>
        <v>2073</v>
      </c>
    </row>
    <row r="185" spans="1:54">
      <c r="A185"/>
      <c r="B185" s="485" t="s">
        <v>261</v>
      </c>
      <c r="C185" s="535"/>
      <c r="D185" s="486"/>
      <c r="E185" s="307">
        <v>0</v>
      </c>
      <c r="F185" s="281">
        <f>E187</f>
        <v>0</v>
      </c>
      <c r="G185" s="281">
        <f t="shared" ref="G185" si="2339">F187</f>
        <v>0</v>
      </c>
      <c r="H185" s="281">
        <f t="shared" ref="H185" si="2340">G187</f>
        <v>0</v>
      </c>
      <c r="I185" s="281">
        <f t="shared" ref="I185" si="2341">H187</f>
        <v>0</v>
      </c>
      <c r="J185" s="281">
        <f t="shared" ref="J185" si="2342">I187</f>
        <v>0</v>
      </c>
      <c r="K185" s="281">
        <f t="shared" ref="K185" si="2343">J187</f>
        <v>0</v>
      </c>
      <c r="L185" s="281">
        <f t="shared" ref="L185" si="2344">K187</f>
        <v>0</v>
      </c>
      <c r="M185" s="281">
        <f t="shared" ref="M185" si="2345">L187</f>
        <v>0</v>
      </c>
      <c r="N185" s="281">
        <f t="shared" ref="N185" si="2346">M187</f>
        <v>0</v>
      </c>
      <c r="O185" s="281">
        <f t="shared" ref="O185" si="2347">N187</f>
        <v>0</v>
      </c>
      <c r="P185" s="281">
        <f t="shared" ref="P185" si="2348">O187</f>
        <v>0</v>
      </c>
      <c r="Q185" s="281">
        <f t="shared" ref="Q185" si="2349">P187</f>
        <v>0</v>
      </c>
      <c r="R185" s="281">
        <f t="shared" ref="R185" si="2350">Q187</f>
        <v>0</v>
      </c>
      <c r="S185" s="281">
        <f t="shared" ref="S185" si="2351">R187</f>
        <v>0</v>
      </c>
      <c r="T185" s="281">
        <f t="shared" ref="T185" si="2352">S187</f>
        <v>0</v>
      </c>
      <c r="U185" s="281">
        <f t="shared" ref="U185" si="2353">T187</f>
        <v>0</v>
      </c>
      <c r="V185" s="281">
        <f t="shared" ref="V185" si="2354">U187</f>
        <v>0</v>
      </c>
      <c r="W185" s="281">
        <f t="shared" ref="W185" si="2355">V187</f>
        <v>0</v>
      </c>
      <c r="X185" s="281">
        <f t="shared" ref="X185" si="2356">W187</f>
        <v>0</v>
      </c>
      <c r="Y185" s="281">
        <f t="shared" ref="Y185" si="2357">X187</f>
        <v>0</v>
      </c>
      <c r="Z185" s="281">
        <f t="shared" ref="Z185" si="2358">Y187</f>
        <v>0</v>
      </c>
      <c r="AA185" s="281">
        <f t="shared" ref="AA185" si="2359">Z187</f>
        <v>0</v>
      </c>
      <c r="AB185" s="281">
        <f t="shared" ref="AB185" si="2360">AA187</f>
        <v>0</v>
      </c>
      <c r="AC185" s="281">
        <f t="shared" ref="AC185" si="2361">AB187</f>
        <v>0</v>
      </c>
      <c r="AD185" s="281">
        <f t="shared" ref="AD185" si="2362">AC187</f>
        <v>0</v>
      </c>
      <c r="AE185" s="281">
        <f t="shared" ref="AE185" si="2363">AD187</f>
        <v>0</v>
      </c>
      <c r="AF185" s="281">
        <f t="shared" ref="AF185" si="2364">AE187</f>
        <v>0</v>
      </c>
      <c r="AG185" s="281">
        <f t="shared" ref="AG185" si="2365">AF187</f>
        <v>0</v>
      </c>
      <c r="AH185" s="281">
        <f t="shared" ref="AH185" si="2366">AG187</f>
        <v>0</v>
      </c>
      <c r="AI185" s="281">
        <f t="shared" ref="AI185" si="2367">AH187</f>
        <v>0</v>
      </c>
      <c r="AJ185" s="281">
        <f t="shared" ref="AJ185" si="2368">AI187</f>
        <v>0</v>
      </c>
      <c r="AK185" s="281">
        <f t="shared" ref="AK185" si="2369">AJ187</f>
        <v>0</v>
      </c>
      <c r="AL185" s="281">
        <f t="shared" ref="AL185" si="2370">AK187</f>
        <v>0</v>
      </c>
      <c r="AM185" s="281">
        <f t="shared" ref="AM185" si="2371">AL187</f>
        <v>0</v>
      </c>
      <c r="AN185" s="281">
        <f t="shared" ref="AN185" si="2372">AM187</f>
        <v>0</v>
      </c>
      <c r="AO185" s="281">
        <f t="shared" ref="AO185" si="2373">AN187</f>
        <v>0</v>
      </c>
      <c r="AP185" s="281">
        <f t="shared" ref="AP185" si="2374">AO187</f>
        <v>0</v>
      </c>
      <c r="AQ185" s="281">
        <f t="shared" ref="AQ185" si="2375">AP187</f>
        <v>0</v>
      </c>
      <c r="AR185" s="281">
        <f t="shared" ref="AR185" si="2376">AQ187</f>
        <v>0</v>
      </c>
      <c r="AS185" s="281">
        <f t="shared" ref="AS185" si="2377">AR187</f>
        <v>0</v>
      </c>
      <c r="AT185" s="281">
        <f t="shared" ref="AT185" si="2378">AS187</f>
        <v>0</v>
      </c>
      <c r="AU185" s="281">
        <f t="shared" ref="AU185" si="2379">AT187</f>
        <v>0</v>
      </c>
      <c r="AV185" s="281">
        <f t="shared" ref="AV185" si="2380">AU187</f>
        <v>0</v>
      </c>
      <c r="AW185" s="281">
        <f t="shared" ref="AW185" si="2381">AV187</f>
        <v>0</v>
      </c>
      <c r="AX185" s="281">
        <f t="shared" ref="AX185" si="2382">AW187</f>
        <v>0</v>
      </c>
      <c r="AY185" s="281">
        <f t="shared" ref="AY185" si="2383">AX187</f>
        <v>0</v>
      </c>
      <c r="AZ185" s="281">
        <f t="shared" ref="AZ185" si="2384">AY187</f>
        <v>0</v>
      </c>
      <c r="BA185" s="281">
        <f t="shared" ref="BA185" si="2385">AZ187</f>
        <v>0</v>
      </c>
      <c r="BB185" s="282">
        <f t="shared" ref="BB185" si="2386">BA187</f>
        <v>0</v>
      </c>
    </row>
    <row r="186" spans="1:54">
      <c r="A186"/>
      <c r="B186" s="479" t="s">
        <v>99</v>
      </c>
      <c r="C186" s="536"/>
      <c r="D186" s="480"/>
      <c r="E186" s="289">
        <f>Cockpit!$H$31</f>
        <v>0.03</v>
      </c>
      <c r="F186" s="289">
        <f>Cockpit!$H$31</f>
        <v>0.03</v>
      </c>
      <c r="G186" s="289">
        <f>Cockpit!$H$31</f>
        <v>0.03</v>
      </c>
      <c r="H186" s="289">
        <f>Cockpit!$H$31</f>
        <v>0.03</v>
      </c>
      <c r="I186" s="289">
        <f>Cockpit!$H$31</f>
        <v>0.03</v>
      </c>
      <c r="J186" s="289">
        <f>Cockpit!$H$31</f>
        <v>0.03</v>
      </c>
      <c r="K186" s="289">
        <f>Cockpit!$H$31</f>
        <v>0.03</v>
      </c>
      <c r="L186" s="289">
        <f>Cockpit!$H$31</f>
        <v>0.03</v>
      </c>
      <c r="M186" s="289">
        <f>Cockpit!$H$31</f>
        <v>0.03</v>
      </c>
      <c r="N186" s="289">
        <f>Cockpit!$H$31</f>
        <v>0.03</v>
      </c>
      <c r="O186" s="289">
        <f>Cockpit!$H$31</f>
        <v>0.03</v>
      </c>
      <c r="P186" s="289">
        <f>Cockpit!$H$31</f>
        <v>0.03</v>
      </c>
      <c r="Q186" s="289">
        <f>Cockpit!$H$31</f>
        <v>0.03</v>
      </c>
      <c r="R186" s="289">
        <f>Cockpit!$H$31</f>
        <v>0.03</v>
      </c>
      <c r="S186" s="289">
        <f>Cockpit!$H$31</f>
        <v>0.03</v>
      </c>
      <c r="T186" s="289">
        <f>Cockpit!$H$31</f>
        <v>0.03</v>
      </c>
      <c r="U186" s="289">
        <f>Cockpit!$H$31</f>
        <v>0.03</v>
      </c>
      <c r="V186" s="289">
        <f>Cockpit!$H$31</f>
        <v>0.03</v>
      </c>
      <c r="W186" s="289">
        <f>Cockpit!$H$31</f>
        <v>0.03</v>
      </c>
      <c r="X186" s="289">
        <f>Cockpit!$H$31</f>
        <v>0.03</v>
      </c>
      <c r="Y186" s="289">
        <f>Cockpit!$H$31</f>
        <v>0.03</v>
      </c>
      <c r="Z186" s="289">
        <f>Cockpit!$H$31</f>
        <v>0.03</v>
      </c>
      <c r="AA186" s="289">
        <f>Cockpit!$H$31</f>
        <v>0.03</v>
      </c>
      <c r="AB186" s="289">
        <f>Cockpit!$H$31</f>
        <v>0.03</v>
      </c>
      <c r="AC186" s="289">
        <f>Cockpit!$H$31</f>
        <v>0.03</v>
      </c>
      <c r="AD186" s="289">
        <f>Cockpit!$H$31</f>
        <v>0.03</v>
      </c>
      <c r="AE186" s="289">
        <f>Cockpit!$H$31</f>
        <v>0.03</v>
      </c>
      <c r="AF186" s="289">
        <f>Cockpit!$H$31</f>
        <v>0.03</v>
      </c>
      <c r="AG186" s="289">
        <f>Cockpit!$H$31</f>
        <v>0.03</v>
      </c>
      <c r="AH186" s="289">
        <f>Cockpit!$H$31</f>
        <v>0.03</v>
      </c>
      <c r="AI186" s="289">
        <f>Cockpit!$H$31</f>
        <v>0.03</v>
      </c>
      <c r="AJ186" s="289">
        <f>Cockpit!$H$31</f>
        <v>0.03</v>
      </c>
      <c r="AK186" s="289">
        <f>Cockpit!$H$31</f>
        <v>0.03</v>
      </c>
      <c r="AL186" s="289">
        <f>Cockpit!$H$31</f>
        <v>0.03</v>
      </c>
      <c r="AM186" s="289">
        <f>Cockpit!$H$31</f>
        <v>0.03</v>
      </c>
      <c r="AN186" s="289">
        <f>Cockpit!$H$31</f>
        <v>0.03</v>
      </c>
      <c r="AO186" s="289">
        <f>Cockpit!$H$31</f>
        <v>0.03</v>
      </c>
      <c r="AP186" s="289">
        <f>Cockpit!$H$31</f>
        <v>0.03</v>
      </c>
      <c r="AQ186" s="289">
        <f>Cockpit!$H$31</f>
        <v>0.03</v>
      </c>
      <c r="AR186" s="289">
        <f>Cockpit!$H$31</f>
        <v>0.03</v>
      </c>
      <c r="AS186" s="289">
        <f>Cockpit!$H$31</f>
        <v>0.03</v>
      </c>
      <c r="AT186" s="289">
        <f>Cockpit!$H$31</f>
        <v>0.03</v>
      </c>
      <c r="AU186" s="289">
        <f>Cockpit!$H$31</f>
        <v>0.03</v>
      </c>
      <c r="AV186" s="289">
        <f>Cockpit!$H$31</f>
        <v>0.03</v>
      </c>
      <c r="AW186" s="289">
        <f>Cockpit!$H$31</f>
        <v>0.03</v>
      </c>
      <c r="AX186" s="289">
        <f>Cockpit!$H$31</f>
        <v>0.03</v>
      </c>
      <c r="AY186" s="289">
        <f>Cockpit!$H$31</f>
        <v>0.03</v>
      </c>
      <c r="AZ186" s="289">
        <f>Cockpit!$H$31</f>
        <v>0.03</v>
      </c>
      <c r="BA186" s="289">
        <f>Cockpit!$H$31</f>
        <v>0.03</v>
      </c>
      <c r="BB186" s="290">
        <f>Cockpit!$H$31</f>
        <v>0.03</v>
      </c>
    </row>
    <row r="187" spans="1:54">
      <c r="B187" s="479" t="s">
        <v>67</v>
      </c>
      <c r="C187" s="536"/>
      <c r="D187" s="480"/>
      <c r="E187" s="10">
        <f t="shared" ref="E187:BB187" si="2387">E185*(1+E186)</f>
        <v>0</v>
      </c>
      <c r="F187" s="10">
        <f t="shared" si="2387"/>
        <v>0</v>
      </c>
      <c r="G187" s="10">
        <f t="shared" si="2387"/>
        <v>0</v>
      </c>
      <c r="H187" s="10">
        <f t="shared" si="2387"/>
        <v>0</v>
      </c>
      <c r="I187" s="10">
        <f t="shared" si="2387"/>
        <v>0</v>
      </c>
      <c r="J187" s="10">
        <f t="shared" si="2387"/>
        <v>0</v>
      </c>
      <c r="K187" s="10">
        <f t="shared" si="2387"/>
        <v>0</v>
      </c>
      <c r="L187" s="10">
        <f t="shared" si="2387"/>
        <v>0</v>
      </c>
      <c r="M187" s="10">
        <f t="shared" si="2387"/>
        <v>0</v>
      </c>
      <c r="N187" s="10">
        <f t="shared" si="2387"/>
        <v>0</v>
      </c>
      <c r="O187" s="10">
        <f t="shared" si="2387"/>
        <v>0</v>
      </c>
      <c r="P187" s="10">
        <f t="shared" si="2387"/>
        <v>0</v>
      </c>
      <c r="Q187" s="10">
        <f t="shared" si="2387"/>
        <v>0</v>
      </c>
      <c r="R187" s="10">
        <f t="shared" si="2387"/>
        <v>0</v>
      </c>
      <c r="S187" s="10">
        <f t="shared" si="2387"/>
        <v>0</v>
      </c>
      <c r="T187" s="10">
        <f t="shared" si="2387"/>
        <v>0</v>
      </c>
      <c r="U187" s="10">
        <f t="shared" si="2387"/>
        <v>0</v>
      </c>
      <c r="V187" s="10">
        <f t="shared" si="2387"/>
        <v>0</v>
      </c>
      <c r="W187" s="10">
        <f t="shared" si="2387"/>
        <v>0</v>
      </c>
      <c r="X187" s="10">
        <f t="shared" si="2387"/>
        <v>0</v>
      </c>
      <c r="Y187" s="10">
        <f t="shared" si="2387"/>
        <v>0</v>
      </c>
      <c r="Z187" s="10">
        <f t="shared" si="2387"/>
        <v>0</v>
      </c>
      <c r="AA187" s="10">
        <f t="shared" si="2387"/>
        <v>0</v>
      </c>
      <c r="AB187" s="10">
        <f t="shared" si="2387"/>
        <v>0</v>
      </c>
      <c r="AC187" s="10">
        <f t="shared" si="2387"/>
        <v>0</v>
      </c>
      <c r="AD187" s="10">
        <f t="shared" si="2387"/>
        <v>0</v>
      </c>
      <c r="AE187" s="10">
        <f t="shared" si="2387"/>
        <v>0</v>
      </c>
      <c r="AF187" s="10">
        <f t="shared" si="2387"/>
        <v>0</v>
      </c>
      <c r="AG187" s="10">
        <f t="shared" si="2387"/>
        <v>0</v>
      </c>
      <c r="AH187" s="10">
        <f t="shared" si="2387"/>
        <v>0</v>
      </c>
      <c r="AI187" s="10">
        <f t="shared" si="2387"/>
        <v>0</v>
      </c>
      <c r="AJ187" s="10">
        <f t="shared" si="2387"/>
        <v>0</v>
      </c>
      <c r="AK187" s="10">
        <f t="shared" si="2387"/>
        <v>0</v>
      </c>
      <c r="AL187" s="10">
        <f t="shared" si="2387"/>
        <v>0</v>
      </c>
      <c r="AM187" s="10">
        <f t="shared" si="2387"/>
        <v>0</v>
      </c>
      <c r="AN187" s="10">
        <f t="shared" si="2387"/>
        <v>0</v>
      </c>
      <c r="AO187" s="10">
        <f t="shared" si="2387"/>
        <v>0</v>
      </c>
      <c r="AP187" s="10">
        <f t="shared" si="2387"/>
        <v>0</v>
      </c>
      <c r="AQ187" s="10">
        <f t="shared" si="2387"/>
        <v>0</v>
      </c>
      <c r="AR187" s="10">
        <f t="shared" si="2387"/>
        <v>0</v>
      </c>
      <c r="AS187" s="10">
        <f t="shared" si="2387"/>
        <v>0</v>
      </c>
      <c r="AT187" s="10">
        <f t="shared" si="2387"/>
        <v>0</v>
      </c>
      <c r="AU187" s="10">
        <f t="shared" si="2387"/>
        <v>0</v>
      </c>
      <c r="AV187" s="10">
        <f t="shared" si="2387"/>
        <v>0</v>
      </c>
      <c r="AW187" s="10">
        <f t="shared" si="2387"/>
        <v>0</v>
      </c>
      <c r="AX187" s="10">
        <f t="shared" si="2387"/>
        <v>0</v>
      </c>
      <c r="AY187" s="10">
        <f t="shared" si="2387"/>
        <v>0</v>
      </c>
      <c r="AZ187" s="10">
        <f t="shared" si="2387"/>
        <v>0</v>
      </c>
      <c r="BA187" s="10">
        <f t="shared" si="2387"/>
        <v>0</v>
      </c>
      <c r="BB187" s="283">
        <f t="shared" si="2387"/>
        <v>0</v>
      </c>
    </row>
    <row r="188" spans="1:54" ht="15.75" thickBot="1">
      <c r="B188" s="492" t="s">
        <v>301</v>
      </c>
      <c r="C188" s="537"/>
      <c r="D188" s="493"/>
      <c r="E188" s="367" t="str">
        <f>IFERROR(E187/$C184,"-")</f>
        <v>-</v>
      </c>
      <c r="F188" s="367" t="str">
        <f>IFERROR(F187/$C184,"-")</f>
        <v>-</v>
      </c>
      <c r="G188" s="367" t="str">
        <f t="shared" ref="G188" si="2388">IFERROR(G187/$C184,"-")</f>
        <v>-</v>
      </c>
      <c r="H188" s="367" t="str">
        <f t="shared" ref="H188" si="2389">IFERROR(H187/$C184,"-")</f>
        <v>-</v>
      </c>
      <c r="I188" s="367" t="str">
        <f t="shared" ref="I188" si="2390">IFERROR(I187/$C184,"-")</f>
        <v>-</v>
      </c>
      <c r="J188" s="367" t="str">
        <f t="shared" ref="J188" si="2391">IFERROR(J187/$C184,"-")</f>
        <v>-</v>
      </c>
      <c r="K188" s="367" t="str">
        <f t="shared" ref="K188" si="2392">IFERROR(K187/$C184,"-")</f>
        <v>-</v>
      </c>
      <c r="L188" s="367" t="str">
        <f t="shared" ref="L188" si="2393">IFERROR(L187/$C184,"-")</f>
        <v>-</v>
      </c>
      <c r="M188" s="367" t="str">
        <f t="shared" ref="M188" si="2394">IFERROR(M187/$C184,"-")</f>
        <v>-</v>
      </c>
      <c r="N188" s="367" t="str">
        <f t="shared" ref="N188" si="2395">IFERROR(N187/$C184,"-")</f>
        <v>-</v>
      </c>
      <c r="O188" s="367" t="str">
        <f t="shared" ref="O188" si="2396">IFERROR(O187/$C184,"-")</f>
        <v>-</v>
      </c>
      <c r="P188" s="367" t="str">
        <f t="shared" ref="P188" si="2397">IFERROR(P187/$C184,"-")</f>
        <v>-</v>
      </c>
      <c r="Q188" s="367" t="str">
        <f t="shared" ref="Q188" si="2398">IFERROR(Q187/$C184,"-")</f>
        <v>-</v>
      </c>
      <c r="R188" s="367" t="str">
        <f t="shared" ref="R188" si="2399">IFERROR(R187/$C184,"-")</f>
        <v>-</v>
      </c>
      <c r="S188" s="367" t="str">
        <f t="shared" ref="S188" si="2400">IFERROR(S187/$C184,"-")</f>
        <v>-</v>
      </c>
      <c r="T188" s="367" t="str">
        <f t="shared" ref="T188" si="2401">IFERROR(T187/$C184,"-")</f>
        <v>-</v>
      </c>
      <c r="U188" s="367" t="str">
        <f t="shared" ref="U188" si="2402">IFERROR(U187/$C184,"-")</f>
        <v>-</v>
      </c>
      <c r="V188" s="367" t="str">
        <f t="shared" ref="V188" si="2403">IFERROR(V187/$C184,"-")</f>
        <v>-</v>
      </c>
      <c r="W188" s="367" t="str">
        <f t="shared" ref="W188" si="2404">IFERROR(W187/$C184,"-")</f>
        <v>-</v>
      </c>
      <c r="X188" s="367" t="str">
        <f t="shared" ref="X188" si="2405">IFERROR(X187/$C184,"-")</f>
        <v>-</v>
      </c>
      <c r="Y188" s="367" t="str">
        <f t="shared" ref="Y188" si="2406">IFERROR(Y187/$C184,"-")</f>
        <v>-</v>
      </c>
      <c r="Z188" s="367" t="str">
        <f t="shared" ref="Z188" si="2407">IFERROR(Z187/$C184,"-")</f>
        <v>-</v>
      </c>
      <c r="AA188" s="367" t="str">
        <f t="shared" ref="AA188" si="2408">IFERROR(AA187/$C184,"-")</f>
        <v>-</v>
      </c>
      <c r="AB188" s="367" t="str">
        <f t="shared" ref="AB188" si="2409">IFERROR(AB187/$C184,"-")</f>
        <v>-</v>
      </c>
      <c r="AC188" s="367" t="str">
        <f t="shared" ref="AC188" si="2410">IFERROR(AC187/$C184,"-")</f>
        <v>-</v>
      </c>
      <c r="AD188" s="367" t="str">
        <f t="shared" ref="AD188" si="2411">IFERROR(AD187/$C184,"-")</f>
        <v>-</v>
      </c>
      <c r="AE188" s="367" t="str">
        <f t="shared" ref="AE188" si="2412">IFERROR(AE187/$C184,"-")</f>
        <v>-</v>
      </c>
      <c r="AF188" s="367" t="str">
        <f t="shared" ref="AF188" si="2413">IFERROR(AF187/$C184,"-")</f>
        <v>-</v>
      </c>
      <c r="AG188" s="367" t="str">
        <f t="shared" ref="AG188" si="2414">IFERROR(AG187/$C184,"-")</f>
        <v>-</v>
      </c>
      <c r="AH188" s="367" t="str">
        <f t="shared" ref="AH188" si="2415">IFERROR(AH187/$C184,"-")</f>
        <v>-</v>
      </c>
      <c r="AI188" s="367" t="str">
        <f t="shared" ref="AI188" si="2416">IFERROR(AI187/$C184,"-")</f>
        <v>-</v>
      </c>
      <c r="AJ188" s="367" t="str">
        <f t="shared" ref="AJ188" si="2417">IFERROR(AJ187/$C184,"-")</f>
        <v>-</v>
      </c>
      <c r="AK188" s="367" t="str">
        <f t="shared" ref="AK188" si="2418">IFERROR(AK187/$C184,"-")</f>
        <v>-</v>
      </c>
      <c r="AL188" s="367" t="str">
        <f t="shared" ref="AL188" si="2419">IFERROR(AL187/$C184,"-")</f>
        <v>-</v>
      </c>
      <c r="AM188" s="367" t="str">
        <f t="shared" ref="AM188" si="2420">IFERROR(AM187/$C184,"-")</f>
        <v>-</v>
      </c>
      <c r="AN188" s="367" t="str">
        <f t="shared" ref="AN188" si="2421">IFERROR(AN187/$C184,"-")</f>
        <v>-</v>
      </c>
      <c r="AO188" s="367" t="str">
        <f t="shared" ref="AO188" si="2422">IFERROR(AO187/$C184,"-")</f>
        <v>-</v>
      </c>
      <c r="AP188" s="367" t="str">
        <f t="shared" ref="AP188" si="2423">IFERROR(AP187/$C184,"-")</f>
        <v>-</v>
      </c>
      <c r="AQ188" s="367" t="str">
        <f t="shared" ref="AQ188" si="2424">IFERROR(AQ187/$C184,"-")</f>
        <v>-</v>
      </c>
      <c r="AR188" s="367" t="str">
        <f t="shared" ref="AR188" si="2425">IFERROR(AR187/$C184,"-")</f>
        <v>-</v>
      </c>
      <c r="AS188" s="367" t="str">
        <f t="shared" ref="AS188" si="2426">IFERROR(AS187/$C184,"-")</f>
        <v>-</v>
      </c>
      <c r="AT188" s="367" t="str">
        <f t="shared" ref="AT188" si="2427">IFERROR(AT187/$C184,"-")</f>
        <v>-</v>
      </c>
      <c r="AU188" s="367" t="str">
        <f t="shared" ref="AU188" si="2428">IFERROR(AU187/$C184,"-")</f>
        <v>-</v>
      </c>
      <c r="AV188" s="367" t="str">
        <f t="shared" ref="AV188" si="2429">IFERROR(AV187/$C184,"-")</f>
        <v>-</v>
      </c>
      <c r="AW188" s="367" t="str">
        <f t="shared" ref="AW188" si="2430">IFERROR(AW187/$C184,"-")</f>
        <v>-</v>
      </c>
      <c r="AX188" s="367" t="str">
        <f t="shared" ref="AX188" si="2431">IFERROR(AX187/$C184,"-")</f>
        <v>-</v>
      </c>
      <c r="AY188" s="367" t="str">
        <f t="shared" ref="AY188" si="2432">IFERROR(AY187/$C184,"-")</f>
        <v>-</v>
      </c>
      <c r="AZ188" s="367" t="str">
        <f t="shared" ref="AZ188" si="2433">IFERROR(AZ187/$C184,"-")</f>
        <v>-</v>
      </c>
      <c r="BA188" s="367" t="str">
        <f t="shared" ref="BA188" si="2434">IFERROR(BA187/$C184,"-")</f>
        <v>-</v>
      </c>
      <c r="BB188" s="368" t="str">
        <f t="shared" ref="BB188" si="2435">IFERROR(BB187/$C184,"-")</f>
        <v>-</v>
      </c>
    </row>
    <row r="189" spans="1:54" ht="17.25" customHeight="1" thickBot="1">
      <c r="J189" s="6"/>
      <c r="K189" s="6"/>
      <c r="L189" s="6"/>
      <c r="M189" s="6"/>
      <c r="O189" s="5"/>
      <c r="P189" s="5"/>
      <c r="Q189" s="5"/>
      <c r="R189" s="5"/>
    </row>
    <row r="190" spans="1:54" ht="18" thickBot="1">
      <c r="A190"/>
      <c r="B190" s="533" t="s">
        <v>321</v>
      </c>
      <c r="C190" s="534"/>
      <c r="D190" s="32"/>
      <c r="E190" s="275"/>
      <c r="J190" s="6"/>
      <c r="K190" s="6"/>
      <c r="L190" s="6"/>
      <c r="M190" s="6"/>
    </row>
    <row r="191" spans="1:54" ht="15.75" thickBot="1">
      <c r="B191" s="360" t="s">
        <v>11</v>
      </c>
      <c r="C191" s="369">
        <v>0</v>
      </c>
      <c r="D191" s="364"/>
      <c r="E191" s="365">
        <f t="shared" ref="E191:AJ191" si="2436">E$9</f>
        <v>2024</v>
      </c>
      <c r="F191" s="279">
        <f t="shared" si="2436"/>
        <v>2025</v>
      </c>
      <c r="G191" s="279">
        <f t="shared" si="2436"/>
        <v>2026</v>
      </c>
      <c r="H191" s="279">
        <f t="shared" si="2436"/>
        <v>2027</v>
      </c>
      <c r="I191" s="279">
        <f t="shared" si="2436"/>
        <v>2028</v>
      </c>
      <c r="J191" s="279">
        <f t="shared" si="2436"/>
        <v>2029</v>
      </c>
      <c r="K191" s="279">
        <f t="shared" si="2436"/>
        <v>2030</v>
      </c>
      <c r="L191" s="279">
        <f t="shared" si="2436"/>
        <v>2031</v>
      </c>
      <c r="M191" s="279">
        <f t="shared" si="2436"/>
        <v>2032</v>
      </c>
      <c r="N191" s="279">
        <f t="shared" si="2436"/>
        <v>2033</v>
      </c>
      <c r="O191" s="279">
        <f t="shared" si="2436"/>
        <v>2034</v>
      </c>
      <c r="P191" s="279">
        <f t="shared" si="2436"/>
        <v>2035</v>
      </c>
      <c r="Q191" s="279">
        <f t="shared" si="2436"/>
        <v>2036</v>
      </c>
      <c r="R191" s="279">
        <f t="shared" si="2436"/>
        <v>2037</v>
      </c>
      <c r="S191" s="279">
        <f t="shared" si="2436"/>
        <v>2038</v>
      </c>
      <c r="T191" s="279">
        <f t="shared" si="2436"/>
        <v>2039</v>
      </c>
      <c r="U191" s="279">
        <f t="shared" si="2436"/>
        <v>2040</v>
      </c>
      <c r="V191" s="279">
        <f t="shared" si="2436"/>
        <v>2041</v>
      </c>
      <c r="W191" s="279">
        <f t="shared" si="2436"/>
        <v>2042</v>
      </c>
      <c r="X191" s="279">
        <f t="shared" si="2436"/>
        <v>2043</v>
      </c>
      <c r="Y191" s="279">
        <f t="shared" si="2436"/>
        <v>2044</v>
      </c>
      <c r="Z191" s="279">
        <f t="shared" si="2436"/>
        <v>2045</v>
      </c>
      <c r="AA191" s="279">
        <f t="shared" si="2436"/>
        <v>2046</v>
      </c>
      <c r="AB191" s="279">
        <f t="shared" si="2436"/>
        <v>2047</v>
      </c>
      <c r="AC191" s="279">
        <f t="shared" si="2436"/>
        <v>2048</v>
      </c>
      <c r="AD191" s="279">
        <f t="shared" si="2436"/>
        <v>2049</v>
      </c>
      <c r="AE191" s="279">
        <f t="shared" si="2436"/>
        <v>2050</v>
      </c>
      <c r="AF191" s="279">
        <f t="shared" si="2436"/>
        <v>2051</v>
      </c>
      <c r="AG191" s="279">
        <f t="shared" si="2436"/>
        <v>2052</v>
      </c>
      <c r="AH191" s="279">
        <f t="shared" si="2436"/>
        <v>2053</v>
      </c>
      <c r="AI191" s="279">
        <f t="shared" si="2436"/>
        <v>2054</v>
      </c>
      <c r="AJ191" s="279">
        <f t="shared" si="2436"/>
        <v>2055</v>
      </c>
      <c r="AK191" s="279">
        <f t="shared" ref="AK191:BB191" si="2437">AK$9</f>
        <v>2056</v>
      </c>
      <c r="AL191" s="279">
        <f t="shared" si="2437"/>
        <v>2057</v>
      </c>
      <c r="AM191" s="279">
        <f t="shared" si="2437"/>
        <v>2058</v>
      </c>
      <c r="AN191" s="279">
        <f t="shared" si="2437"/>
        <v>2059</v>
      </c>
      <c r="AO191" s="279">
        <f t="shared" si="2437"/>
        <v>2060</v>
      </c>
      <c r="AP191" s="279">
        <f t="shared" si="2437"/>
        <v>2061</v>
      </c>
      <c r="AQ191" s="279">
        <f t="shared" si="2437"/>
        <v>2062</v>
      </c>
      <c r="AR191" s="279">
        <f t="shared" si="2437"/>
        <v>2063</v>
      </c>
      <c r="AS191" s="279">
        <f t="shared" si="2437"/>
        <v>2064</v>
      </c>
      <c r="AT191" s="279">
        <f t="shared" si="2437"/>
        <v>2065</v>
      </c>
      <c r="AU191" s="279">
        <f t="shared" si="2437"/>
        <v>2066</v>
      </c>
      <c r="AV191" s="279">
        <f t="shared" si="2437"/>
        <v>2067</v>
      </c>
      <c r="AW191" s="279">
        <f t="shared" si="2437"/>
        <v>2068</v>
      </c>
      <c r="AX191" s="279">
        <f t="shared" si="2437"/>
        <v>2069</v>
      </c>
      <c r="AY191" s="279">
        <f t="shared" si="2437"/>
        <v>2070</v>
      </c>
      <c r="AZ191" s="279">
        <f t="shared" si="2437"/>
        <v>2071</v>
      </c>
      <c r="BA191" s="279">
        <f t="shared" si="2437"/>
        <v>2072</v>
      </c>
      <c r="BB191" s="280">
        <f t="shared" si="2437"/>
        <v>2073</v>
      </c>
    </row>
    <row r="192" spans="1:54">
      <c r="A192"/>
      <c r="B192" s="485" t="s">
        <v>261</v>
      </c>
      <c r="C192" s="535"/>
      <c r="D192" s="486"/>
      <c r="E192" s="307">
        <v>0</v>
      </c>
      <c r="F192" s="281">
        <f>E194</f>
        <v>0</v>
      </c>
      <c r="G192" s="281">
        <f t="shared" ref="G192" si="2438">F194</f>
        <v>0</v>
      </c>
      <c r="H192" s="281">
        <f t="shared" ref="H192" si="2439">G194</f>
        <v>0</v>
      </c>
      <c r="I192" s="281">
        <f t="shared" ref="I192" si="2440">H194</f>
        <v>0</v>
      </c>
      <c r="J192" s="281">
        <f t="shared" ref="J192" si="2441">I194</f>
        <v>0</v>
      </c>
      <c r="K192" s="281">
        <f t="shared" ref="K192" si="2442">J194</f>
        <v>0</v>
      </c>
      <c r="L192" s="281">
        <f t="shared" ref="L192" si="2443">K194</f>
        <v>0</v>
      </c>
      <c r="M192" s="281">
        <f t="shared" ref="M192" si="2444">L194</f>
        <v>0</v>
      </c>
      <c r="N192" s="281">
        <f t="shared" ref="N192" si="2445">M194</f>
        <v>0</v>
      </c>
      <c r="O192" s="281">
        <f t="shared" ref="O192" si="2446">N194</f>
        <v>0</v>
      </c>
      <c r="P192" s="281">
        <f t="shared" ref="P192" si="2447">O194</f>
        <v>0</v>
      </c>
      <c r="Q192" s="281">
        <f t="shared" ref="Q192" si="2448">P194</f>
        <v>0</v>
      </c>
      <c r="R192" s="281">
        <f t="shared" ref="R192" si="2449">Q194</f>
        <v>0</v>
      </c>
      <c r="S192" s="281">
        <f t="shared" ref="S192" si="2450">R194</f>
        <v>0</v>
      </c>
      <c r="T192" s="281">
        <f t="shared" ref="T192" si="2451">S194</f>
        <v>0</v>
      </c>
      <c r="U192" s="281">
        <f t="shared" ref="U192" si="2452">T194</f>
        <v>0</v>
      </c>
      <c r="V192" s="281">
        <f t="shared" ref="V192" si="2453">U194</f>
        <v>0</v>
      </c>
      <c r="W192" s="281">
        <f t="shared" ref="W192" si="2454">V194</f>
        <v>0</v>
      </c>
      <c r="X192" s="281">
        <f t="shared" ref="X192" si="2455">W194</f>
        <v>0</v>
      </c>
      <c r="Y192" s="281">
        <f t="shared" ref="Y192" si="2456">X194</f>
        <v>0</v>
      </c>
      <c r="Z192" s="281">
        <f t="shared" ref="Z192" si="2457">Y194</f>
        <v>0</v>
      </c>
      <c r="AA192" s="281">
        <f t="shared" ref="AA192" si="2458">Z194</f>
        <v>0</v>
      </c>
      <c r="AB192" s="281">
        <f t="shared" ref="AB192" si="2459">AA194</f>
        <v>0</v>
      </c>
      <c r="AC192" s="281">
        <f t="shared" ref="AC192" si="2460">AB194</f>
        <v>0</v>
      </c>
      <c r="AD192" s="281">
        <f t="shared" ref="AD192" si="2461">AC194</f>
        <v>0</v>
      </c>
      <c r="AE192" s="281">
        <f t="shared" ref="AE192" si="2462">AD194</f>
        <v>0</v>
      </c>
      <c r="AF192" s="281">
        <f t="shared" ref="AF192" si="2463">AE194</f>
        <v>0</v>
      </c>
      <c r="AG192" s="281">
        <f t="shared" ref="AG192" si="2464">AF194</f>
        <v>0</v>
      </c>
      <c r="AH192" s="281">
        <f t="shared" ref="AH192" si="2465">AG194</f>
        <v>0</v>
      </c>
      <c r="AI192" s="281">
        <f t="shared" ref="AI192" si="2466">AH194</f>
        <v>0</v>
      </c>
      <c r="AJ192" s="281">
        <f t="shared" ref="AJ192" si="2467">AI194</f>
        <v>0</v>
      </c>
      <c r="AK192" s="281">
        <f t="shared" ref="AK192" si="2468">AJ194</f>
        <v>0</v>
      </c>
      <c r="AL192" s="281">
        <f t="shared" ref="AL192" si="2469">AK194</f>
        <v>0</v>
      </c>
      <c r="AM192" s="281">
        <f t="shared" ref="AM192" si="2470">AL194</f>
        <v>0</v>
      </c>
      <c r="AN192" s="281">
        <f t="shared" ref="AN192" si="2471">AM194</f>
        <v>0</v>
      </c>
      <c r="AO192" s="281">
        <f t="shared" ref="AO192" si="2472">AN194</f>
        <v>0</v>
      </c>
      <c r="AP192" s="281">
        <f t="shared" ref="AP192" si="2473">AO194</f>
        <v>0</v>
      </c>
      <c r="AQ192" s="281">
        <f t="shared" ref="AQ192" si="2474">AP194</f>
        <v>0</v>
      </c>
      <c r="AR192" s="281">
        <f t="shared" ref="AR192" si="2475">AQ194</f>
        <v>0</v>
      </c>
      <c r="AS192" s="281">
        <f t="shared" ref="AS192" si="2476">AR194</f>
        <v>0</v>
      </c>
      <c r="AT192" s="281">
        <f t="shared" ref="AT192" si="2477">AS194</f>
        <v>0</v>
      </c>
      <c r="AU192" s="281">
        <f t="shared" ref="AU192" si="2478">AT194</f>
        <v>0</v>
      </c>
      <c r="AV192" s="281">
        <f t="shared" ref="AV192" si="2479">AU194</f>
        <v>0</v>
      </c>
      <c r="AW192" s="281">
        <f t="shared" ref="AW192" si="2480">AV194</f>
        <v>0</v>
      </c>
      <c r="AX192" s="281">
        <f t="shared" ref="AX192" si="2481">AW194</f>
        <v>0</v>
      </c>
      <c r="AY192" s="281">
        <f t="shared" ref="AY192" si="2482">AX194</f>
        <v>0</v>
      </c>
      <c r="AZ192" s="281">
        <f t="shared" ref="AZ192" si="2483">AY194</f>
        <v>0</v>
      </c>
      <c r="BA192" s="281">
        <f t="shared" ref="BA192" si="2484">AZ194</f>
        <v>0</v>
      </c>
      <c r="BB192" s="282">
        <f t="shared" ref="BB192" si="2485">BA194</f>
        <v>0</v>
      </c>
    </row>
    <row r="193" spans="1:54">
      <c r="A193"/>
      <c r="B193" s="479" t="s">
        <v>99</v>
      </c>
      <c r="C193" s="536"/>
      <c r="D193" s="480"/>
      <c r="E193" s="289">
        <f>Cockpit!$H$31</f>
        <v>0.03</v>
      </c>
      <c r="F193" s="289">
        <f>Cockpit!$H$31</f>
        <v>0.03</v>
      </c>
      <c r="G193" s="289">
        <f>Cockpit!$H$31</f>
        <v>0.03</v>
      </c>
      <c r="H193" s="289">
        <f>Cockpit!$H$31</f>
        <v>0.03</v>
      </c>
      <c r="I193" s="289">
        <f>Cockpit!$H$31</f>
        <v>0.03</v>
      </c>
      <c r="J193" s="289">
        <f>Cockpit!$H$31</f>
        <v>0.03</v>
      </c>
      <c r="K193" s="289">
        <f>Cockpit!$H$31</f>
        <v>0.03</v>
      </c>
      <c r="L193" s="289">
        <f>Cockpit!$H$31</f>
        <v>0.03</v>
      </c>
      <c r="M193" s="289">
        <f>Cockpit!$H$31</f>
        <v>0.03</v>
      </c>
      <c r="N193" s="289">
        <f>Cockpit!$H$31</f>
        <v>0.03</v>
      </c>
      <c r="O193" s="289">
        <f>Cockpit!$H$31</f>
        <v>0.03</v>
      </c>
      <c r="P193" s="289">
        <f>Cockpit!$H$31</f>
        <v>0.03</v>
      </c>
      <c r="Q193" s="289">
        <f>Cockpit!$H$31</f>
        <v>0.03</v>
      </c>
      <c r="R193" s="289">
        <f>Cockpit!$H$31</f>
        <v>0.03</v>
      </c>
      <c r="S193" s="289">
        <f>Cockpit!$H$31</f>
        <v>0.03</v>
      </c>
      <c r="T193" s="289">
        <f>Cockpit!$H$31</f>
        <v>0.03</v>
      </c>
      <c r="U193" s="289">
        <f>Cockpit!$H$31</f>
        <v>0.03</v>
      </c>
      <c r="V193" s="289">
        <f>Cockpit!$H$31</f>
        <v>0.03</v>
      </c>
      <c r="W193" s="289">
        <f>Cockpit!$H$31</f>
        <v>0.03</v>
      </c>
      <c r="X193" s="289">
        <f>Cockpit!$H$31</f>
        <v>0.03</v>
      </c>
      <c r="Y193" s="289">
        <f>Cockpit!$H$31</f>
        <v>0.03</v>
      </c>
      <c r="Z193" s="289">
        <f>Cockpit!$H$31</f>
        <v>0.03</v>
      </c>
      <c r="AA193" s="289">
        <f>Cockpit!$H$31</f>
        <v>0.03</v>
      </c>
      <c r="AB193" s="289">
        <f>Cockpit!$H$31</f>
        <v>0.03</v>
      </c>
      <c r="AC193" s="289">
        <f>Cockpit!$H$31</f>
        <v>0.03</v>
      </c>
      <c r="AD193" s="289">
        <f>Cockpit!$H$31</f>
        <v>0.03</v>
      </c>
      <c r="AE193" s="289">
        <f>Cockpit!$H$31</f>
        <v>0.03</v>
      </c>
      <c r="AF193" s="289">
        <f>Cockpit!$H$31</f>
        <v>0.03</v>
      </c>
      <c r="AG193" s="289">
        <f>Cockpit!$H$31</f>
        <v>0.03</v>
      </c>
      <c r="AH193" s="289">
        <f>Cockpit!$H$31</f>
        <v>0.03</v>
      </c>
      <c r="AI193" s="289">
        <f>Cockpit!$H$31</f>
        <v>0.03</v>
      </c>
      <c r="AJ193" s="289">
        <f>Cockpit!$H$31</f>
        <v>0.03</v>
      </c>
      <c r="AK193" s="289">
        <f>Cockpit!$H$31</f>
        <v>0.03</v>
      </c>
      <c r="AL193" s="289">
        <f>Cockpit!$H$31</f>
        <v>0.03</v>
      </c>
      <c r="AM193" s="289">
        <f>Cockpit!$H$31</f>
        <v>0.03</v>
      </c>
      <c r="AN193" s="289">
        <f>Cockpit!$H$31</f>
        <v>0.03</v>
      </c>
      <c r="AO193" s="289">
        <f>Cockpit!$H$31</f>
        <v>0.03</v>
      </c>
      <c r="AP193" s="289">
        <f>Cockpit!$H$31</f>
        <v>0.03</v>
      </c>
      <c r="AQ193" s="289">
        <f>Cockpit!$H$31</f>
        <v>0.03</v>
      </c>
      <c r="AR193" s="289">
        <f>Cockpit!$H$31</f>
        <v>0.03</v>
      </c>
      <c r="AS193" s="289">
        <f>Cockpit!$H$31</f>
        <v>0.03</v>
      </c>
      <c r="AT193" s="289">
        <f>Cockpit!$H$31</f>
        <v>0.03</v>
      </c>
      <c r="AU193" s="289">
        <f>Cockpit!$H$31</f>
        <v>0.03</v>
      </c>
      <c r="AV193" s="289">
        <f>Cockpit!$H$31</f>
        <v>0.03</v>
      </c>
      <c r="AW193" s="289">
        <f>Cockpit!$H$31</f>
        <v>0.03</v>
      </c>
      <c r="AX193" s="289">
        <f>Cockpit!$H$31</f>
        <v>0.03</v>
      </c>
      <c r="AY193" s="289">
        <f>Cockpit!$H$31</f>
        <v>0.03</v>
      </c>
      <c r="AZ193" s="289">
        <f>Cockpit!$H$31</f>
        <v>0.03</v>
      </c>
      <c r="BA193" s="289">
        <f>Cockpit!$H$31</f>
        <v>0.03</v>
      </c>
      <c r="BB193" s="290">
        <f>Cockpit!$H$31</f>
        <v>0.03</v>
      </c>
    </row>
    <row r="194" spans="1:54">
      <c r="B194" s="479" t="s">
        <v>67</v>
      </c>
      <c r="C194" s="536"/>
      <c r="D194" s="480"/>
      <c r="E194" s="10">
        <f t="shared" ref="E194:BB194" si="2486">E192*(1+E193)</f>
        <v>0</v>
      </c>
      <c r="F194" s="10">
        <f t="shared" si="2486"/>
        <v>0</v>
      </c>
      <c r="G194" s="10">
        <f t="shared" si="2486"/>
        <v>0</v>
      </c>
      <c r="H194" s="10">
        <f t="shared" si="2486"/>
        <v>0</v>
      </c>
      <c r="I194" s="10">
        <f t="shared" si="2486"/>
        <v>0</v>
      </c>
      <c r="J194" s="10">
        <f t="shared" si="2486"/>
        <v>0</v>
      </c>
      <c r="K194" s="10">
        <f t="shared" si="2486"/>
        <v>0</v>
      </c>
      <c r="L194" s="10">
        <f t="shared" si="2486"/>
        <v>0</v>
      </c>
      <c r="M194" s="10">
        <f t="shared" si="2486"/>
        <v>0</v>
      </c>
      <c r="N194" s="10">
        <f t="shared" si="2486"/>
        <v>0</v>
      </c>
      <c r="O194" s="10">
        <f t="shared" si="2486"/>
        <v>0</v>
      </c>
      <c r="P194" s="10">
        <f t="shared" si="2486"/>
        <v>0</v>
      </c>
      <c r="Q194" s="10">
        <f t="shared" si="2486"/>
        <v>0</v>
      </c>
      <c r="R194" s="10">
        <f t="shared" si="2486"/>
        <v>0</v>
      </c>
      <c r="S194" s="10">
        <f t="shared" si="2486"/>
        <v>0</v>
      </c>
      <c r="T194" s="10">
        <f t="shared" si="2486"/>
        <v>0</v>
      </c>
      <c r="U194" s="10">
        <f t="shared" si="2486"/>
        <v>0</v>
      </c>
      <c r="V194" s="10">
        <f t="shared" si="2486"/>
        <v>0</v>
      </c>
      <c r="W194" s="10">
        <f t="shared" si="2486"/>
        <v>0</v>
      </c>
      <c r="X194" s="10">
        <f t="shared" si="2486"/>
        <v>0</v>
      </c>
      <c r="Y194" s="10">
        <f t="shared" si="2486"/>
        <v>0</v>
      </c>
      <c r="Z194" s="10">
        <f t="shared" si="2486"/>
        <v>0</v>
      </c>
      <c r="AA194" s="10">
        <f t="shared" si="2486"/>
        <v>0</v>
      </c>
      <c r="AB194" s="10">
        <f t="shared" si="2486"/>
        <v>0</v>
      </c>
      <c r="AC194" s="10">
        <f t="shared" si="2486"/>
        <v>0</v>
      </c>
      <c r="AD194" s="10">
        <f t="shared" si="2486"/>
        <v>0</v>
      </c>
      <c r="AE194" s="10">
        <f t="shared" si="2486"/>
        <v>0</v>
      </c>
      <c r="AF194" s="10">
        <f t="shared" si="2486"/>
        <v>0</v>
      </c>
      <c r="AG194" s="10">
        <f t="shared" si="2486"/>
        <v>0</v>
      </c>
      <c r="AH194" s="10">
        <f t="shared" si="2486"/>
        <v>0</v>
      </c>
      <c r="AI194" s="10">
        <f t="shared" si="2486"/>
        <v>0</v>
      </c>
      <c r="AJ194" s="10">
        <f t="shared" si="2486"/>
        <v>0</v>
      </c>
      <c r="AK194" s="10">
        <f t="shared" si="2486"/>
        <v>0</v>
      </c>
      <c r="AL194" s="10">
        <f t="shared" si="2486"/>
        <v>0</v>
      </c>
      <c r="AM194" s="10">
        <f t="shared" si="2486"/>
        <v>0</v>
      </c>
      <c r="AN194" s="10">
        <f t="shared" si="2486"/>
        <v>0</v>
      </c>
      <c r="AO194" s="10">
        <f t="shared" si="2486"/>
        <v>0</v>
      </c>
      <c r="AP194" s="10">
        <f t="shared" si="2486"/>
        <v>0</v>
      </c>
      <c r="AQ194" s="10">
        <f t="shared" si="2486"/>
        <v>0</v>
      </c>
      <c r="AR194" s="10">
        <f t="shared" si="2486"/>
        <v>0</v>
      </c>
      <c r="AS194" s="10">
        <f t="shared" si="2486"/>
        <v>0</v>
      </c>
      <c r="AT194" s="10">
        <f t="shared" si="2486"/>
        <v>0</v>
      </c>
      <c r="AU194" s="10">
        <f t="shared" si="2486"/>
        <v>0</v>
      </c>
      <c r="AV194" s="10">
        <f t="shared" si="2486"/>
        <v>0</v>
      </c>
      <c r="AW194" s="10">
        <f t="shared" si="2486"/>
        <v>0</v>
      </c>
      <c r="AX194" s="10">
        <f t="shared" si="2486"/>
        <v>0</v>
      </c>
      <c r="AY194" s="10">
        <f t="shared" si="2486"/>
        <v>0</v>
      </c>
      <c r="AZ194" s="10">
        <f t="shared" si="2486"/>
        <v>0</v>
      </c>
      <c r="BA194" s="10">
        <f t="shared" si="2486"/>
        <v>0</v>
      </c>
      <c r="BB194" s="283">
        <f t="shared" si="2486"/>
        <v>0</v>
      </c>
    </row>
    <row r="195" spans="1:54" ht="15.75" thickBot="1">
      <c r="B195" s="492" t="s">
        <v>301</v>
      </c>
      <c r="C195" s="537"/>
      <c r="D195" s="493"/>
      <c r="E195" s="367" t="str">
        <f>IFERROR(E194/$C191,"-")</f>
        <v>-</v>
      </c>
      <c r="F195" s="367" t="str">
        <f>IFERROR(F194/$C191,"-")</f>
        <v>-</v>
      </c>
      <c r="G195" s="367" t="str">
        <f t="shared" ref="G195" si="2487">IFERROR(G194/$C191,"-")</f>
        <v>-</v>
      </c>
      <c r="H195" s="367" t="str">
        <f t="shared" ref="H195" si="2488">IFERROR(H194/$C191,"-")</f>
        <v>-</v>
      </c>
      <c r="I195" s="367" t="str">
        <f t="shared" ref="I195" si="2489">IFERROR(I194/$C191,"-")</f>
        <v>-</v>
      </c>
      <c r="J195" s="367" t="str">
        <f t="shared" ref="J195" si="2490">IFERROR(J194/$C191,"-")</f>
        <v>-</v>
      </c>
      <c r="K195" s="367" t="str">
        <f t="shared" ref="K195" si="2491">IFERROR(K194/$C191,"-")</f>
        <v>-</v>
      </c>
      <c r="L195" s="367" t="str">
        <f t="shared" ref="L195" si="2492">IFERROR(L194/$C191,"-")</f>
        <v>-</v>
      </c>
      <c r="M195" s="367" t="str">
        <f t="shared" ref="M195" si="2493">IFERROR(M194/$C191,"-")</f>
        <v>-</v>
      </c>
      <c r="N195" s="367" t="str">
        <f t="shared" ref="N195" si="2494">IFERROR(N194/$C191,"-")</f>
        <v>-</v>
      </c>
      <c r="O195" s="367" t="str">
        <f t="shared" ref="O195" si="2495">IFERROR(O194/$C191,"-")</f>
        <v>-</v>
      </c>
      <c r="P195" s="367" t="str">
        <f t="shared" ref="P195" si="2496">IFERROR(P194/$C191,"-")</f>
        <v>-</v>
      </c>
      <c r="Q195" s="367" t="str">
        <f t="shared" ref="Q195" si="2497">IFERROR(Q194/$C191,"-")</f>
        <v>-</v>
      </c>
      <c r="R195" s="367" t="str">
        <f t="shared" ref="R195" si="2498">IFERROR(R194/$C191,"-")</f>
        <v>-</v>
      </c>
      <c r="S195" s="367" t="str">
        <f t="shared" ref="S195" si="2499">IFERROR(S194/$C191,"-")</f>
        <v>-</v>
      </c>
      <c r="T195" s="367" t="str">
        <f t="shared" ref="T195" si="2500">IFERROR(T194/$C191,"-")</f>
        <v>-</v>
      </c>
      <c r="U195" s="367" t="str">
        <f t="shared" ref="U195" si="2501">IFERROR(U194/$C191,"-")</f>
        <v>-</v>
      </c>
      <c r="V195" s="367" t="str">
        <f t="shared" ref="V195" si="2502">IFERROR(V194/$C191,"-")</f>
        <v>-</v>
      </c>
      <c r="W195" s="367" t="str">
        <f t="shared" ref="W195" si="2503">IFERROR(W194/$C191,"-")</f>
        <v>-</v>
      </c>
      <c r="X195" s="367" t="str">
        <f t="shared" ref="X195" si="2504">IFERROR(X194/$C191,"-")</f>
        <v>-</v>
      </c>
      <c r="Y195" s="367" t="str">
        <f t="shared" ref="Y195" si="2505">IFERROR(Y194/$C191,"-")</f>
        <v>-</v>
      </c>
      <c r="Z195" s="367" t="str">
        <f t="shared" ref="Z195" si="2506">IFERROR(Z194/$C191,"-")</f>
        <v>-</v>
      </c>
      <c r="AA195" s="367" t="str">
        <f t="shared" ref="AA195" si="2507">IFERROR(AA194/$C191,"-")</f>
        <v>-</v>
      </c>
      <c r="AB195" s="367" t="str">
        <f t="shared" ref="AB195" si="2508">IFERROR(AB194/$C191,"-")</f>
        <v>-</v>
      </c>
      <c r="AC195" s="367" t="str">
        <f t="shared" ref="AC195" si="2509">IFERROR(AC194/$C191,"-")</f>
        <v>-</v>
      </c>
      <c r="AD195" s="367" t="str">
        <f t="shared" ref="AD195" si="2510">IFERROR(AD194/$C191,"-")</f>
        <v>-</v>
      </c>
      <c r="AE195" s="367" t="str">
        <f t="shared" ref="AE195" si="2511">IFERROR(AE194/$C191,"-")</f>
        <v>-</v>
      </c>
      <c r="AF195" s="367" t="str">
        <f t="shared" ref="AF195" si="2512">IFERROR(AF194/$C191,"-")</f>
        <v>-</v>
      </c>
      <c r="AG195" s="367" t="str">
        <f t="shared" ref="AG195" si="2513">IFERROR(AG194/$C191,"-")</f>
        <v>-</v>
      </c>
      <c r="AH195" s="367" t="str">
        <f t="shared" ref="AH195" si="2514">IFERROR(AH194/$C191,"-")</f>
        <v>-</v>
      </c>
      <c r="AI195" s="367" t="str">
        <f t="shared" ref="AI195" si="2515">IFERROR(AI194/$C191,"-")</f>
        <v>-</v>
      </c>
      <c r="AJ195" s="367" t="str">
        <f t="shared" ref="AJ195" si="2516">IFERROR(AJ194/$C191,"-")</f>
        <v>-</v>
      </c>
      <c r="AK195" s="367" t="str">
        <f t="shared" ref="AK195" si="2517">IFERROR(AK194/$C191,"-")</f>
        <v>-</v>
      </c>
      <c r="AL195" s="367" t="str">
        <f t="shared" ref="AL195" si="2518">IFERROR(AL194/$C191,"-")</f>
        <v>-</v>
      </c>
      <c r="AM195" s="367" t="str">
        <f t="shared" ref="AM195" si="2519">IFERROR(AM194/$C191,"-")</f>
        <v>-</v>
      </c>
      <c r="AN195" s="367" t="str">
        <f t="shared" ref="AN195" si="2520">IFERROR(AN194/$C191,"-")</f>
        <v>-</v>
      </c>
      <c r="AO195" s="367" t="str">
        <f t="shared" ref="AO195" si="2521">IFERROR(AO194/$C191,"-")</f>
        <v>-</v>
      </c>
      <c r="AP195" s="367" t="str">
        <f t="shared" ref="AP195" si="2522">IFERROR(AP194/$C191,"-")</f>
        <v>-</v>
      </c>
      <c r="AQ195" s="367" t="str">
        <f t="shared" ref="AQ195" si="2523">IFERROR(AQ194/$C191,"-")</f>
        <v>-</v>
      </c>
      <c r="AR195" s="367" t="str">
        <f t="shared" ref="AR195" si="2524">IFERROR(AR194/$C191,"-")</f>
        <v>-</v>
      </c>
      <c r="AS195" s="367" t="str">
        <f t="shared" ref="AS195" si="2525">IFERROR(AS194/$C191,"-")</f>
        <v>-</v>
      </c>
      <c r="AT195" s="367" t="str">
        <f t="shared" ref="AT195" si="2526">IFERROR(AT194/$C191,"-")</f>
        <v>-</v>
      </c>
      <c r="AU195" s="367" t="str">
        <f t="shared" ref="AU195" si="2527">IFERROR(AU194/$C191,"-")</f>
        <v>-</v>
      </c>
      <c r="AV195" s="367" t="str">
        <f t="shared" ref="AV195" si="2528">IFERROR(AV194/$C191,"-")</f>
        <v>-</v>
      </c>
      <c r="AW195" s="367" t="str">
        <f t="shared" ref="AW195" si="2529">IFERROR(AW194/$C191,"-")</f>
        <v>-</v>
      </c>
      <c r="AX195" s="367" t="str">
        <f t="shared" ref="AX195" si="2530">IFERROR(AX194/$C191,"-")</f>
        <v>-</v>
      </c>
      <c r="AY195" s="367" t="str">
        <f t="shared" ref="AY195" si="2531">IFERROR(AY194/$C191,"-")</f>
        <v>-</v>
      </c>
      <c r="AZ195" s="367" t="str">
        <f t="shared" ref="AZ195" si="2532">IFERROR(AZ194/$C191,"-")</f>
        <v>-</v>
      </c>
      <c r="BA195" s="367" t="str">
        <f t="shared" ref="BA195" si="2533">IFERROR(BA194/$C191,"-")</f>
        <v>-</v>
      </c>
      <c r="BB195" s="368" t="str">
        <f t="shared" ref="BB195" si="2534">IFERROR(BB194/$C191,"-")</f>
        <v>-</v>
      </c>
    </row>
    <row r="196" spans="1:54" ht="17.25" customHeight="1" thickBot="1">
      <c r="J196" s="6"/>
      <c r="K196" s="6"/>
      <c r="L196" s="6"/>
      <c r="M196" s="6"/>
      <c r="O196" s="5"/>
      <c r="P196" s="5"/>
      <c r="Q196" s="5"/>
      <c r="R196" s="5"/>
    </row>
    <row r="197" spans="1:54" ht="18" thickBot="1">
      <c r="A197"/>
      <c r="B197" s="533" t="s">
        <v>322</v>
      </c>
      <c r="C197" s="534"/>
      <c r="D197" s="32"/>
      <c r="E197" s="275"/>
      <c r="J197" s="6"/>
      <c r="K197" s="6"/>
      <c r="L197" s="6"/>
      <c r="M197" s="6"/>
    </row>
    <row r="198" spans="1:54" ht="15.75" thickBot="1">
      <c r="B198" s="360" t="s">
        <v>11</v>
      </c>
      <c r="C198" s="369">
        <v>0</v>
      </c>
      <c r="D198" s="364"/>
      <c r="E198" s="365">
        <f t="shared" ref="E198:AJ198" si="2535">E$9</f>
        <v>2024</v>
      </c>
      <c r="F198" s="279">
        <f t="shared" si="2535"/>
        <v>2025</v>
      </c>
      <c r="G198" s="279">
        <f t="shared" si="2535"/>
        <v>2026</v>
      </c>
      <c r="H198" s="279">
        <f t="shared" si="2535"/>
        <v>2027</v>
      </c>
      <c r="I198" s="279">
        <f t="shared" si="2535"/>
        <v>2028</v>
      </c>
      <c r="J198" s="279">
        <f t="shared" si="2535"/>
        <v>2029</v>
      </c>
      <c r="K198" s="279">
        <f t="shared" si="2535"/>
        <v>2030</v>
      </c>
      <c r="L198" s="279">
        <f t="shared" si="2535"/>
        <v>2031</v>
      </c>
      <c r="M198" s="279">
        <f t="shared" si="2535"/>
        <v>2032</v>
      </c>
      <c r="N198" s="279">
        <f t="shared" si="2535"/>
        <v>2033</v>
      </c>
      <c r="O198" s="279">
        <f t="shared" si="2535"/>
        <v>2034</v>
      </c>
      <c r="P198" s="279">
        <f t="shared" si="2535"/>
        <v>2035</v>
      </c>
      <c r="Q198" s="279">
        <f t="shared" si="2535"/>
        <v>2036</v>
      </c>
      <c r="R198" s="279">
        <f t="shared" si="2535"/>
        <v>2037</v>
      </c>
      <c r="S198" s="279">
        <f t="shared" si="2535"/>
        <v>2038</v>
      </c>
      <c r="T198" s="279">
        <f t="shared" si="2535"/>
        <v>2039</v>
      </c>
      <c r="U198" s="279">
        <f t="shared" si="2535"/>
        <v>2040</v>
      </c>
      <c r="V198" s="279">
        <f t="shared" si="2535"/>
        <v>2041</v>
      </c>
      <c r="W198" s="279">
        <f t="shared" si="2535"/>
        <v>2042</v>
      </c>
      <c r="X198" s="279">
        <f t="shared" si="2535"/>
        <v>2043</v>
      </c>
      <c r="Y198" s="279">
        <f t="shared" si="2535"/>
        <v>2044</v>
      </c>
      <c r="Z198" s="279">
        <f t="shared" si="2535"/>
        <v>2045</v>
      </c>
      <c r="AA198" s="279">
        <f t="shared" si="2535"/>
        <v>2046</v>
      </c>
      <c r="AB198" s="279">
        <f t="shared" si="2535"/>
        <v>2047</v>
      </c>
      <c r="AC198" s="279">
        <f t="shared" si="2535"/>
        <v>2048</v>
      </c>
      <c r="AD198" s="279">
        <f t="shared" si="2535"/>
        <v>2049</v>
      </c>
      <c r="AE198" s="279">
        <f t="shared" si="2535"/>
        <v>2050</v>
      </c>
      <c r="AF198" s="279">
        <f t="shared" si="2535"/>
        <v>2051</v>
      </c>
      <c r="AG198" s="279">
        <f t="shared" si="2535"/>
        <v>2052</v>
      </c>
      <c r="AH198" s="279">
        <f t="shared" si="2535"/>
        <v>2053</v>
      </c>
      <c r="AI198" s="279">
        <f t="shared" si="2535"/>
        <v>2054</v>
      </c>
      <c r="AJ198" s="279">
        <f t="shared" si="2535"/>
        <v>2055</v>
      </c>
      <c r="AK198" s="279">
        <f t="shared" ref="AK198:BB198" si="2536">AK$9</f>
        <v>2056</v>
      </c>
      <c r="AL198" s="279">
        <f t="shared" si="2536"/>
        <v>2057</v>
      </c>
      <c r="AM198" s="279">
        <f t="shared" si="2536"/>
        <v>2058</v>
      </c>
      <c r="AN198" s="279">
        <f t="shared" si="2536"/>
        <v>2059</v>
      </c>
      <c r="AO198" s="279">
        <f t="shared" si="2536"/>
        <v>2060</v>
      </c>
      <c r="AP198" s="279">
        <f t="shared" si="2536"/>
        <v>2061</v>
      </c>
      <c r="AQ198" s="279">
        <f t="shared" si="2536"/>
        <v>2062</v>
      </c>
      <c r="AR198" s="279">
        <f t="shared" si="2536"/>
        <v>2063</v>
      </c>
      <c r="AS198" s="279">
        <f t="shared" si="2536"/>
        <v>2064</v>
      </c>
      <c r="AT198" s="279">
        <f t="shared" si="2536"/>
        <v>2065</v>
      </c>
      <c r="AU198" s="279">
        <f t="shared" si="2536"/>
        <v>2066</v>
      </c>
      <c r="AV198" s="279">
        <f t="shared" si="2536"/>
        <v>2067</v>
      </c>
      <c r="AW198" s="279">
        <f t="shared" si="2536"/>
        <v>2068</v>
      </c>
      <c r="AX198" s="279">
        <f t="shared" si="2536"/>
        <v>2069</v>
      </c>
      <c r="AY198" s="279">
        <f t="shared" si="2536"/>
        <v>2070</v>
      </c>
      <c r="AZ198" s="279">
        <f t="shared" si="2536"/>
        <v>2071</v>
      </c>
      <c r="BA198" s="279">
        <f t="shared" si="2536"/>
        <v>2072</v>
      </c>
      <c r="BB198" s="280">
        <f t="shared" si="2536"/>
        <v>2073</v>
      </c>
    </row>
    <row r="199" spans="1:54">
      <c r="A199"/>
      <c r="B199" s="485" t="s">
        <v>261</v>
      </c>
      <c r="C199" s="535"/>
      <c r="D199" s="486"/>
      <c r="E199" s="307">
        <v>0</v>
      </c>
      <c r="F199" s="281">
        <f>E201</f>
        <v>0</v>
      </c>
      <c r="G199" s="281">
        <f t="shared" ref="G199" si="2537">F201</f>
        <v>0</v>
      </c>
      <c r="H199" s="281">
        <f t="shared" ref="H199" si="2538">G201</f>
        <v>0</v>
      </c>
      <c r="I199" s="281">
        <f t="shared" ref="I199" si="2539">H201</f>
        <v>0</v>
      </c>
      <c r="J199" s="281">
        <f t="shared" ref="J199" si="2540">I201</f>
        <v>0</v>
      </c>
      <c r="K199" s="281">
        <f t="shared" ref="K199" si="2541">J201</f>
        <v>0</v>
      </c>
      <c r="L199" s="281">
        <f t="shared" ref="L199" si="2542">K201</f>
        <v>0</v>
      </c>
      <c r="M199" s="281">
        <f t="shared" ref="M199" si="2543">L201</f>
        <v>0</v>
      </c>
      <c r="N199" s="281">
        <f t="shared" ref="N199" si="2544">M201</f>
        <v>0</v>
      </c>
      <c r="O199" s="281">
        <f t="shared" ref="O199" si="2545">N201</f>
        <v>0</v>
      </c>
      <c r="P199" s="281">
        <f t="shared" ref="P199" si="2546">O201</f>
        <v>0</v>
      </c>
      <c r="Q199" s="281">
        <f t="shared" ref="Q199" si="2547">P201</f>
        <v>0</v>
      </c>
      <c r="R199" s="281">
        <f t="shared" ref="R199" si="2548">Q201</f>
        <v>0</v>
      </c>
      <c r="S199" s="281">
        <f t="shared" ref="S199" si="2549">R201</f>
        <v>0</v>
      </c>
      <c r="T199" s="281">
        <f t="shared" ref="T199" si="2550">S201</f>
        <v>0</v>
      </c>
      <c r="U199" s="281">
        <f t="shared" ref="U199" si="2551">T201</f>
        <v>0</v>
      </c>
      <c r="V199" s="281">
        <f t="shared" ref="V199" si="2552">U201</f>
        <v>0</v>
      </c>
      <c r="W199" s="281">
        <f t="shared" ref="W199" si="2553">V201</f>
        <v>0</v>
      </c>
      <c r="X199" s="281">
        <f t="shared" ref="X199" si="2554">W201</f>
        <v>0</v>
      </c>
      <c r="Y199" s="281">
        <f t="shared" ref="Y199" si="2555">X201</f>
        <v>0</v>
      </c>
      <c r="Z199" s="281">
        <f t="shared" ref="Z199" si="2556">Y201</f>
        <v>0</v>
      </c>
      <c r="AA199" s="281">
        <f t="shared" ref="AA199" si="2557">Z201</f>
        <v>0</v>
      </c>
      <c r="AB199" s="281">
        <f t="shared" ref="AB199" si="2558">AA201</f>
        <v>0</v>
      </c>
      <c r="AC199" s="281">
        <f t="shared" ref="AC199" si="2559">AB201</f>
        <v>0</v>
      </c>
      <c r="AD199" s="281">
        <f t="shared" ref="AD199" si="2560">AC201</f>
        <v>0</v>
      </c>
      <c r="AE199" s="281">
        <f t="shared" ref="AE199" si="2561">AD201</f>
        <v>0</v>
      </c>
      <c r="AF199" s="281">
        <f t="shared" ref="AF199" si="2562">AE201</f>
        <v>0</v>
      </c>
      <c r="AG199" s="281">
        <f t="shared" ref="AG199" si="2563">AF201</f>
        <v>0</v>
      </c>
      <c r="AH199" s="281">
        <f t="shared" ref="AH199" si="2564">AG201</f>
        <v>0</v>
      </c>
      <c r="AI199" s="281">
        <f t="shared" ref="AI199" si="2565">AH201</f>
        <v>0</v>
      </c>
      <c r="AJ199" s="281">
        <f t="shared" ref="AJ199" si="2566">AI201</f>
        <v>0</v>
      </c>
      <c r="AK199" s="281">
        <f t="shared" ref="AK199" si="2567">AJ201</f>
        <v>0</v>
      </c>
      <c r="AL199" s="281">
        <f t="shared" ref="AL199" si="2568">AK201</f>
        <v>0</v>
      </c>
      <c r="AM199" s="281">
        <f t="shared" ref="AM199" si="2569">AL201</f>
        <v>0</v>
      </c>
      <c r="AN199" s="281">
        <f t="shared" ref="AN199" si="2570">AM201</f>
        <v>0</v>
      </c>
      <c r="AO199" s="281">
        <f t="shared" ref="AO199" si="2571">AN201</f>
        <v>0</v>
      </c>
      <c r="AP199" s="281">
        <f t="shared" ref="AP199" si="2572">AO201</f>
        <v>0</v>
      </c>
      <c r="AQ199" s="281">
        <f t="shared" ref="AQ199" si="2573">AP201</f>
        <v>0</v>
      </c>
      <c r="AR199" s="281">
        <f t="shared" ref="AR199" si="2574">AQ201</f>
        <v>0</v>
      </c>
      <c r="AS199" s="281">
        <f t="shared" ref="AS199" si="2575">AR201</f>
        <v>0</v>
      </c>
      <c r="AT199" s="281">
        <f t="shared" ref="AT199" si="2576">AS201</f>
        <v>0</v>
      </c>
      <c r="AU199" s="281">
        <f t="shared" ref="AU199" si="2577">AT201</f>
        <v>0</v>
      </c>
      <c r="AV199" s="281">
        <f t="shared" ref="AV199" si="2578">AU201</f>
        <v>0</v>
      </c>
      <c r="AW199" s="281">
        <f t="shared" ref="AW199" si="2579">AV201</f>
        <v>0</v>
      </c>
      <c r="AX199" s="281">
        <f t="shared" ref="AX199" si="2580">AW201</f>
        <v>0</v>
      </c>
      <c r="AY199" s="281">
        <f t="shared" ref="AY199" si="2581">AX201</f>
        <v>0</v>
      </c>
      <c r="AZ199" s="281">
        <f t="shared" ref="AZ199" si="2582">AY201</f>
        <v>0</v>
      </c>
      <c r="BA199" s="281">
        <f t="shared" ref="BA199" si="2583">AZ201</f>
        <v>0</v>
      </c>
      <c r="BB199" s="282">
        <f t="shared" ref="BB199" si="2584">BA201</f>
        <v>0</v>
      </c>
    </row>
    <row r="200" spans="1:54">
      <c r="A200"/>
      <c r="B200" s="479" t="s">
        <v>99</v>
      </c>
      <c r="C200" s="536"/>
      <c r="D200" s="480"/>
      <c r="E200" s="289">
        <f>Cockpit!$H$31</f>
        <v>0.03</v>
      </c>
      <c r="F200" s="289">
        <f>Cockpit!$H$31</f>
        <v>0.03</v>
      </c>
      <c r="G200" s="289">
        <f>Cockpit!$H$31</f>
        <v>0.03</v>
      </c>
      <c r="H200" s="289">
        <f>Cockpit!$H$31</f>
        <v>0.03</v>
      </c>
      <c r="I200" s="289">
        <f>Cockpit!$H$31</f>
        <v>0.03</v>
      </c>
      <c r="J200" s="289">
        <f>Cockpit!$H$31</f>
        <v>0.03</v>
      </c>
      <c r="K200" s="289">
        <f>Cockpit!$H$31</f>
        <v>0.03</v>
      </c>
      <c r="L200" s="289">
        <f>Cockpit!$H$31</f>
        <v>0.03</v>
      </c>
      <c r="M200" s="289">
        <f>Cockpit!$H$31</f>
        <v>0.03</v>
      </c>
      <c r="N200" s="289">
        <f>Cockpit!$H$31</f>
        <v>0.03</v>
      </c>
      <c r="O200" s="289">
        <f>Cockpit!$H$31</f>
        <v>0.03</v>
      </c>
      <c r="P200" s="289">
        <f>Cockpit!$H$31</f>
        <v>0.03</v>
      </c>
      <c r="Q200" s="289">
        <f>Cockpit!$H$31</f>
        <v>0.03</v>
      </c>
      <c r="R200" s="289">
        <f>Cockpit!$H$31</f>
        <v>0.03</v>
      </c>
      <c r="S200" s="289">
        <f>Cockpit!$H$31</f>
        <v>0.03</v>
      </c>
      <c r="T200" s="289">
        <f>Cockpit!$H$31</f>
        <v>0.03</v>
      </c>
      <c r="U200" s="289">
        <f>Cockpit!$H$31</f>
        <v>0.03</v>
      </c>
      <c r="V200" s="289">
        <f>Cockpit!$H$31</f>
        <v>0.03</v>
      </c>
      <c r="W200" s="289">
        <f>Cockpit!$H$31</f>
        <v>0.03</v>
      </c>
      <c r="X200" s="289">
        <f>Cockpit!$H$31</f>
        <v>0.03</v>
      </c>
      <c r="Y200" s="289">
        <f>Cockpit!$H$31</f>
        <v>0.03</v>
      </c>
      <c r="Z200" s="289">
        <f>Cockpit!$H$31</f>
        <v>0.03</v>
      </c>
      <c r="AA200" s="289">
        <f>Cockpit!$H$31</f>
        <v>0.03</v>
      </c>
      <c r="AB200" s="289">
        <f>Cockpit!$H$31</f>
        <v>0.03</v>
      </c>
      <c r="AC200" s="289">
        <f>Cockpit!$H$31</f>
        <v>0.03</v>
      </c>
      <c r="AD200" s="289">
        <f>Cockpit!$H$31</f>
        <v>0.03</v>
      </c>
      <c r="AE200" s="289">
        <f>Cockpit!$H$31</f>
        <v>0.03</v>
      </c>
      <c r="AF200" s="289">
        <f>Cockpit!$H$31</f>
        <v>0.03</v>
      </c>
      <c r="AG200" s="289">
        <f>Cockpit!$H$31</f>
        <v>0.03</v>
      </c>
      <c r="AH200" s="289">
        <f>Cockpit!$H$31</f>
        <v>0.03</v>
      </c>
      <c r="AI200" s="289">
        <f>Cockpit!$H$31</f>
        <v>0.03</v>
      </c>
      <c r="AJ200" s="289">
        <f>Cockpit!$H$31</f>
        <v>0.03</v>
      </c>
      <c r="AK200" s="289">
        <f>Cockpit!$H$31</f>
        <v>0.03</v>
      </c>
      <c r="AL200" s="289">
        <f>Cockpit!$H$31</f>
        <v>0.03</v>
      </c>
      <c r="AM200" s="289">
        <f>Cockpit!$H$31</f>
        <v>0.03</v>
      </c>
      <c r="AN200" s="289">
        <f>Cockpit!$H$31</f>
        <v>0.03</v>
      </c>
      <c r="AO200" s="289">
        <f>Cockpit!$H$31</f>
        <v>0.03</v>
      </c>
      <c r="AP200" s="289">
        <f>Cockpit!$H$31</f>
        <v>0.03</v>
      </c>
      <c r="AQ200" s="289">
        <f>Cockpit!$H$31</f>
        <v>0.03</v>
      </c>
      <c r="AR200" s="289">
        <f>Cockpit!$H$31</f>
        <v>0.03</v>
      </c>
      <c r="AS200" s="289">
        <f>Cockpit!$H$31</f>
        <v>0.03</v>
      </c>
      <c r="AT200" s="289">
        <f>Cockpit!$H$31</f>
        <v>0.03</v>
      </c>
      <c r="AU200" s="289">
        <f>Cockpit!$H$31</f>
        <v>0.03</v>
      </c>
      <c r="AV200" s="289">
        <f>Cockpit!$H$31</f>
        <v>0.03</v>
      </c>
      <c r="AW200" s="289">
        <f>Cockpit!$H$31</f>
        <v>0.03</v>
      </c>
      <c r="AX200" s="289">
        <f>Cockpit!$H$31</f>
        <v>0.03</v>
      </c>
      <c r="AY200" s="289">
        <f>Cockpit!$H$31</f>
        <v>0.03</v>
      </c>
      <c r="AZ200" s="289">
        <f>Cockpit!$H$31</f>
        <v>0.03</v>
      </c>
      <c r="BA200" s="289">
        <f>Cockpit!$H$31</f>
        <v>0.03</v>
      </c>
      <c r="BB200" s="290">
        <f>Cockpit!$H$31</f>
        <v>0.03</v>
      </c>
    </row>
    <row r="201" spans="1:54">
      <c r="B201" s="479" t="s">
        <v>67</v>
      </c>
      <c r="C201" s="536"/>
      <c r="D201" s="480"/>
      <c r="E201" s="10">
        <f t="shared" ref="E201:BB201" si="2585">E199*(1+E200)</f>
        <v>0</v>
      </c>
      <c r="F201" s="10">
        <f t="shared" si="2585"/>
        <v>0</v>
      </c>
      <c r="G201" s="10">
        <f t="shared" si="2585"/>
        <v>0</v>
      </c>
      <c r="H201" s="10">
        <f t="shared" si="2585"/>
        <v>0</v>
      </c>
      <c r="I201" s="10">
        <f t="shared" si="2585"/>
        <v>0</v>
      </c>
      <c r="J201" s="10">
        <f t="shared" si="2585"/>
        <v>0</v>
      </c>
      <c r="K201" s="10">
        <f t="shared" si="2585"/>
        <v>0</v>
      </c>
      <c r="L201" s="10">
        <f t="shared" si="2585"/>
        <v>0</v>
      </c>
      <c r="M201" s="10">
        <f t="shared" si="2585"/>
        <v>0</v>
      </c>
      <c r="N201" s="10">
        <f t="shared" si="2585"/>
        <v>0</v>
      </c>
      <c r="O201" s="10">
        <f t="shared" si="2585"/>
        <v>0</v>
      </c>
      <c r="P201" s="10">
        <f t="shared" si="2585"/>
        <v>0</v>
      </c>
      <c r="Q201" s="10">
        <f t="shared" si="2585"/>
        <v>0</v>
      </c>
      <c r="R201" s="10">
        <f t="shared" si="2585"/>
        <v>0</v>
      </c>
      <c r="S201" s="10">
        <f t="shared" si="2585"/>
        <v>0</v>
      </c>
      <c r="T201" s="10">
        <f t="shared" si="2585"/>
        <v>0</v>
      </c>
      <c r="U201" s="10">
        <f t="shared" si="2585"/>
        <v>0</v>
      </c>
      <c r="V201" s="10">
        <f t="shared" si="2585"/>
        <v>0</v>
      </c>
      <c r="W201" s="10">
        <f t="shared" si="2585"/>
        <v>0</v>
      </c>
      <c r="X201" s="10">
        <f t="shared" si="2585"/>
        <v>0</v>
      </c>
      <c r="Y201" s="10">
        <f t="shared" si="2585"/>
        <v>0</v>
      </c>
      <c r="Z201" s="10">
        <f t="shared" si="2585"/>
        <v>0</v>
      </c>
      <c r="AA201" s="10">
        <f t="shared" si="2585"/>
        <v>0</v>
      </c>
      <c r="AB201" s="10">
        <f t="shared" si="2585"/>
        <v>0</v>
      </c>
      <c r="AC201" s="10">
        <f t="shared" si="2585"/>
        <v>0</v>
      </c>
      <c r="AD201" s="10">
        <f t="shared" si="2585"/>
        <v>0</v>
      </c>
      <c r="AE201" s="10">
        <f t="shared" si="2585"/>
        <v>0</v>
      </c>
      <c r="AF201" s="10">
        <f t="shared" si="2585"/>
        <v>0</v>
      </c>
      <c r="AG201" s="10">
        <f t="shared" si="2585"/>
        <v>0</v>
      </c>
      <c r="AH201" s="10">
        <f t="shared" si="2585"/>
        <v>0</v>
      </c>
      <c r="AI201" s="10">
        <f t="shared" si="2585"/>
        <v>0</v>
      </c>
      <c r="AJ201" s="10">
        <f t="shared" si="2585"/>
        <v>0</v>
      </c>
      <c r="AK201" s="10">
        <f t="shared" si="2585"/>
        <v>0</v>
      </c>
      <c r="AL201" s="10">
        <f t="shared" si="2585"/>
        <v>0</v>
      </c>
      <c r="AM201" s="10">
        <f t="shared" si="2585"/>
        <v>0</v>
      </c>
      <c r="AN201" s="10">
        <f t="shared" si="2585"/>
        <v>0</v>
      </c>
      <c r="AO201" s="10">
        <f t="shared" si="2585"/>
        <v>0</v>
      </c>
      <c r="AP201" s="10">
        <f t="shared" si="2585"/>
        <v>0</v>
      </c>
      <c r="AQ201" s="10">
        <f t="shared" si="2585"/>
        <v>0</v>
      </c>
      <c r="AR201" s="10">
        <f t="shared" si="2585"/>
        <v>0</v>
      </c>
      <c r="AS201" s="10">
        <f t="shared" si="2585"/>
        <v>0</v>
      </c>
      <c r="AT201" s="10">
        <f t="shared" si="2585"/>
        <v>0</v>
      </c>
      <c r="AU201" s="10">
        <f t="shared" si="2585"/>
        <v>0</v>
      </c>
      <c r="AV201" s="10">
        <f t="shared" si="2585"/>
        <v>0</v>
      </c>
      <c r="AW201" s="10">
        <f t="shared" si="2585"/>
        <v>0</v>
      </c>
      <c r="AX201" s="10">
        <f t="shared" si="2585"/>
        <v>0</v>
      </c>
      <c r="AY201" s="10">
        <f t="shared" si="2585"/>
        <v>0</v>
      </c>
      <c r="AZ201" s="10">
        <f t="shared" si="2585"/>
        <v>0</v>
      </c>
      <c r="BA201" s="10">
        <f t="shared" si="2585"/>
        <v>0</v>
      </c>
      <c r="BB201" s="283">
        <f t="shared" si="2585"/>
        <v>0</v>
      </c>
    </row>
    <row r="202" spans="1:54" ht="15.75" thickBot="1">
      <c r="B202" s="492" t="s">
        <v>301</v>
      </c>
      <c r="C202" s="537"/>
      <c r="D202" s="493"/>
      <c r="E202" s="367" t="str">
        <f>IFERROR(E201/$C198,"-")</f>
        <v>-</v>
      </c>
      <c r="F202" s="367" t="str">
        <f>IFERROR(F201/$C198,"-")</f>
        <v>-</v>
      </c>
      <c r="G202" s="367" t="str">
        <f t="shared" ref="G202" si="2586">IFERROR(G201/$C198,"-")</f>
        <v>-</v>
      </c>
      <c r="H202" s="367" t="str">
        <f t="shared" ref="H202" si="2587">IFERROR(H201/$C198,"-")</f>
        <v>-</v>
      </c>
      <c r="I202" s="367" t="str">
        <f t="shared" ref="I202" si="2588">IFERROR(I201/$C198,"-")</f>
        <v>-</v>
      </c>
      <c r="J202" s="367" t="str">
        <f t="shared" ref="J202" si="2589">IFERROR(J201/$C198,"-")</f>
        <v>-</v>
      </c>
      <c r="K202" s="367" t="str">
        <f t="shared" ref="K202" si="2590">IFERROR(K201/$C198,"-")</f>
        <v>-</v>
      </c>
      <c r="L202" s="367" t="str">
        <f t="shared" ref="L202" si="2591">IFERROR(L201/$C198,"-")</f>
        <v>-</v>
      </c>
      <c r="M202" s="367" t="str">
        <f t="shared" ref="M202" si="2592">IFERROR(M201/$C198,"-")</f>
        <v>-</v>
      </c>
      <c r="N202" s="367" t="str">
        <f t="shared" ref="N202" si="2593">IFERROR(N201/$C198,"-")</f>
        <v>-</v>
      </c>
      <c r="O202" s="367" t="str">
        <f t="shared" ref="O202" si="2594">IFERROR(O201/$C198,"-")</f>
        <v>-</v>
      </c>
      <c r="P202" s="367" t="str">
        <f t="shared" ref="P202" si="2595">IFERROR(P201/$C198,"-")</f>
        <v>-</v>
      </c>
      <c r="Q202" s="367" t="str">
        <f t="shared" ref="Q202" si="2596">IFERROR(Q201/$C198,"-")</f>
        <v>-</v>
      </c>
      <c r="R202" s="367" t="str">
        <f t="shared" ref="R202" si="2597">IFERROR(R201/$C198,"-")</f>
        <v>-</v>
      </c>
      <c r="S202" s="367" t="str">
        <f t="shared" ref="S202" si="2598">IFERROR(S201/$C198,"-")</f>
        <v>-</v>
      </c>
      <c r="T202" s="367" t="str">
        <f t="shared" ref="T202" si="2599">IFERROR(T201/$C198,"-")</f>
        <v>-</v>
      </c>
      <c r="U202" s="367" t="str">
        <f t="shared" ref="U202" si="2600">IFERROR(U201/$C198,"-")</f>
        <v>-</v>
      </c>
      <c r="V202" s="367" t="str">
        <f t="shared" ref="V202" si="2601">IFERROR(V201/$C198,"-")</f>
        <v>-</v>
      </c>
      <c r="W202" s="367" t="str">
        <f t="shared" ref="W202" si="2602">IFERROR(W201/$C198,"-")</f>
        <v>-</v>
      </c>
      <c r="X202" s="367" t="str">
        <f t="shared" ref="X202" si="2603">IFERROR(X201/$C198,"-")</f>
        <v>-</v>
      </c>
      <c r="Y202" s="367" t="str">
        <f t="shared" ref="Y202" si="2604">IFERROR(Y201/$C198,"-")</f>
        <v>-</v>
      </c>
      <c r="Z202" s="367" t="str">
        <f t="shared" ref="Z202" si="2605">IFERROR(Z201/$C198,"-")</f>
        <v>-</v>
      </c>
      <c r="AA202" s="367" t="str">
        <f t="shared" ref="AA202" si="2606">IFERROR(AA201/$C198,"-")</f>
        <v>-</v>
      </c>
      <c r="AB202" s="367" t="str">
        <f t="shared" ref="AB202" si="2607">IFERROR(AB201/$C198,"-")</f>
        <v>-</v>
      </c>
      <c r="AC202" s="367" t="str">
        <f t="shared" ref="AC202" si="2608">IFERROR(AC201/$C198,"-")</f>
        <v>-</v>
      </c>
      <c r="AD202" s="367" t="str">
        <f t="shared" ref="AD202" si="2609">IFERROR(AD201/$C198,"-")</f>
        <v>-</v>
      </c>
      <c r="AE202" s="367" t="str">
        <f t="shared" ref="AE202" si="2610">IFERROR(AE201/$C198,"-")</f>
        <v>-</v>
      </c>
      <c r="AF202" s="367" t="str">
        <f t="shared" ref="AF202" si="2611">IFERROR(AF201/$C198,"-")</f>
        <v>-</v>
      </c>
      <c r="AG202" s="367" t="str">
        <f t="shared" ref="AG202" si="2612">IFERROR(AG201/$C198,"-")</f>
        <v>-</v>
      </c>
      <c r="AH202" s="367" t="str">
        <f t="shared" ref="AH202" si="2613">IFERROR(AH201/$C198,"-")</f>
        <v>-</v>
      </c>
      <c r="AI202" s="367" t="str">
        <f t="shared" ref="AI202" si="2614">IFERROR(AI201/$C198,"-")</f>
        <v>-</v>
      </c>
      <c r="AJ202" s="367" t="str">
        <f t="shared" ref="AJ202" si="2615">IFERROR(AJ201/$C198,"-")</f>
        <v>-</v>
      </c>
      <c r="AK202" s="367" t="str">
        <f t="shared" ref="AK202" si="2616">IFERROR(AK201/$C198,"-")</f>
        <v>-</v>
      </c>
      <c r="AL202" s="367" t="str">
        <f t="shared" ref="AL202" si="2617">IFERROR(AL201/$C198,"-")</f>
        <v>-</v>
      </c>
      <c r="AM202" s="367" t="str">
        <f t="shared" ref="AM202" si="2618">IFERROR(AM201/$C198,"-")</f>
        <v>-</v>
      </c>
      <c r="AN202" s="367" t="str">
        <f t="shared" ref="AN202" si="2619">IFERROR(AN201/$C198,"-")</f>
        <v>-</v>
      </c>
      <c r="AO202" s="367" t="str">
        <f t="shared" ref="AO202" si="2620">IFERROR(AO201/$C198,"-")</f>
        <v>-</v>
      </c>
      <c r="AP202" s="367" t="str">
        <f t="shared" ref="AP202" si="2621">IFERROR(AP201/$C198,"-")</f>
        <v>-</v>
      </c>
      <c r="AQ202" s="367" t="str">
        <f t="shared" ref="AQ202" si="2622">IFERROR(AQ201/$C198,"-")</f>
        <v>-</v>
      </c>
      <c r="AR202" s="367" t="str">
        <f t="shared" ref="AR202" si="2623">IFERROR(AR201/$C198,"-")</f>
        <v>-</v>
      </c>
      <c r="AS202" s="367" t="str">
        <f t="shared" ref="AS202" si="2624">IFERROR(AS201/$C198,"-")</f>
        <v>-</v>
      </c>
      <c r="AT202" s="367" t="str">
        <f t="shared" ref="AT202" si="2625">IFERROR(AT201/$C198,"-")</f>
        <v>-</v>
      </c>
      <c r="AU202" s="367" t="str">
        <f t="shared" ref="AU202" si="2626">IFERROR(AU201/$C198,"-")</f>
        <v>-</v>
      </c>
      <c r="AV202" s="367" t="str">
        <f t="shared" ref="AV202" si="2627">IFERROR(AV201/$C198,"-")</f>
        <v>-</v>
      </c>
      <c r="AW202" s="367" t="str">
        <f t="shared" ref="AW202" si="2628">IFERROR(AW201/$C198,"-")</f>
        <v>-</v>
      </c>
      <c r="AX202" s="367" t="str">
        <f t="shared" ref="AX202" si="2629">IFERROR(AX201/$C198,"-")</f>
        <v>-</v>
      </c>
      <c r="AY202" s="367" t="str">
        <f t="shared" ref="AY202" si="2630">IFERROR(AY201/$C198,"-")</f>
        <v>-</v>
      </c>
      <c r="AZ202" s="367" t="str">
        <f t="shared" ref="AZ202" si="2631">IFERROR(AZ201/$C198,"-")</f>
        <v>-</v>
      </c>
      <c r="BA202" s="367" t="str">
        <f t="shared" ref="BA202" si="2632">IFERROR(BA201/$C198,"-")</f>
        <v>-</v>
      </c>
      <c r="BB202" s="368" t="str">
        <f t="shared" ref="BB202" si="2633">IFERROR(BB201/$C198,"-")</f>
        <v>-</v>
      </c>
    </row>
    <row r="203" spans="1:54" ht="17.25" customHeight="1" thickBot="1">
      <c r="J203" s="6"/>
      <c r="K203" s="6"/>
      <c r="L203" s="6"/>
      <c r="M203" s="6"/>
      <c r="O203" s="5"/>
      <c r="P203" s="5"/>
      <c r="Q203" s="5"/>
      <c r="R203" s="5"/>
    </row>
    <row r="204" spans="1:54" ht="18" thickBot="1">
      <c r="A204"/>
      <c r="B204" s="533" t="s">
        <v>323</v>
      </c>
      <c r="C204" s="534"/>
      <c r="D204" s="32"/>
      <c r="E204" s="275"/>
      <c r="J204" s="6"/>
      <c r="K204" s="6"/>
      <c r="L204" s="6"/>
      <c r="M204" s="6"/>
    </row>
    <row r="205" spans="1:54" ht="15.75" thickBot="1">
      <c r="B205" s="360" t="s">
        <v>11</v>
      </c>
      <c r="C205" s="369">
        <v>0</v>
      </c>
      <c r="D205" s="364"/>
      <c r="E205" s="365">
        <f t="shared" ref="E205:AJ205" si="2634">E$9</f>
        <v>2024</v>
      </c>
      <c r="F205" s="279">
        <f t="shared" si="2634"/>
        <v>2025</v>
      </c>
      <c r="G205" s="279">
        <f t="shared" si="2634"/>
        <v>2026</v>
      </c>
      <c r="H205" s="279">
        <f t="shared" si="2634"/>
        <v>2027</v>
      </c>
      <c r="I205" s="279">
        <f t="shared" si="2634"/>
        <v>2028</v>
      </c>
      <c r="J205" s="279">
        <f t="shared" si="2634"/>
        <v>2029</v>
      </c>
      <c r="K205" s="279">
        <f t="shared" si="2634"/>
        <v>2030</v>
      </c>
      <c r="L205" s="279">
        <f t="shared" si="2634"/>
        <v>2031</v>
      </c>
      <c r="M205" s="279">
        <f t="shared" si="2634"/>
        <v>2032</v>
      </c>
      <c r="N205" s="279">
        <f t="shared" si="2634"/>
        <v>2033</v>
      </c>
      <c r="O205" s="279">
        <f t="shared" si="2634"/>
        <v>2034</v>
      </c>
      <c r="P205" s="279">
        <f t="shared" si="2634"/>
        <v>2035</v>
      </c>
      <c r="Q205" s="279">
        <f t="shared" si="2634"/>
        <v>2036</v>
      </c>
      <c r="R205" s="279">
        <f t="shared" si="2634"/>
        <v>2037</v>
      </c>
      <c r="S205" s="279">
        <f t="shared" si="2634"/>
        <v>2038</v>
      </c>
      <c r="T205" s="279">
        <f t="shared" si="2634"/>
        <v>2039</v>
      </c>
      <c r="U205" s="279">
        <f t="shared" si="2634"/>
        <v>2040</v>
      </c>
      <c r="V205" s="279">
        <f t="shared" si="2634"/>
        <v>2041</v>
      </c>
      <c r="W205" s="279">
        <f t="shared" si="2634"/>
        <v>2042</v>
      </c>
      <c r="X205" s="279">
        <f t="shared" si="2634"/>
        <v>2043</v>
      </c>
      <c r="Y205" s="279">
        <f t="shared" si="2634"/>
        <v>2044</v>
      </c>
      <c r="Z205" s="279">
        <f t="shared" si="2634"/>
        <v>2045</v>
      </c>
      <c r="AA205" s="279">
        <f t="shared" si="2634"/>
        <v>2046</v>
      </c>
      <c r="AB205" s="279">
        <f t="shared" si="2634"/>
        <v>2047</v>
      </c>
      <c r="AC205" s="279">
        <f t="shared" si="2634"/>
        <v>2048</v>
      </c>
      <c r="AD205" s="279">
        <f t="shared" si="2634"/>
        <v>2049</v>
      </c>
      <c r="AE205" s="279">
        <f t="shared" si="2634"/>
        <v>2050</v>
      </c>
      <c r="AF205" s="279">
        <f t="shared" si="2634"/>
        <v>2051</v>
      </c>
      <c r="AG205" s="279">
        <f t="shared" si="2634"/>
        <v>2052</v>
      </c>
      <c r="AH205" s="279">
        <f t="shared" si="2634"/>
        <v>2053</v>
      </c>
      <c r="AI205" s="279">
        <f t="shared" si="2634"/>
        <v>2054</v>
      </c>
      <c r="AJ205" s="279">
        <f t="shared" si="2634"/>
        <v>2055</v>
      </c>
      <c r="AK205" s="279">
        <f t="shared" ref="AK205:BB205" si="2635">AK$9</f>
        <v>2056</v>
      </c>
      <c r="AL205" s="279">
        <f t="shared" si="2635"/>
        <v>2057</v>
      </c>
      <c r="AM205" s="279">
        <f t="shared" si="2635"/>
        <v>2058</v>
      </c>
      <c r="AN205" s="279">
        <f t="shared" si="2635"/>
        <v>2059</v>
      </c>
      <c r="AO205" s="279">
        <f t="shared" si="2635"/>
        <v>2060</v>
      </c>
      <c r="AP205" s="279">
        <f t="shared" si="2635"/>
        <v>2061</v>
      </c>
      <c r="AQ205" s="279">
        <f t="shared" si="2635"/>
        <v>2062</v>
      </c>
      <c r="AR205" s="279">
        <f t="shared" si="2635"/>
        <v>2063</v>
      </c>
      <c r="AS205" s="279">
        <f t="shared" si="2635"/>
        <v>2064</v>
      </c>
      <c r="AT205" s="279">
        <f t="shared" si="2635"/>
        <v>2065</v>
      </c>
      <c r="AU205" s="279">
        <f t="shared" si="2635"/>
        <v>2066</v>
      </c>
      <c r="AV205" s="279">
        <f t="shared" si="2635"/>
        <v>2067</v>
      </c>
      <c r="AW205" s="279">
        <f t="shared" si="2635"/>
        <v>2068</v>
      </c>
      <c r="AX205" s="279">
        <f t="shared" si="2635"/>
        <v>2069</v>
      </c>
      <c r="AY205" s="279">
        <f t="shared" si="2635"/>
        <v>2070</v>
      </c>
      <c r="AZ205" s="279">
        <f t="shared" si="2635"/>
        <v>2071</v>
      </c>
      <c r="BA205" s="279">
        <f t="shared" si="2635"/>
        <v>2072</v>
      </c>
      <c r="BB205" s="280">
        <f t="shared" si="2635"/>
        <v>2073</v>
      </c>
    </row>
    <row r="206" spans="1:54">
      <c r="A206"/>
      <c r="B206" s="485" t="s">
        <v>261</v>
      </c>
      <c r="C206" s="535"/>
      <c r="D206" s="486"/>
      <c r="E206" s="307">
        <v>0</v>
      </c>
      <c r="F206" s="281">
        <f>E208</f>
        <v>0</v>
      </c>
      <c r="G206" s="281">
        <f t="shared" ref="G206" si="2636">F208</f>
        <v>0</v>
      </c>
      <c r="H206" s="281">
        <f t="shared" ref="H206" si="2637">G208</f>
        <v>0</v>
      </c>
      <c r="I206" s="281">
        <f t="shared" ref="I206" si="2638">H208</f>
        <v>0</v>
      </c>
      <c r="J206" s="281">
        <f t="shared" ref="J206" si="2639">I208</f>
        <v>0</v>
      </c>
      <c r="K206" s="281">
        <f t="shared" ref="K206" si="2640">J208</f>
        <v>0</v>
      </c>
      <c r="L206" s="281">
        <f t="shared" ref="L206" si="2641">K208</f>
        <v>0</v>
      </c>
      <c r="M206" s="281">
        <f t="shared" ref="M206" si="2642">L208</f>
        <v>0</v>
      </c>
      <c r="N206" s="281">
        <f t="shared" ref="N206" si="2643">M208</f>
        <v>0</v>
      </c>
      <c r="O206" s="281">
        <f t="shared" ref="O206" si="2644">N208</f>
        <v>0</v>
      </c>
      <c r="P206" s="281">
        <f t="shared" ref="P206" si="2645">O208</f>
        <v>0</v>
      </c>
      <c r="Q206" s="281">
        <f t="shared" ref="Q206" si="2646">P208</f>
        <v>0</v>
      </c>
      <c r="R206" s="281">
        <f t="shared" ref="R206" si="2647">Q208</f>
        <v>0</v>
      </c>
      <c r="S206" s="281">
        <f t="shared" ref="S206" si="2648">R208</f>
        <v>0</v>
      </c>
      <c r="T206" s="281">
        <f t="shared" ref="T206" si="2649">S208</f>
        <v>0</v>
      </c>
      <c r="U206" s="281">
        <f t="shared" ref="U206" si="2650">T208</f>
        <v>0</v>
      </c>
      <c r="V206" s="281">
        <f t="shared" ref="V206" si="2651">U208</f>
        <v>0</v>
      </c>
      <c r="W206" s="281">
        <f t="shared" ref="W206" si="2652">V208</f>
        <v>0</v>
      </c>
      <c r="X206" s="281">
        <f t="shared" ref="X206" si="2653">W208</f>
        <v>0</v>
      </c>
      <c r="Y206" s="281">
        <f t="shared" ref="Y206" si="2654">X208</f>
        <v>0</v>
      </c>
      <c r="Z206" s="281">
        <f t="shared" ref="Z206" si="2655">Y208</f>
        <v>0</v>
      </c>
      <c r="AA206" s="281">
        <f t="shared" ref="AA206" si="2656">Z208</f>
        <v>0</v>
      </c>
      <c r="AB206" s="281">
        <f t="shared" ref="AB206" si="2657">AA208</f>
        <v>0</v>
      </c>
      <c r="AC206" s="281">
        <f t="shared" ref="AC206" si="2658">AB208</f>
        <v>0</v>
      </c>
      <c r="AD206" s="281">
        <f t="shared" ref="AD206" si="2659">AC208</f>
        <v>0</v>
      </c>
      <c r="AE206" s="281">
        <f t="shared" ref="AE206" si="2660">AD208</f>
        <v>0</v>
      </c>
      <c r="AF206" s="281">
        <f t="shared" ref="AF206" si="2661">AE208</f>
        <v>0</v>
      </c>
      <c r="AG206" s="281">
        <f t="shared" ref="AG206" si="2662">AF208</f>
        <v>0</v>
      </c>
      <c r="AH206" s="281">
        <f t="shared" ref="AH206" si="2663">AG208</f>
        <v>0</v>
      </c>
      <c r="AI206" s="281">
        <f t="shared" ref="AI206" si="2664">AH208</f>
        <v>0</v>
      </c>
      <c r="AJ206" s="281">
        <f t="shared" ref="AJ206" si="2665">AI208</f>
        <v>0</v>
      </c>
      <c r="AK206" s="281">
        <f t="shared" ref="AK206" si="2666">AJ208</f>
        <v>0</v>
      </c>
      <c r="AL206" s="281">
        <f t="shared" ref="AL206" si="2667">AK208</f>
        <v>0</v>
      </c>
      <c r="AM206" s="281">
        <f t="shared" ref="AM206" si="2668">AL208</f>
        <v>0</v>
      </c>
      <c r="AN206" s="281">
        <f t="shared" ref="AN206" si="2669">AM208</f>
        <v>0</v>
      </c>
      <c r="AO206" s="281">
        <f t="shared" ref="AO206" si="2670">AN208</f>
        <v>0</v>
      </c>
      <c r="AP206" s="281">
        <f t="shared" ref="AP206" si="2671">AO208</f>
        <v>0</v>
      </c>
      <c r="AQ206" s="281">
        <f t="shared" ref="AQ206" si="2672">AP208</f>
        <v>0</v>
      </c>
      <c r="AR206" s="281">
        <f t="shared" ref="AR206" si="2673">AQ208</f>
        <v>0</v>
      </c>
      <c r="AS206" s="281">
        <f t="shared" ref="AS206" si="2674">AR208</f>
        <v>0</v>
      </c>
      <c r="AT206" s="281">
        <f t="shared" ref="AT206" si="2675">AS208</f>
        <v>0</v>
      </c>
      <c r="AU206" s="281">
        <f t="shared" ref="AU206" si="2676">AT208</f>
        <v>0</v>
      </c>
      <c r="AV206" s="281">
        <f t="shared" ref="AV206" si="2677">AU208</f>
        <v>0</v>
      </c>
      <c r="AW206" s="281">
        <f t="shared" ref="AW206" si="2678">AV208</f>
        <v>0</v>
      </c>
      <c r="AX206" s="281">
        <f t="shared" ref="AX206" si="2679">AW208</f>
        <v>0</v>
      </c>
      <c r="AY206" s="281">
        <f t="shared" ref="AY206" si="2680">AX208</f>
        <v>0</v>
      </c>
      <c r="AZ206" s="281">
        <f t="shared" ref="AZ206" si="2681">AY208</f>
        <v>0</v>
      </c>
      <c r="BA206" s="281">
        <f t="shared" ref="BA206" si="2682">AZ208</f>
        <v>0</v>
      </c>
      <c r="BB206" s="282">
        <f t="shared" ref="BB206" si="2683">BA208</f>
        <v>0</v>
      </c>
    </row>
    <row r="207" spans="1:54">
      <c r="A207"/>
      <c r="B207" s="479" t="s">
        <v>99</v>
      </c>
      <c r="C207" s="536"/>
      <c r="D207" s="480"/>
      <c r="E207" s="289">
        <f>Cockpit!$H$31</f>
        <v>0.03</v>
      </c>
      <c r="F207" s="289">
        <f>Cockpit!$H$31</f>
        <v>0.03</v>
      </c>
      <c r="G207" s="289">
        <f>Cockpit!$H$31</f>
        <v>0.03</v>
      </c>
      <c r="H207" s="289">
        <f>Cockpit!$H$31</f>
        <v>0.03</v>
      </c>
      <c r="I207" s="289">
        <f>Cockpit!$H$31</f>
        <v>0.03</v>
      </c>
      <c r="J207" s="289">
        <f>Cockpit!$H$31</f>
        <v>0.03</v>
      </c>
      <c r="K207" s="289">
        <f>Cockpit!$H$31</f>
        <v>0.03</v>
      </c>
      <c r="L207" s="289">
        <f>Cockpit!$H$31</f>
        <v>0.03</v>
      </c>
      <c r="M207" s="289">
        <f>Cockpit!$H$31</f>
        <v>0.03</v>
      </c>
      <c r="N207" s="289">
        <f>Cockpit!$H$31</f>
        <v>0.03</v>
      </c>
      <c r="O207" s="289">
        <f>Cockpit!$H$31</f>
        <v>0.03</v>
      </c>
      <c r="P207" s="289">
        <f>Cockpit!$H$31</f>
        <v>0.03</v>
      </c>
      <c r="Q207" s="289">
        <f>Cockpit!$H$31</f>
        <v>0.03</v>
      </c>
      <c r="R207" s="289">
        <f>Cockpit!$H$31</f>
        <v>0.03</v>
      </c>
      <c r="S207" s="289">
        <f>Cockpit!$H$31</f>
        <v>0.03</v>
      </c>
      <c r="T207" s="289">
        <f>Cockpit!$H$31</f>
        <v>0.03</v>
      </c>
      <c r="U207" s="289">
        <f>Cockpit!$H$31</f>
        <v>0.03</v>
      </c>
      <c r="V207" s="289">
        <f>Cockpit!$H$31</f>
        <v>0.03</v>
      </c>
      <c r="W207" s="289">
        <f>Cockpit!$H$31</f>
        <v>0.03</v>
      </c>
      <c r="X207" s="289">
        <f>Cockpit!$H$31</f>
        <v>0.03</v>
      </c>
      <c r="Y207" s="289">
        <f>Cockpit!$H$31</f>
        <v>0.03</v>
      </c>
      <c r="Z207" s="289">
        <f>Cockpit!$H$31</f>
        <v>0.03</v>
      </c>
      <c r="AA207" s="289">
        <f>Cockpit!$H$31</f>
        <v>0.03</v>
      </c>
      <c r="AB207" s="289">
        <f>Cockpit!$H$31</f>
        <v>0.03</v>
      </c>
      <c r="AC207" s="289">
        <f>Cockpit!$H$31</f>
        <v>0.03</v>
      </c>
      <c r="AD207" s="289">
        <f>Cockpit!$H$31</f>
        <v>0.03</v>
      </c>
      <c r="AE207" s="289">
        <f>Cockpit!$H$31</f>
        <v>0.03</v>
      </c>
      <c r="AF207" s="289">
        <f>Cockpit!$H$31</f>
        <v>0.03</v>
      </c>
      <c r="AG207" s="289">
        <f>Cockpit!$H$31</f>
        <v>0.03</v>
      </c>
      <c r="AH207" s="289">
        <f>Cockpit!$H$31</f>
        <v>0.03</v>
      </c>
      <c r="AI207" s="289">
        <f>Cockpit!$H$31</f>
        <v>0.03</v>
      </c>
      <c r="AJ207" s="289">
        <f>Cockpit!$H$31</f>
        <v>0.03</v>
      </c>
      <c r="AK207" s="289">
        <f>Cockpit!$H$31</f>
        <v>0.03</v>
      </c>
      <c r="AL207" s="289">
        <f>Cockpit!$H$31</f>
        <v>0.03</v>
      </c>
      <c r="AM207" s="289">
        <f>Cockpit!$H$31</f>
        <v>0.03</v>
      </c>
      <c r="AN207" s="289">
        <f>Cockpit!$H$31</f>
        <v>0.03</v>
      </c>
      <c r="AO207" s="289">
        <f>Cockpit!$H$31</f>
        <v>0.03</v>
      </c>
      <c r="AP207" s="289">
        <f>Cockpit!$H$31</f>
        <v>0.03</v>
      </c>
      <c r="AQ207" s="289">
        <f>Cockpit!$H$31</f>
        <v>0.03</v>
      </c>
      <c r="AR207" s="289">
        <f>Cockpit!$H$31</f>
        <v>0.03</v>
      </c>
      <c r="AS207" s="289">
        <f>Cockpit!$H$31</f>
        <v>0.03</v>
      </c>
      <c r="AT207" s="289">
        <f>Cockpit!$H$31</f>
        <v>0.03</v>
      </c>
      <c r="AU207" s="289">
        <f>Cockpit!$H$31</f>
        <v>0.03</v>
      </c>
      <c r="AV207" s="289">
        <f>Cockpit!$H$31</f>
        <v>0.03</v>
      </c>
      <c r="AW207" s="289">
        <f>Cockpit!$H$31</f>
        <v>0.03</v>
      </c>
      <c r="AX207" s="289">
        <f>Cockpit!$H$31</f>
        <v>0.03</v>
      </c>
      <c r="AY207" s="289">
        <f>Cockpit!$H$31</f>
        <v>0.03</v>
      </c>
      <c r="AZ207" s="289">
        <f>Cockpit!$H$31</f>
        <v>0.03</v>
      </c>
      <c r="BA207" s="289">
        <f>Cockpit!$H$31</f>
        <v>0.03</v>
      </c>
      <c r="BB207" s="290">
        <f>Cockpit!$H$31</f>
        <v>0.03</v>
      </c>
    </row>
    <row r="208" spans="1:54">
      <c r="B208" s="479" t="s">
        <v>67</v>
      </c>
      <c r="C208" s="536"/>
      <c r="D208" s="480"/>
      <c r="E208" s="10">
        <f t="shared" ref="E208:BB208" si="2684">E206*(1+E207)</f>
        <v>0</v>
      </c>
      <c r="F208" s="10">
        <f t="shared" si="2684"/>
        <v>0</v>
      </c>
      <c r="G208" s="10">
        <f t="shared" si="2684"/>
        <v>0</v>
      </c>
      <c r="H208" s="10">
        <f t="shared" si="2684"/>
        <v>0</v>
      </c>
      <c r="I208" s="10">
        <f t="shared" si="2684"/>
        <v>0</v>
      </c>
      <c r="J208" s="10">
        <f t="shared" si="2684"/>
        <v>0</v>
      </c>
      <c r="K208" s="10">
        <f t="shared" si="2684"/>
        <v>0</v>
      </c>
      <c r="L208" s="10">
        <f t="shared" si="2684"/>
        <v>0</v>
      </c>
      <c r="M208" s="10">
        <f t="shared" si="2684"/>
        <v>0</v>
      </c>
      <c r="N208" s="10">
        <f t="shared" si="2684"/>
        <v>0</v>
      </c>
      <c r="O208" s="10">
        <f t="shared" si="2684"/>
        <v>0</v>
      </c>
      <c r="P208" s="10">
        <f t="shared" si="2684"/>
        <v>0</v>
      </c>
      <c r="Q208" s="10">
        <f t="shared" si="2684"/>
        <v>0</v>
      </c>
      <c r="R208" s="10">
        <f t="shared" si="2684"/>
        <v>0</v>
      </c>
      <c r="S208" s="10">
        <f t="shared" si="2684"/>
        <v>0</v>
      </c>
      <c r="T208" s="10">
        <f t="shared" si="2684"/>
        <v>0</v>
      </c>
      <c r="U208" s="10">
        <f t="shared" si="2684"/>
        <v>0</v>
      </c>
      <c r="V208" s="10">
        <f t="shared" si="2684"/>
        <v>0</v>
      </c>
      <c r="W208" s="10">
        <f t="shared" si="2684"/>
        <v>0</v>
      </c>
      <c r="X208" s="10">
        <f t="shared" si="2684"/>
        <v>0</v>
      </c>
      <c r="Y208" s="10">
        <f t="shared" si="2684"/>
        <v>0</v>
      </c>
      <c r="Z208" s="10">
        <f t="shared" si="2684"/>
        <v>0</v>
      </c>
      <c r="AA208" s="10">
        <f t="shared" si="2684"/>
        <v>0</v>
      </c>
      <c r="AB208" s="10">
        <f t="shared" si="2684"/>
        <v>0</v>
      </c>
      <c r="AC208" s="10">
        <f t="shared" si="2684"/>
        <v>0</v>
      </c>
      <c r="AD208" s="10">
        <f t="shared" si="2684"/>
        <v>0</v>
      </c>
      <c r="AE208" s="10">
        <f t="shared" si="2684"/>
        <v>0</v>
      </c>
      <c r="AF208" s="10">
        <f t="shared" si="2684"/>
        <v>0</v>
      </c>
      <c r="AG208" s="10">
        <f t="shared" si="2684"/>
        <v>0</v>
      </c>
      <c r="AH208" s="10">
        <f t="shared" si="2684"/>
        <v>0</v>
      </c>
      <c r="AI208" s="10">
        <f t="shared" si="2684"/>
        <v>0</v>
      </c>
      <c r="AJ208" s="10">
        <f t="shared" si="2684"/>
        <v>0</v>
      </c>
      <c r="AK208" s="10">
        <f t="shared" si="2684"/>
        <v>0</v>
      </c>
      <c r="AL208" s="10">
        <f t="shared" si="2684"/>
        <v>0</v>
      </c>
      <c r="AM208" s="10">
        <f t="shared" si="2684"/>
        <v>0</v>
      </c>
      <c r="AN208" s="10">
        <f t="shared" si="2684"/>
        <v>0</v>
      </c>
      <c r="AO208" s="10">
        <f t="shared" si="2684"/>
        <v>0</v>
      </c>
      <c r="AP208" s="10">
        <f t="shared" si="2684"/>
        <v>0</v>
      </c>
      <c r="AQ208" s="10">
        <f t="shared" si="2684"/>
        <v>0</v>
      </c>
      <c r="AR208" s="10">
        <f t="shared" si="2684"/>
        <v>0</v>
      </c>
      <c r="AS208" s="10">
        <f t="shared" si="2684"/>
        <v>0</v>
      </c>
      <c r="AT208" s="10">
        <f t="shared" si="2684"/>
        <v>0</v>
      </c>
      <c r="AU208" s="10">
        <f t="shared" si="2684"/>
        <v>0</v>
      </c>
      <c r="AV208" s="10">
        <f t="shared" si="2684"/>
        <v>0</v>
      </c>
      <c r="AW208" s="10">
        <f t="shared" si="2684"/>
        <v>0</v>
      </c>
      <c r="AX208" s="10">
        <f t="shared" si="2684"/>
        <v>0</v>
      </c>
      <c r="AY208" s="10">
        <f t="shared" si="2684"/>
        <v>0</v>
      </c>
      <c r="AZ208" s="10">
        <f t="shared" si="2684"/>
        <v>0</v>
      </c>
      <c r="BA208" s="10">
        <f t="shared" si="2684"/>
        <v>0</v>
      </c>
      <c r="BB208" s="283">
        <f t="shared" si="2684"/>
        <v>0</v>
      </c>
    </row>
    <row r="209" spans="1:54" ht="15.75" thickBot="1">
      <c r="B209" s="492" t="s">
        <v>301</v>
      </c>
      <c r="C209" s="537"/>
      <c r="D209" s="493"/>
      <c r="E209" s="367" t="str">
        <f>IFERROR(E208/$C205,"-")</f>
        <v>-</v>
      </c>
      <c r="F209" s="367" t="str">
        <f>IFERROR(F208/$C205,"-")</f>
        <v>-</v>
      </c>
      <c r="G209" s="367" t="str">
        <f t="shared" ref="G209" si="2685">IFERROR(G208/$C205,"-")</f>
        <v>-</v>
      </c>
      <c r="H209" s="367" t="str">
        <f t="shared" ref="H209" si="2686">IFERROR(H208/$C205,"-")</f>
        <v>-</v>
      </c>
      <c r="I209" s="367" t="str">
        <f t="shared" ref="I209" si="2687">IFERROR(I208/$C205,"-")</f>
        <v>-</v>
      </c>
      <c r="J209" s="367" t="str">
        <f t="shared" ref="J209" si="2688">IFERROR(J208/$C205,"-")</f>
        <v>-</v>
      </c>
      <c r="K209" s="367" t="str">
        <f t="shared" ref="K209" si="2689">IFERROR(K208/$C205,"-")</f>
        <v>-</v>
      </c>
      <c r="L209" s="367" t="str">
        <f t="shared" ref="L209" si="2690">IFERROR(L208/$C205,"-")</f>
        <v>-</v>
      </c>
      <c r="M209" s="367" t="str">
        <f t="shared" ref="M209" si="2691">IFERROR(M208/$C205,"-")</f>
        <v>-</v>
      </c>
      <c r="N209" s="367" t="str">
        <f t="shared" ref="N209" si="2692">IFERROR(N208/$C205,"-")</f>
        <v>-</v>
      </c>
      <c r="O209" s="367" t="str">
        <f t="shared" ref="O209" si="2693">IFERROR(O208/$C205,"-")</f>
        <v>-</v>
      </c>
      <c r="P209" s="367" t="str">
        <f t="shared" ref="P209" si="2694">IFERROR(P208/$C205,"-")</f>
        <v>-</v>
      </c>
      <c r="Q209" s="367" t="str">
        <f t="shared" ref="Q209" si="2695">IFERROR(Q208/$C205,"-")</f>
        <v>-</v>
      </c>
      <c r="R209" s="367" t="str">
        <f t="shared" ref="R209" si="2696">IFERROR(R208/$C205,"-")</f>
        <v>-</v>
      </c>
      <c r="S209" s="367" t="str">
        <f t="shared" ref="S209" si="2697">IFERROR(S208/$C205,"-")</f>
        <v>-</v>
      </c>
      <c r="T209" s="367" t="str">
        <f t="shared" ref="T209" si="2698">IFERROR(T208/$C205,"-")</f>
        <v>-</v>
      </c>
      <c r="U209" s="367" t="str">
        <f t="shared" ref="U209" si="2699">IFERROR(U208/$C205,"-")</f>
        <v>-</v>
      </c>
      <c r="V209" s="367" t="str">
        <f t="shared" ref="V209" si="2700">IFERROR(V208/$C205,"-")</f>
        <v>-</v>
      </c>
      <c r="W209" s="367" t="str">
        <f t="shared" ref="W209" si="2701">IFERROR(W208/$C205,"-")</f>
        <v>-</v>
      </c>
      <c r="X209" s="367" t="str">
        <f t="shared" ref="X209" si="2702">IFERROR(X208/$C205,"-")</f>
        <v>-</v>
      </c>
      <c r="Y209" s="367" t="str">
        <f t="shared" ref="Y209" si="2703">IFERROR(Y208/$C205,"-")</f>
        <v>-</v>
      </c>
      <c r="Z209" s="367" t="str">
        <f t="shared" ref="Z209" si="2704">IFERROR(Z208/$C205,"-")</f>
        <v>-</v>
      </c>
      <c r="AA209" s="367" t="str">
        <f t="shared" ref="AA209" si="2705">IFERROR(AA208/$C205,"-")</f>
        <v>-</v>
      </c>
      <c r="AB209" s="367" t="str">
        <f t="shared" ref="AB209" si="2706">IFERROR(AB208/$C205,"-")</f>
        <v>-</v>
      </c>
      <c r="AC209" s="367" t="str">
        <f t="shared" ref="AC209" si="2707">IFERROR(AC208/$C205,"-")</f>
        <v>-</v>
      </c>
      <c r="AD209" s="367" t="str">
        <f t="shared" ref="AD209" si="2708">IFERROR(AD208/$C205,"-")</f>
        <v>-</v>
      </c>
      <c r="AE209" s="367" t="str">
        <f t="shared" ref="AE209" si="2709">IFERROR(AE208/$C205,"-")</f>
        <v>-</v>
      </c>
      <c r="AF209" s="367" t="str">
        <f t="shared" ref="AF209" si="2710">IFERROR(AF208/$C205,"-")</f>
        <v>-</v>
      </c>
      <c r="AG209" s="367" t="str">
        <f t="shared" ref="AG209" si="2711">IFERROR(AG208/$C205,"-")</f>
        <v>-</v>
      </c>
      <c r="AH209" s="367" t="str">
        <f t="shared" ref="AH209" si="2712">IFERROR(AH208/$C205,"-")</f>
        <v>-</v>
      </c>
      <c r="AI209" s="367" t="str">
        <f t="shared" ref="AI209" si="2713">IFERROR(AI208/$C205,"-")</f>
        <v>-</v>
      </c>
      <c r="AJ209" s="367" t="str">
        <f t="shared" ref="AJ209" si="2714">IFERROR(AJ208/$C205,"-")</f>
        <v>-</v>
      </c>
      <c r="AK209" s="367" t="str">
        <f t="shared" ref="AK209" si="2715">IFERROR(AK208/$C205,"-")</f>
        <v>-</v>
      </c>
      <c r="AL209" s="367" t="str">
        <f t="shared" ref="AL209" si="2716">IFERROR(AL208/$C205,"-")</f>
        <v>-</v>
      </c>
      <c r="AM209" s="367" t="str">
        <f t="shared" ref="AM209" si="2717">IFERROR(AM208/$C205,"-")</f>
        <v>-</v>
      </c>
      <c r="AN209" s="367" t="str">
        <f t="shared" ref="AN209" si="2718">IFERROR(AN208/$C205,"-")</f>
        <v>-</v>
      </c>
      <c r="AO209" s="367" t="str">
        <f t="shared" ref="AO209" si="2719">IFERROR(AO208/$C205,"-")</f>
        <v>-</v>
      </c>
      <c r="AP209" s="367" t="str">
        <f t="shared" ref="AP209" si="2720">IFERROR(AP208/$C205,"-")</f>
        <v>-</v>
      </c>
      <c r="AQ209" s="367" t="str">
        <f t="shared" ref="AQ209" si="2721">IFERROR(AQ208/$C205,"-")</f>
        <v>-</v>
      </c>
      <c r="AR209" s="367" t="str">
        <f t="shared" ref="AR209" si="2722">IFERROR(AR208/$C205,"-")</f>
        <v>-</v>
      </c>
      <c r="AS209" s="367" t="str">
        <f t="shared" ref="AS209" si="2723">IFERROR(AS208/$C205,"-")</f>
        <v>-</v>
      </c>
      <c r="AT209" s="367" t="str">
        <f t="shared" ref="AT209" si="2724">IFERROR(AT208/$C205,"-")</f>
        <v>-</v>
      </c>
      <c r="AU209" s="367" t="str">
        <f t="shared" ref="AU209" si="2725">IFERROR(AU208/$C205,"-")</f>
        <v>-</v>
      </c>
      <c r="AV209" s="367" t="str">
        <f t="shared" ref="AV209" si="2726">IFERROR(AV208/$C205,"-")</f>
        <v>-</v>
      </c>
      <c r="AW209" s="367" t="str">
        <f t="shared" ref="AW209" si="2727">IFERROR(AW208/$C205,"-")</f>
        <v>-</v>
      </c>
      <c r="AX209" s="367" t="str">
        <f t="shared" ref="AX209" si="2728">IFERROR(AX208/$C205,"-")</f>
        <v>-</v>
      </c>
      <c r="AY209" s="367" t="str">
        <f t="shared" ref="AY209" si="2729">IFERROR(AY208/$C205,"-")</f>
        <v>-</v>
      </c>
      <c r="AZ209" s="367" t="str">
        <f t="shared" ref="AZ209" si="2730">IFERROR(AZ208/$C205,"-")</f>
        <v>-</v>
      </c>
      <c r="BA209" s="367" t="str">
        <f t="shared" ref="BA209" si="2731">IFERROR(BA208/$C205,"-")</f>
        <v>-</v>
      </c>
      <c r="BB209" s="368" t="str">
        <f t="shared" ref="BB209" si="2732">IFERROR(BB208/$C205,"-")</f>
        <v>-</v>
      </c>
    </row>
    <row r="210" spans="1:54" ht="17.25" customHeight="1" thickBot="1">
      <c r="J210" s="6"/>
      <c r="K210" s="6"/>
      <c r="L210" s="6"/>
      <c r="M210" s="6"/>
      <c r="O210" s="5"/>
      <c r="P210" s="5"/>
      <c r="Q210" s="5"/>
      <c r="R210" s="5"/>
    </row>
    <row r="211" spans="1:54" ht="18" thickBot="1">
      <c r="A211"/>
      <c r="B211" s="533" t="s">
        <v>324</v>
      </c>
      <c r="C211" s="534"/>
      <c r="D211" s="32"/>
      <c r="E211" s="275"/>
      <c r="J211" s="6"/>
      <c r="K211" s="6"/>
      <c r="L211" s="6"/>
      <c r="M211" s="6"/>
    </row>
    <row r="212" spans="1:54" ht="15.75" thickBot="1">
      <c r="B212" s="360" t="s">
        <v>11</v>
      </c>
      <c r="C212" s="369">
        <v>0</v>
      </c>
      <c r="D212" s="364"/>
      <c r="E212" s="365">
        <f t="shared" ref="E212:AJ212" si="2733">E$9</f>
        <v>2024</v>
      </c>
      <c r="F212" s="279">
        <f t="shared" si="2733"/>
        <v>2025</v>
      </c>
      <c r="G212" s="279">
        <f t="shared" si="2733"/>
        <v>2026</v>
      </c>
      <c r="H212" s="279">
        <f t="shared" si="2733"/>
        <v>2027</v>
      </c>
      <c r="I212" s="279">
        <f t="shared" si="2733"/>
        <v>2028</v>
      </c>
      <c r="J212" s="279">
        <f t="shared" si="2733"/>
        <v>2029</v>
      </c>
      <c r="K212" s="279">
        <f t="shared" si="2733"/>
        <v>2030</v>
      </c>
      <c r="L212" s="279">
        <f t="shared" si="2733"/>
        <v>2031</v>
      </c>
      <c r="M212" s="279">
        <f t="shared" si="2733"/>
        <v>2032</v>
      </c>
      <c r="N212" s="279">
        <f t="shared" si="2733"/>
        <v>2033</v>
      </c>
      <c r="O212" s="279">
        <f t="shared" si="2733"/>
        <v>2034</v>
      </c>
      <c r="P212" s="279">
        <f t="shared" si="2733"/>
        <v>2035</v>
      </c>
      <c r="Q212" s="279">
        <f t="shared" si="2733"/>
        <v>2036</v>
      </c>
      <c r="R212" s="279">
        <f t="shared" si="2733"/>
        <v>2037</v>
      </c>
      <c r="S212" s="279">
        <f t="shared" si="2733"/>
        <v>2038</v>
      </c>
      <c r="T212" s="279">
        <f t="shared" si="2733"/>
        <v>2039</v>
      </c>
      <c r="U212" s="279">
        <f t="shared" si="2733"/>
        <v>2040</v>
      </c>
      <c r="V212" s="279">
        <f t="shared" si="2733"/>
        <v>2041</v>
      </c>
      <c r="W212" s="279">
        <f t="shared" si="2733"/>
        <v>2042</v>
      </c>
      <c r="X212" s="279">
        <f t="shared" si="2733"/>
        <v>2043</v>
      </c>
      <c r="Y212" s="279">
        <f t="shared" si="2733"/>
        <v>2044</v>
      </c>
      <c r="Z212" s="279">
        <f t="shared" si="2733"/>
        <v>2045</v>
      </c>
      <c r="AA212" s="279">
        <f t="shared" si="2733"/>
        <v>2046</v>
      </c>
      <c r="AB212" s="279">
        <f t="shared" si="2733"/>
        <v>2047</v>
      </c>
      <c r="AC212" s="279">
        <f t="shared" si="2733"/>
        <v>2048</v>
      </c>
      <c r="AD212" s="279">
        <f t="shared" si="2733"/>
        <v>2049</v>
      </c>
      <c r="AE212" s="279">
        <f t="shared" si="2733"/>
        <v>2050</v>
      </c>
      <c r="AF212" s="279">
        <f t="shared" si="2733"/>
        <v>2051</v>
      </c>
      <c r="AG212" s="279">
        <f t="shared" si="2733"/>
        <v>2052</v>
      </c>
      <c r="AH212" s="279">
        <f t="shared" si="2733"/>
        <v>2053</v>
      </c>
      <c r="AI212" s="279">
        <f t="shared" si="2733"/>
        <v>2054</v>
      </c>
      <c r="AJ212" s="279">
        <f t="shared" si="2733"/>
        <v>2055</v>
      </c>
      <c r="AK212" s="279">
        <f t="shared" ref="AK212:BB212" si="2734">AK$9</f>
        <v>2056</v>
      </c>
      <c r="AL212" s="279">
        <f t="shared" si="2734"/>
        <v>2057</v>
      </c>
      <c r="AM212" s="279">
        <f t="shared" si="2734"/>
        <v>2058</v>
      </c>
      <c r="AN212" s="279">
        <f t="shared" si="2734"/>
        <v>2059</v>
      </c>
      <c r="AO212" s="279">
        <f t="shared" si="2734"/>
        <v>2060</v>
      </c>
      <c r="AP212" s="279">
        <f t="shared" si="2734"/>
        <v>2061</v>
      </c>
      <c r="AQ212" s="279">
        <f t="shared" si="2734"/>
        <v>2062</v>
      </c>
      <c r="AR212" s="279">
        <f t="shared" si="2734"/>
        <v>2063</v>
      </c>
      <c r="AS212" s="279">
        <f t="shared" si="2734"/>
        <v>2064</v>
      </c>
      <c r="AT212" s="279">
        <f t="shared" si="2734"/>
        <v>2065</v>
      </c>
      <c r="AU212" s="279">
        <f t="shared" si="2734"/>
        <v>2066</v>
      </c>
      <c r="AV212" s="279">
        <f t="shared" si="2734"/>
        <v>2067</v>
      </c>
      <c r="AW212" s="279">
        <f t="shared" si="2734"/>
        <v>2068</v>
      </c>
      <c r="AX212" s="279">
        <f t="shared" si="2734"/>
        <v>2069</v>
      </c>
      <c r="AY212" s="279">
        <f t="shared" si="2734"/>
        <v>2070</v>
      </c>
      <c r="AZ212" s="279">
        <f t="shared" si="2734"/>
        <v>2071</v>
      </c>
      <c r="BA212" s="279">
        <f t="shared" si="2734"/>
        <v>2072</v>
      </c>
      <c r="BB212" s="280">
        <f t="shared" si="2734"/>
        <v>2073</v>
      </c>
    </row>
    <row r="213" spans="1:54">
      <c r="A213"/>
      <c r="B213" s="485" t="s">
        <v>261</v>
      </c>
      <c r="C213" s="535"/>
      <c r="D213" s="486"/>
      <c r="E213" s="307">
        <v>0</v>
      </c>
      <c r="F213" s="281">
        <f>E215</f>
        <v>0</v>
      </c>
      <c r="G213" s="281">
        <f t="shared" ref="G213" si="2735">F215</f>
        <v>0</v>
      </c>
      <c r="H213" s="281">
        <f t="shared" ref="H213" si="2736">G215</f>
        <v>0</v>
      </c>
      <c r="I213" s="281">
        <f t="shared" ref="I213" si="2737">H215</f>
        <v>0</v>
      </c>
      <c r="J213" s="281">
        <f t="shared" ref="J213" si="2738">I215</f>
        <v>0</v>
      </c>
      <c r="K213" s="281">
        <f t="shared" ref="K213" si="2739">J215</f>
        <v>0</v>
      </c>
      <c r="L213" s="281">
        <f t="shared" ref="L213" si="2740">K215</f>
        <v>0</v>
      </c>
      <c r="M213" s="281">
        <f t="shared" ref="M213" si="2741">L215</f>
        <v>0</v>
      </c>
      <c r="N213" s="281">
        <f t="shared" ref="N213" si="2742">M215</f>
        <v>0</v>
      </c>
      <c r="O213" s="281">
        <f t="shared" ref="O213" si="2743">N215</f>
        <v>0</v>
      </c>
      <c r="P213" s="281">
        <f t="shared" ref="P213" si="2744">O215</f>
        <v>0</v>
      </c>
      <c r="Q213" s="281">
        <f t="shared" ref="Q213" si="2745">P215</f>
        <v>0</v>
      </c>
      <c r="R213" s="281">
        <f t="shared" ref="R213" si="2746">Q215</f>
        <v>0</v>
      </c>
      <c r="S213" s="281">
        <f t="shared" ref="S213" si="2747">R215</f>
        <v>0</v>
      </c>
      <c r="T213" s="281">
        <f t="shared" ref="T213" si="2748">S215</f>
        <v>0</v>
      </c>
      <c r="U213" s="281">
        <f t="shared" ref="U213" si="2749">T215</f>
        <v>0</v>
      </c>
      <c r="V213" s="281">
        <f t="shared" ref="V213" si="2750">U215</f>
        <v>0</v>
      </c>
      <c r="W213" s="281">
        <f t="shared" ref="W213" si="2751">V215</f>
        <v>0</v>
      </c>
      <c r="X213" s="281">
        <f t="shared" ref="X213" si="2752">W215</f>
        <v>0</v>
      </c>
      <c r="Y213" s="281">
        <f t="shared" ref="Y213" si="2753">X215</f>
        <v>0</v>
      </c>
      <c r="Z213" s="281">
        <f t="shared" ref="Z213" si="2754">Y215</f>
        <v>0</v>
      </c>
      <c r="AA213" s="281">
        <f t="shared" ref="AA213" si="2755">Z215</f>
        <v>0</v>
      </c>
      <c r="AB213" s="281">
        <f t="shared" ref="AB213" si="2756">AA215</f>
        <v>0</v>
      </c>
      <c r="AC213" s="281">
        <f t="shared" ref="AC213" si="2757">AB215</f>
        <v>0</v>
      </c>
      <c r="AD213" s="281">
        <f t="shared" ref="AD213" si="2758">AC215</f>
        <v>0</v>
      </c>
      <c r="AE213" s="281">
        <f t="shared" ref="AE213" si="2759">AD215</f>
        <v>0</v>
      </c>
      <c r="AF213" s="281">
        <f t="shared" ref="AF213" si="2760">AE215</f>
        <v>0</v>
      </c>
      <c r="AG213" s="281">
        <f t="shared" ref="AG213" si="2761">AF215</f>
        <v>0</v>
      </c>
      <c r="AH213" s="281">
        <f t="shared" ref="AH213" si="2762">AG215</f>
        <v>0</v>
      </c>
      <c r="AI213" s="281">
        <f t="shared" ref="AI213" si="2763">AH215</f>
        <v>0</v>
      </c>
      <c r="AJ213" s="281">
        <f t="shared" ref="AJ213" si="2764">AI215</f>
        <v>0</v>
      </c>
      <c r="AK213" s="281">
        <f t="shared" ref="AK213" si="2765">AJ215</f>
        <v>0</v>
      </c>
      <c r="AL213" s="281">
        <f t="shared" ref="AL213" si="2766">AK215</f>
        <v>0</v>
      </c>
      <c r="AM213" s="281">
        <f t="shared" ref="AM213" si="2767">AL215</f>
        <v>0</v>
      </c>
      <c r="AN213" s="281">
        <f t="shared" ref="AN213" si="2768">AM215</f>
        <v>0</v>
      </c>
      <c r="AO213" s="281">
        <f t="shared" ref="AO213" si="2769">AN215</f>
        <v>0</v>
      </c>
      <c r="AP213" s="281">
        <f t="shared" ref="AP213" si="2770">AO215</f>
        <v>0</v>
      </c>
      <c r="AQ213" s="281">
        <f t="shared" ref="AQ213" si="2771">AP215</f>
        <v>0</v>
      </c>
      <c r="AR213" s="281">
        <f t="shared" ref="AR213" si="2772">AQ215</f>
        <v>0</v>
      </c>
      <c r="AS213" s="281">
        <f t="shared" ref="AS213" si="2773">AR215</f>
        <v>0</v>
      </c>
      <c r="AT213" s="281">
        <f t="shared" ref="AT213" si="2774">AS215</f>
        <v>0</v>
      </c>
      <c r="AU213" s="281">
        <f t="shared" ref="AU213" si="2775">AT215</f>
        <v>0</v>
      </c>
      <c r="AV213" s="281">
        <f t="shared" ref="AV213" si="2776">AU215</f>
        <v>0</v>
      </c>
      <c r="AW213" s="281">
        <f t="shared" ref="AW213" si="2777">AV215</f>
        <v>0</v>
      </c>
      <c r="AX213" s="281">
        <f t="shared" ref="AX213" si="2778">AW215</f>
        <v>0</v>
      </c>
      <c r="AY213" s="281">
        <f t="shared" ref="AY213" si="2779">AX215</f>
        <v>0</v>
      </c>
      <c r="AZ213" s="281">
        <f t="shared" ref="AZ213" si="2780">AY215</f>
        <v>0</v>
      </c>
      <c r="BA213" s="281">
        <f t="shared" ref="BA213" si="2781">AZ215</f>
        <v>0</v>
      </c>
      <c r="BB213" s="282">
        <f t="shared" ref="BB213" si="2782">BA215</f>
        <v>0</v>
      </c>
    </row>
    <row r="214" spans="1:54">
      <c r="A214"/>
      <c r="B214" s="479" t="s">
        <v>99</v>
      </c>
      <c r="C214" s="536"/>
      <c r="D214" s="480"/>
      <c r="E214" s="289">
        <f>Cockpit!$H$31</f>
        <v>0.03</v>
      </c>
      <c r="F214" s="289">
        <f>Cockpit!$H$31</f>
        <v>0.03</v>
      </c>
      <c r="G214" s="289">
        <f>Cockpit!$H$31</f>
        <v>0.03</v>
      </c>
      <c r="H214" s="289">
        <f>Cockpit!$H$31</f>
        <v>0.03</v>
      </c>
      <c r="I214" s="289">
        <f>Cockpit!$H$31</f>
        <v>0.03</v>
      </c>
      <c r="J214" s="289">
        <f>Cockpit!$H$31</f>
        <v>0.03</v>
      </c>
      <c r="K214" s="289">
        <f>Cockpit!$H$31</f>
        <v>0.03</v>
      </c>
      <c r="L214" s="289">
        <f>Cockpit!$H$31</f>
        <v>0.03</v>
      </c>
      <c r="M214" s="289">
        <f>Cockpit!$H$31</f>
        <v>0.03</v>
      </c>
      <c r="N214" s="289">
        <f>Cockpit!$H$31</f>
        <v>0.03</v>
      </c>
      <c r="O214" s="289">
        <f>Cockpit!$H$31</f>
        <v>0.03</v>
      </c>
      <c r="P214" s="289">
        <f>Cockpit!$H$31</f>
        <v>0.03</v>
      </c>
      <c r="Q214" s="289">
        <f>Cockpit!$H$31</f>
        <v>0.03</v>
      </c>
      <c r="R214" s="289">
        <f>Cockpit!$H$31</f>
        <v>0.03</v>
      </c>
      <c r="S214" s="289">
        <f>Cockpit!$H$31</f>
        <v>0.03</v>
      </c>
      <c r="T214" s="289">
        <f>Cockpit!$H$31</f>
        <v>0.03</v>
      </c>
      <c r="U214" s="289">
        <f>Cockpit!$H$31</f>
        <v>0.03</v>
      </c>
      <c r="V214" s="289">
        <f>Cockpit!$H$31</f>
        <v>0.03</v>
      </c>
      <c r="W214" s="289">
        <f>Cockpit!$H$31</f>
        <v>0.03</v>
      </c>
      <c r="X214" s="289">
        <f>Cockpit!$H$31</f>
        <v>0.03</v>
      </c>
      <c r="Y214" s="289">
        <f>Cockpit!$H$31</f>
        <v>0.03</v>
      </c>
      <c r="Z214" s="289">
        <f>Cockpit!$H$31</f>
        <v>0.03</v>
      </c>
      <c r="AA214" s="289">
        <f>Cockpit!$H$31</f>
        <v>0.03</v>
      </c>
      <c r="AB214" s="289">
        <f>Cockpit!$H$31</f>
        <v>0.03</v>
      </c>
      <c r="AC214" s="289">
        <f>Cockpit!$H$31</f>
        <v>0.03</v>
      </c>
      <c r="AD214" s="289">
        <f>Cockpit!$H$31</f>
        <v>0.03</v>
      </c>
      <c r="AE214" s="289">
        <f>Cockpit!$H$31</f>
        <v>0.03</v>
      </c>
      <c r="AF214" s="289">
        <f>Cockpit!$H$31</f>
        <v>0.03</v>
      </c>
      <c r="AG214" s="289">
        <f>Cockpit!$H$31</f>
        <v>0.03</v>
      </c>
      <c r="AH214" s="289">
        <f>Cockpit!$H$31</f>
        <v>0.03</v>
      </c>
      <c r="AI214" s="289">
        <f>Cockpit!$H$31</f>
        <v>0.03</v>
      </c>
      <c r="AJ214" s="289">
        <f>Cockpit!$H$31</f>
        <v>0.03</v>
      </c>
      <c r="AK214" s="289">
        <f>Cockpit!$H$31</f>
        <v>0.03</v>
      </c>
      <c r="AL214" s="289">
        <f>Cockpit!$H$31</f>
        <v>0.03</v>
      </c>
      <c r="AM214" s="289">
        <f>Cockpit!$H$31</f>
        <v>0.03</v>
      </c>
      <c r="AN214" s="289">
        <f>Cockpit!$H$31</f>
        <v>0.03</v>
      </c>
      <c r="AO214" s="289">
        <f>Cockpit!$H$31</f>
        <v>0.03</v>
      </c>
      <c r="AP214" s="289">
        <f>Cockpit!$H$31</f>
        <v>0.03</v>
      </c>
      <c r="AQ214" s="289">
        <f>Cockpit!$H$31</f>
        <v>0.03</v>
      </c>
      <c r="AR214" s="289">
        <f>Cockpit!$H$31</f>
        <v>0.03</v>
      </c>
      <c r="AS214" s="289">
        <f>Cockpit!$H$31</f>
        <v>0.03</v>
      </c>
      <c r="AT214" s="289">
        <f>Cockpit!$H$31</f>
        <v>0.03</v>
      </c>
      <c r="AU214" s="289">
        <f>Cockpit!$H$31</f>
        <v>0.03</v>
      </c>
      <c r="AV214" s="289">
        <f>Cockpit!$H$31</f>
        <v>0.03</v>
      </c>
      <c r="AW214" s="289">
        <f>Cockpit!$H$31</f>
        <v>0.03</v>
      </c>
      <c r="AX214" s="289">
        <f>Cockpit!$H$31</f>
        <v>0.03</v>
      </c>
      <c r="AY214" s="289">
        <f>Cockpit!$H$31</f>
        <v>0.03</v>
      </c>
      <c r="AZ214" s="289">
        <f>Cockpit!$H$31</f>
        <v>0.03</v>
      </c>
      <c r="BA214" s="289">
        <f>Cockpit!$H$31</f>
        <v>0.03</v>
      </c>
      <c r="BB214" s="290">
        <f>Cockpit!$H$31</f>
        <v>0.03</v>
      </c>
    </row>
    <row r="215" spans="1:54">
      <c r="B215" s="479" t="s">
        <v>67</v>
      </c>
      <c r="C215" s="536"/>
      <c r="D215" s="480"/>
      <c r="E215" s="10">
        <f t="shared" ref="E215:BB215" si="2783">E213*(1+E214)</f>
        <v>0</v>
      </c>
      <c r="F215" s="10">
        <f t="shared" si="2783"/>
        <v>0</v>
      </c>
      <c r="G215" s="10">
        <f t="shared" si="2783"/>
        <v>0</v>
      </c>
      <c r="H215" s="10">
        <f t="shared" si="2783"/>
        <v>0</v>
      </c>
      <c r="I215" s="10">
        <f t="shared" si="2783"/>
        <v>0</v>
      </c>
      <c r="J215" s="10">
        <f t="shared" si="2783"/>
        <v>0</v>
      </c>
      <c r="K215" s="10">
        <f t="shared" si="2783"/>
        <v>0</v>
      </c>
      <c r="L215" s="10">
        <f t="shared" si="2783"/>
        <v>0</v>
      </c>
      <c r="M215" s="10">
        <f t="shared" si="2783"/>
        <v>0</v>
      </c>
      <c r="N215" s="10">
        <f t="shared" si="2783"/>
        <v>0</v>
      </c>
      <c r="O215" s="10">
        <f t="shared" si="2783"/>
        <v>0</v>
      </c>
      <c r="P215" s="10">
        <f t="shared" si="2783"/>
        <v>0</v>
      </c>
      <c r="Q215" s="10">
        <f t="shared" si="2783"/>
        <v>0</v>
      </c>
      <c r="R215" s="10">
        <f t="shared" si="2783"/>
        <v>0</v>
      </c>
      <c r="S215" s="10">
        <f t="shared" si="2783"/>
        <v>0</v>
      </c>
      <c r="T215" s="10">
        <f t="shared" si="2783"/>
        <v>0</v>
      </c>
      <c r="U215" s="10">
        <f t="shared" si="2783"/>
        <v>0</v>
      </c>
      <c r="V215" s="10">
        <f t="shared" si="2783"/>
        <v>0</v>
      </c>
      <c r="W215" s="10">
        <f t="shared" si="2783"/>
        <v>0</v>
      </c>
      <c r="X215" s="10">
        <f t="shared" si="2783"/>
        <v>0</v>
      </c>
      <c r="Y215" s="10">
        <f t="shared" si="2783"/>
        <v>0</v>
      </c>
      <c r="Z215" s="10">
        <f t="shared" si="2783"/>
        <v>0</v>
      </c>
      <c r="AA215" s="10">
        <f t="shared" si="2783"/>
        <v>0</v>
      </c>
      <c r="AB215" s="10">
        <f t="shared" si="2783"/>
        <v>0</v>
      </c>
      <c r="AC215" s="10">
        <f t="shared" si="2783"/>
        <v>0</v>
      </c>
      <c r="AD215" s="10">
        <f t="shared" si="2783"/>
        <v>0</v>
      </c>
      <c r="AE215" s="10">
        <f t="shared" si="2783"/>
        <v>0</v>
      </c>
      <c r="AF215" s="10">
        <f t="shared" si="2783"/>
        <v>0</v>
      </c>
      <c r="AG215" s="10">
        <f t="shared" si="2783"/>
        <v>0</v>
      </c>
      <c r="AH215" s="10">
        <f t="shared" si="2783"/>
        <v>0</v>
      </c>
      <c r="AI215" s="10">
        <f t="shared" si="2783"/>
        <v>0</v>
      </c>
      <c r="AJ215" s="10">
        <f t="shared" si="2783"/>
        <v>0</v>
      </c>
      <c r="AK215" s="10">
        <f t="shared" si="2783"/>
        <v>0</v>
      </c>
      <c r="AL215" s="10">
        <f t="shared" si="2783"/>
        <v>0</v>
      </c>
      <c r="AM215" s="10">
        <f t="shared" si="2783"/>
        <v>0</v>
      </c>
      <c r="AN215" s="10">
        <f t="shared" si="2783"/>
        <v>0</v>
      </c>
      <c r="AO215" s="10">
        <f t="shared" si="2783"/>
        <v>0</v>
      </c>
      <c r="AP215" s="10">
        <f t="shared" si="2783"/>
        <v>0</v>
      </c>
      <c r="AQ215" s="10">
        <f t="shared" si="2783"/>
        <v>0</v>
      </c>
      <c r="AR215" s="10">
        <f t="shared" si="2783"/>
        <v>0</v>
      </c>
      <c r="AS215" s="10">
        <f t="shared" si="2783"/>
        <v>0</v>
      </c>
      <c r="AT215" s="10">
        <f t="shared" si="2783"/>
        <v>0</v>
      </c>
      <c r="AU215" s="10">
        <f t="shared" si="2783"/>
        <v>0</v>
      </c>
      <c r="AV215" s="10">
        <f t="shared" si="2783"/>
        <v>0</v>
      </c>
      <c r="AW215" s="10">
        <f t="shared" si="2783"/>
        <v>0</v>
      </c>
      <c r="AX215" s="10">
        <f t="shared" si="2783"/>
        <v>0</v>
      </c>
      <c r="AY215" s="10">
        <f t="shared" si="2783"/>
        <v>0</v>
      </c>
      <c r="AZ215" s="10">
        <f t="shared" si="2783"/>
        <v>0</v>
      </c>
      <c r="BA215" s="10">
        <f t="shared" si="2783"/>
        <v>0</v>
      </c>
      <c r="BB215" s="283">
        <f t="shared" si="2783"/>
        <v>0</v>
      </c>
    </row>
    <row r="216" spans="1:54" ht="15.75" thickBot="1">
      <c r="B216" s="492" t="s">
        <v>301</v>
      </c>
      <c r="C216" s="537"/>
      <c r="D216" s="493"/>
      <c r="E216" s="367" t="str">
        <f>IFERROR(E215/$C212,"-")</f>
        <v>-</v>
      </c>
      <c r="F216" s="367" t="str">
        <f>IFERROR(F215/$C212,"-")</f>
        <v>-</v>
      </c>
      <c r="G216" s="367" t="str">
        <f t="shared" ref="G216" si="2784">IFERROR(G215/$C212,"-")</f>
        <v>-</v>
      </c>
      <c r="H216" s="367" t="str">
        <f t="shared" ref="H216" si="2785">IFERROR(H215/$C212,"-")</f>
        <v>-</v>
      </c>
      <c r="I216" s="367" t="str">
        <f t="shared" ref="I216" si="2786">IFERROR(I215/$C212,"-")</f>
        <v>-</v>
      </c>
      <c r="J216" s="367" t="str">
        <f t="shared" ref="J216" si="2787">IFERROR(J215/$C212,"-")</f>
        <v>-</v>
      </c>
      <c r="K216" s="367" t="str">
        <f t="shared" ref="K216" si="2788">IFERROR(K215/$C212,"-")</f>
        <v>-</v>
      </c>
      <c r="L216" s="367" t="str">
        <f t="shared" ref="L216" si="2789">IFERROR(L215/$C212,"-")</f>
        <v>-</v>
      </c>
      <c r="M216" s="367" t="str">
        <f t="shared" ref="M216" si="2790">IFERROR(M215/$C212,"-")</f>
        <v>-</v>
      </c>
      <c r="N216" s="367" t="str">
        <f t="shared" ref="N216" si="2791">IFERROR(N215/$C212,"-")</f>
        <v>-</v>
      </c>
      <c r="O216" s="367" t="str">
        <f t="shared" ref="O216" si="2792">IFERROR(O215/$C212,"-")</f>
        <v>-</v>
      </c>
      <c r="P216" s="367" t="str">
        <f t="shared" ref="P216" si="2793">IFERROR(P215/$C212,"-")</f>
        <v>-</v>
      </c>
      <c r="Q216" s="367" t="str">
        <f t="shared" ref="Q216" si="2794">IFERROR(Q215/$C212,"-")</f>
        <v>-</v>
      </c>
      <c r="R216" s="367" t="str">
        <f t="shared" ref="R216" si="2795">IFERROR(R215/$C212,"-")</f>
        <v>-</v>
      </c>
      <c r="S216" s="367" t="str">
        <f t="shared" ref="S216" si="2796">IFERROR(S215/$C212,"-")</f>
        <v>-</v>
      </c>
      <c r="T216" s="367" t="str">
        <f t="shared" ref="T216" si="2797">IFERROR(T215/$C212,"-")</f>
        <v>-</v>
      </c>
      <c r="U216" s="367" t="str">
        <f t="shared" ref="U216" si="2798">IFERROR(U215/$C212,"-")</f>
        <v>-</v>
      </c>
      <c r="V216" s="367" t="str">
        <f t="shared" ref="V216" si="2799">IFERROR(V215/$C212,"-")</f>
        <v>-</v>
      </c>
      <c r="W216" s="367" t="str">
        <f t="shared" ref="W216" si="2800">IFERROR(W215/$C212,"-")</f>
        <v>-</v>
      </c>
      <c r="X216" s="367" t="str">
        <f t="shared" ref="X216" si="2801">IFERROR(X215/$C212,"-")</f>
        <v>-</v>
      </c>
      <c r="Y216" s="367" t="str">
        <f t="shared" ref="Y216" si="2802">IFERROR(Y215/$C212,"-")</f>
        <v>-</v>
      </c>
      <c r="Z216" s="367" t="str">
        <f t="shared" ref="Z216" si="2803">IFERROR(Z215/$C212,"-")</f>
        <v>-</v>
      </c>
      <c r="AA216" s="367" t="str">
        <f t="shared" ref="AA216" si="2804">IFERROR(AA215/$C212,"-")</f>
        <v>-</v>
      </c>
      <c r="AB216" s="367" t="str">
        <f t="shared" ref="AB216" si="2805">IFERROR(AB215/$C212,"-")</f>
        <v>-</v>
      </c>
      <c r="AC216" s="367" t="str">
        <f t="shared" ref="AC216" si="2806">IFERROR(AC215/$C212,"-")</f>
        <v>-</v>
      </c>
      <c r="AD216" s="367" t="str">
        <f t="shared" ref="AD216" si="2807">IFERROR(AD215/$C212,"-")</f>
        <v>-</v>
      </c>
      <c r="AE216" s="367" t="str">
        <f t="shared" ref="AE216" si="2808">IFERROR(AE215/$C212,"-")</f>
        <v>-</v>
      </c>
      <c r="AF216" s="367" t="str">
        <f t="shared" ref="AF216" si="2809">IFERROR(AF215/$C212,"-")</f>
        <v>-</v>
      </c>
      <c r="AG216" s="367" t="str">
        <f t="shared" ref="AG216" si="2810">IFERROR(AG215/$C212,"-")</f>
        <v>-</v>
      </c>
      <c r="AH216" s="367" t="str">
        <f t="shared" ref="AH216" si="2811">IFERROR(AH215/$C212,"-")</f>
        <v>-</v>
      </c>
      <c r="AI216" s="367" t="str">
        <f t="shared" ref="AI216" si="2812">IFERROR(AI215/$C212,"-")</f>
        <v>-</v>
      </c>
      <c r="AJ216" s="367" t="str">
        <f t="shared" ref="AJ216" si="2813">IFERROR(AJ215/$C212,"-")</f>
        <v>-</v>
      </c>
      <c r="AK216" s="367" t="str">
        <f t="shared" ref="AK216" si="2814">IFERROR(AK215/$C212,"-")</f>
        <v>-</v>
      </c>
      <c r="AL216" s="367" t="str">
        <f t="shared" ref="AL216" si="2815">IFERROR(AL215/$C212,"-")</f>
        <v>-</v>
      </c>
      <c r="AM216" s="367" t="str">
        <f t="shared" ref="AM216" si="2816">IFERROR(AM215/$C212,"-")</f>
        <v>-</v>
      </c>
      <c r="AN216" s="367" t="str">
        <f t="shared" ref="AN216" si="2817">IFERROR(AN215/$C212,"-")</f>
        <v>-</v>
      </c>
      <c r="AO216" s="367" t="str">
        <f t="shared" ref="AO216" si="2818">IFERROR(AO215/$C212,"-")</f>
        <v>-</v>
      </c>
      <c r="AP216" s="367" t="str">
        <f t="shared" ref="AP216" si="2819">IFERROR(AP215/$C212,"-")</f>
        <v>-</v>
      </c>
      <c r="AQ216" s="367" t="str">
        <f t="shared" ref="AQ216" si="2820">IFERROR(AQ215/$C212,"-")</f>
        <v>-</v>
      </c>
      <c r="AR216" s="367" t="str">
        <f t="shared" ref="AR216" si="2821">IFERROR(AR215/$C212,"-")</f>
        <v>-</v>
      </c>
      <c r="AS216" s="367" t="str">
        <f t="shared" ref="AS216" si="2822">IFERROR(AS215/$C212,"-")</f>
        <v>-</v>
      </c>
      <c r="AT216" s="367" t="str">
        <f t="shared" ref="AT216" si="2823">IFERROR(AT215/$C212,"-")</f>
        <v>-</v>
      </c>
      <c r="AU216" s="367" t="str">
        <f t="shared" ref="AU216" si="2824">IFERROR(AU215/$C212,"-")</f>
        <v>-</v>
      </c>
      <c r="AV216" s="367" t="str">
        <f t="shared" ref="AV216" si="2825">IFERROR(AV215/$C212,"-")</f>
        <v>-</v>
      </c>
      <c r="AW216" s="367" t="str">
        <f t="shared" ref="AW216" si="2826">IFERROR(AW215/$C212,"-")</f>
        <v>-</v>
      </c>
      <c r="AX216" s="367" t="str">
        <f t="shared" ref="AX216" si="2827">IFERROR(AX215/$C212,"-")</f>
        <v>-</v>
      </c>
      <c r="AY216" s="367" t="str">
        <f t="shared" ref="AY216" si="2828">IFERROR(AY215/$C212,"-")</f>
        <v>-</v>
      </c>
      <c r="AZ216" s="367" t="str">
        <f t="shared" ref="AZ216" si="2829">IFERROR(AZ215/$C212,"-")</f>
        <v>-</v>
      </c>
      <c r="BA216" s="367" t="str">
        <f t="shared" ref="BA216" si="2830">IFERROR(BA215/$C212,"-")</f>
        <v>-</v>
      </c>
      <c r="BB216" s="368" t="str">
        <f t="shared" ref="BB216" si="2831">IFERROR(BB215/$C212,"-")</f>
        <v>-</v>
      </c>
    </row>
    <row r="217" spans="1:54" ht="17.25" customHeight="1" thickBot="1">
      <c r="J217" s="6"/>
      <c r="K217" s="6"/>
      <c r="L217" s="6"/>
      <c r="M217" s="6"/>
      <c r="O217" s="5"/>
      <c r="P217" s="5"/>
      <c r="Q217" s="5"/>
      <c r="R217" s="5"/>
    </row>
    <row r="218" spans="1:54" ht="18" thickBot="1">
      <c r="A218"/>
      <c r="B218" s="533" t="s">
        <v>325</v>
      </c>
      <c r="C218" s="534"/>
      <c r="D218" s="32"/>
      <c r="E218" s="275"/>
      <c r="J218" s="6"/>
      <c r="K218" s="6"/>
      <c r="L218" s="6"/>
      <c r="M218" s="6"/>
    </row>
    <row r="219" spans="1:54" ht="15.75" thickBot="1">
      <c r="B219" s="360" t="s">
        <v>11</v>
      </c>
      <c r="C219" s="369">
        <v>0</v>
      </c>
      <c r="D219" s="364"/>
      <c r="E219" s="365">
        <f t="shared" ref="E219:AJ219" si="2832">E$9</f>
        <v>2024</v>
      </c>
      <c r="F219" s="279">
        <f t="shared" si="2832"/>
        <v>2025</v>
      </c>
      <c r="G219" s="279">
        <f t="shared" si="2832"/>
        <v>2026</v>
      </c>
      <c r="H219" s="279">
        <f t="shared" si="2832"/>
        <v>2027</v>
      </c>
      <c r="I219" s="279">
        <f t="shared" si="2832"/>
        <v>2028</v>
      </c>
      <c r="J219" s="279">
        <f t="shared" si="2832"/>
        <v>2029</v>
      </c>
      <c r="K219" s="279">
        <f t="shared" si="2832"/>
        <v>2030</v>
      </c>
      <c r="L219" s="279">
        <f t="shared" si="2832"/>
        <v>2031</v>
      </c>
      <c r="M219" s="279">
        <f t="shared" si="2832"/>
        <v>2032</v>
      </c>
      <c r="N219" s="279">
        <f t="shared" si="2832"/>
        <v>2033</v>
      </c>
      <c r="O219" s="279">
        <f t="shared" si="2832"/>
        <v>2034</v>
      </c>
      <c r="P219" s="279">
        <f t="shared" si="2832"/>
        <v>2035</v>
      </c>
      <c r="Q219" s="279">
        <f t="shared" si="2832"/>
        <v>2036</v>
      </c>
      <c r="R219" s="279">
        <f t="shared" si="2832"/>
        <v>2037</v>
      </c>
      <c r="S219" s="279">
        <f t="shared" si="2832"/>
        <v>2038</v>
      </c>
      <c r="T219" s="279">
        <f t="shared" si="2832"/>
        <v>2039</v>
      </c>
      <c r="U219" s="279">
        <f t="shared" si="2832"/>
        <v>2040</v>
      </c>
      <c r="V219" s="279">
        <f t="shared" si="2832"/>
        <v>2041</v>
      </c>
      <c r="W219" s="279">
        <f t="shared" si="2832"/>
        <v>2042</v>
      </c>
      <c r="X219" s="279">
        <f t="shared" si="2832"/>
        <v>2043</v>
      </c>
      <c r="Y219" s="279">
        <f t="shared" si="2832"/>
        <v>2044</v>
      </c>
      <c r="Z219" s="279">
        <f t="shared" si="2832"/>
        <v>2045</v>
      </c>
      <c r="AA219" s="279">
        <f t="shared" si="2832"/>
        <v>2046</v>
      </c>
      <c r="AB219" s="279">
        <f t="shared" si="2832"/>
        <v>2047</v>
      </c>
      <c r="AC219" s="279">
        <f t="shared" si="2832"/>
        <v>2048</v>
      </c>
      <c r="AD219" s="279">
        <f t="shared" si="2832"/>
        <v>2049</v>
      </c>
      <c r="AE219" s="279">
        <f t="shared" si="2832"/>
        <v>2050</v>
      </c>
      <c r="AF219" s="279">
        <f t="shared" si="2832"/>
        <v>2051</v>
      </c>
      <c r="AG219" s="279">
        <f t="shared" si="2832"/>
        <v>2052</v>
      </c>
      <c r="AH219" s="279">
        <f t="shared" si="2832"/>
        <v>2053</v>
      </c>
      <c r="AI219" s="279">
        <f t="shared" si="2832"/>
        <v>2054</v>
      </c>
      <c r="AJ219" s="279">
        <f t="shared" si="2832"/>
        <v>2055</v>
      </c>
      <c r="AK219" s="279">
        <f t="shared" ref="AK219:BB219" si="2833">AK$9</f>
        <v>2056</v>
      </c>
      <c r="AL219" s="279">
        <f t="shared" si="2833"/>
        <v>2057</v>
      </c>
      <c r="AM219" s="279">
        <f t="shared" si="2833"/>
        <v>2058</v>
      </c>
      <c r="AN219" s="279">
        <f t="shared" si="2833"/>
        <v>2059</v>
      </c>
      <c r="AO219" s="279">
        <f t="shared" si="2833"/>
        <v>2060</v>
      </c>
      <c r="AP219" s="279">
        <f t="shared" si="2833"/>
        <v>2061</v>
      </c>
      <c r="AQ219" s="279">
        <f t="shared" si="2833"/>
        <v>2062</v>
      </c>
      <c r="AR219" s="279">
        <f t="shared" si="2833"/>
        <v>2063</v>
      </c>
      <c r="AS219" s="279">
        <f t="shared" si="2833"/>
        <v>2064</v>
      </c>
      <c r="AT219" s="279">
        <f t="shared" si="2833"/>
        <v>2065</v>
      </c>
      <c r="AU219" s="279">
        <f t="shared" si="2833"/>
        <v>2066</v>
      </c>
      <c r="AV219" s="279">
        <f t="shared" si="2833"/>
        <v>2067</v>
      </c>
      <c r="AW219" s="279">
        <f t="shared" si="2833"/>
        <v>2068</v>
      </c>
      <c r="AX219" s="279">
        <f t="shared" si="2833"/>
        <v>2069</v>
      </c>
      <c r="AY219" s="279">
        <f t="shared" si="2833"/>
        <v>2070</v>
      </c>
      <c r="AZ219" s="279">
        <f t="shared" si="2833"/>
        <v>2071</v>
      </c>
      <c r="BA219" s="279">
        <f t="shared" si="2833"/>
        <v>2072</v>
      </c>
      <c r="BB219" s="280">
        <f t="shared" si="2833"/>
        <v>2073</v>
      </c>
    </row>
    <row r="220" spans="1:54">
      <c r="A220"/>
      <c r="B220" s="485" t="s">
        <v>261</v>
      </c>
      <c r="C220" s="535"/>
      <c r="D220" s="486"/>
      <c r="E220" s="307">
        <v>0</v>
      </c>
      <c r="F220" s="281">
        <f>E222</f>
        <v>0</v>
      </c>
      <c r="G220" s="281">
        <f t="shared" ref="G220" si="2834">F222</f>
        <v>0</v>
      </c>
      <c r="H220" s="281">
        <f t="shared" ref="H220" si="2835">G222</f>
        <v>0</v>
      </c>
      <c r="I220" s="281">
        <f t="shared" ref="I220" si="2836">H222</f>
        <v>0</v>
      </c>
      <c r="J220" s="281">
        <f t="shared" ref="J220" si="2837">I222</f>
        <v>0</v>
      </c>
      <c r="K220" s="281">
        <f t="shared" ref="K220" si="2838">J222</f>
        <v>0</v>
      </c>
      <c r="L220" s="281">
        <f t="shared" ref="L220" si="2839">K222</f>
        <v>0</v>
      </c>
      <c r="M220" s="281">
        <f t="shared" ref="M220" si="2840">L222</f>
        <v>0</v>
      </c>
      <c r="N220" s="281">
        <f t="shared" ref="N220" si="2841">M222</f>
        <v>0</v>
      </c>
      <c r="O220" s="281">
        <f t="shared" ref="O220" si="2842">N222</f>
        <v>0</v>
      </c>
      <c r="P220" s="281">
        <f t="shared" ref="P220" si="2843">O222</f>
        <v>0</v>
      </c>
      <c r="Q220" s="281">
        <f t="shared" ref="Q220" si="2844">P222</f>
        <v>0</v>
      </c>
      <c r="R220" s="281">
        <f t="shared" ref="R220" si="2845">Q222</f>
        <v>0</v>
      </c>
      <c r="S220" s="281">
        <f t="shared" ref="S220" si="2846">R222</f>
        <v>0</v>
      </c>
      <c r="T220" s="281">
        <f t="shared" ref="T220" si="2847">S222</f>
        <v>0</v>
      </c>
      <c r="U220" s="281">
        <f t="shared" ref="U220" si="2848">T222</f>
        <v>0</v>
      </c>
      <c r="V220" s="281">
        <f t="shared" ref="V220" si="2849">U222</f>
        <v>0</v>
      </c>
      <c r="W220" s="281">
        <f t="shared" ref="W220" si="2850">V222</f>
        <v>0</v>
      </c>
      <c r="X220" s="281">
        <f t="shared" ref="X220" si="2851">W222</f>
        <v>0</v>
      </c>
      <c r="Y220" s="281">
        <f t="shared" ref="Y220" si="2852">X222</f>
        <v>0</v>
      </c>
      <c r="Z220" s="281">
        <f t="shared" ref="Z220" si="2853">Y222</f>
        <v>0</v>
      </c>
      <c r="AA220" s="281">
        <f t="shared" ref="AA220" si="2854">Z222</f>
        <v>0</v>
      </c>
      <c r="AB220" s="281">
        <f t="shared" ref="AB220" si="2855">AA222</f>
        <v>0</v>
      </c>
      <c r="AC220" s="281">
        <f t="shared" ref="AC220" si="2856">AB222</f>
        <v>0</v>
      </c>
      <c r="AD220" s="281">
        <f t="shared" ref="AD220" si="2857">AC222</f>
        <v>0</v>
      </c>
      <c r="AE220" s="281">
        <f t="shared" ref="AE220" si="2858">AD222</f>
        <v>0</v>
      </c>
      <c r="AF220" s="281">
        <f t="shared" ref="AF220" si="2859">AE222</f>
        <v>0</v>
      </c>
      <c r="AG220" s="281">
        <f t="shared" ref="AG220" si="2860">AF222</f>
        <v>0</v>
      </c>
      <c r="AH220" s="281">
        <f t="shared" ref="AH220" si="2861">AG222</f>
        <v>0</v>
      </c>
      <c r="AI220" s="281">
        <f t="shared" ref="AI220" si="2862">AH222</f>
        <v>0</v>
      </c>
      <c r="AJ220" s="281">
        <f t="shared" ref="AJ220" si="2863">AI222</f>
        <v>0</v>
      </c>
      <c r="AK220" s="281">
        <f t="shared" ref="AK220" si="2864">AJ222</f>
        <v>0</v>
      </c>
      <c r="AL220" s="281">
        <f t="shared" ref="AL220" si="2865">AK222</f>
        <v>0</v>
      </c>
      <c r="AM220" s="281">
        <f t="shared" ref="AM220" si="2866">AL222</f>
        <v>0</v>
      </c>
      <c r="AN220" s="281">
        <f t="shared" ref="AN220" si="2867">AM222</f>
        <v>0</v>
      </c>
      <c r="AO220" s="281">
        <f t="shared" ref="AO220" si="2868">AN222</f>
        <v>0</v>
      </c>
      <c r="AP220" s="281">
        <f t="shared" ref="AP220" si="2869">AO222</f>
        <v>0</v>
      </c>
      <c r="AQ220" s="281">
        <f t="shared" ref="AQ220" si="2870">AP222</f>
        <v>0</v>
      </c>
      <c r="AR220" s="281">
        <f t="shared" ref="AR220" si="2871">AQ222</f>
        <v>0</v>
      </c>
      <c r="AS220" s="281">
        <f t="shared" ref="AS220" si="2872">AR222</f>
        <v>0</v>
      </c>
      <c r="AT220" s="281">
        <f t="shared" ref="AT220" si="2873">AS222</f>
        <v>0</v>
      </c>
      <c r="AU220" s="281">
        <f t="shared" ref="AU220" si="2874">AT222</f>
        <v>0</v>
      </c>
      <c r="AV220" s="281">
        <f t="shared" ref="AV220" si="2875">AU222</f>
        <v>0</v>
      </c>
      <c r="AW220" s="281">
        <f t="shared" ref="AW220" si="2876">AV222</f>
        <v>0</v>
      </c>
      <c r="AX220" s="281">
        <f t="shared" ref="AX220" si="2877">AW222</f>
        <v>0</v>
      </c>
      <c r="AY220" s="281">
        <f t="shared" ref="AY220" si="2878">AX222</f>
        <v>0</v>
      </c>
      <c r="AZ220" s="281">
        <f t="shared" ref="AZ220" si="2879">AY222</f>
        <v>0</v>
      </c>
      <c r="BA220" s="281">
        <f t="shared" ref="BA220" si="2880">AZ222</f>
        <v>0</v>
      </c>
      <c r="BB220" s="282">
        <f t="shared" ref="BB220" si="2881">BA222</f>
        <v>0</v>
      </c>
    </row>
    <row r="221" spans="1:54">
      <c r="A221"/>
      <c r="B221" s="479" t="s">
        <v>99</v>
      </c>
      <c r="C221" s="536"/>
      <c r="D221" s="480"/>
      <c r="E221" s="289">
        <f>Cockpit!$H$31</f>
        <v>0.03</v>
      </c>
      <c r="F221" s="289">
        <f>Cockpit!$H$31</f>
        <v>0.03</v>
      </c>
      <c r="G221" s="289">
        <f>Cockpit!$H$31</f>
        <v>0.03</v>
      </c>
      <c r="H221" s="289">
        <f>Cockpit!$H$31</f>
        <v>0.03</v>
      </c>
      <c r="I221" s="289">
        <f>Cockpit!$H$31</f>
        <v>0.03</v>
      </c>
      <c r="J221" s="289">
        <f>Cockpit!$H$31</f>
        <v>0.03</v>
      </c>
      <c r="K221" s="289">
        <f>Cockpit!$H$31</f>
        <v>0.03</v>
      </c>
      <c r="L221" s="289">
        <f>Cockpit!$H$31</f>
        <v>0.03</v>
      </c>
      <c r="M221" s="289">
        <f>Cockpit!$H$31</f>
        <v>0.03</v>
      </c>
      <c r="N221" s="289">
        <f>Cockpit!$H$31</f>
        <v>0.03</v>
      </c>
      <c r="O221" s="289">
        <f>Cockpit!$H$31</f>
        <v>0.03</v>
      </c>
      <c r="P221" s="289">
        <f>Cockpit!$H$31</f>
        <v>0.03</v>
      </c>
      <c r="Q221" s="289">
        <f>Cockpit!$H$31</f>
        <v>0.03</v>
      </c>
      <c r="R221" s="289">
        <f>Cockpit!$H$31</f>
        <v>0.03</v>
      </c>
      <c r="S221" s="289">
        <f>Cockpit!$H$31</f>
        <v>0.03</v>
      </c>
      <c r="T221" s="289">
        <f>Cockpit!$H$31</f>
        <v>0.03</v>
      </c>
      <c r="U221" s="289">
        <f>Cockpit!$H$31</f>
        <v>0.03</v>
      </c>
      <c r="V221" s="289">
        <f>Cockpit!$H$31</f>
        <v>0.03</v>
      </c>
      <c r="W221" s="289">
        <f>Cockpit!$H$31</f>
        <v>0.03</v>
      </c>
      <c r="X221" s="289">
        <f>Cockpit!$H$31</f>
        <v>0.03</v>
      </c>
      <c r="Y221" s="289">
        <f>Cockpit!$H$31</f>
        <v>0.03</v>
      </c>
      <c r="Z221" s="289">
        <f>Cockpit!$H$31</f>
        <v>0.03</v>
      </c>
      <c r="AA221" s="289">
        <f>Cockpit!$H$31</f>
        <v>0.03</v>
      </c>
      <c r="AB221" s="289">
        <f>Cockpit!$H$31</f>
        <v>0.03</v>
      </c>
      <c r="AC221" s="289">
        <f>Cockpit!$H$31</f>
        <v>0.03</v>
      </c>
      <c r="AD221" s="289">
        <f>Cockpit!$H$31</f>
        <v>0.03</v>
      </c>
      <c r="AE221" s="289">
        <f>Cockpit!$H$31</f>
        <v>0.03</v>
      </c>
      <c r="AF221" s="289">
        <f>Cockpit!$H$31</f>
        <v>0.03</v>
      </c>
      <c r="AG221" s="289">
        <f>Cockpit!$H$31</f>
        <v>0.03</v>
      </c>
      <c r="AH221" s="289">
        <f>Cockpit!$H$31</f>
        <v>0.03</v>
      </c>
      <c r="AI221" s="289">
        <f>Cockpit!$H$31</f>
        <v>0.03</v>
      </c>
      <c r="AJ221" s="289">
        <f>Cockpit!$H$31</f>
        <v>0.03</v>
      </c>
      <c r="AK221" s="289">
        <f>Cockpit!$H$31</f>
        <v>0.03</v>
      </c>
      <c r="AL221" s="289">
        <f>Cockpit!$H$31</f>
        <v>0.03</v>
      </c>
      <c r="AM221" s="289">
        <f>Cockpit!$H$31</f>
        <v>0.03</v>
      </c>
      <c r="AN221" s="289">
        <f>Cockpit!$H$31</f>
        <v>0.03</v>
      </c>
      <c r="AO221" s="289">
        <f>Cockpit!$H$31</f>
        <v>0.03</v>
      </c>
      <c r="AP221" s="289">
        <f>Cockpit!$H$31</f>
        <v>0.03</v>
      </c>
      <c r="AQ221" s="289">
        <f>Cockpit!$H$31</f>
        <v>0.03</v>
      </c>
      <c r="AR221" s="289">
        <f>Cockpit!$H$31</f>
        <v>0.03</v>
      </c>
      <c r="AS221" s="289">
        <f>Cockpit!$H$31</f>
        <v>0.03</v>
      </c>
      <c r="AT221" s="289">
        <f>Cockpit!$H$31</f>
        <v>0.03</v>
      </c>
      <c r="AU221" s="289">
        <f>Cockpit!$H$31</f>
        <v>0.03</v>
      </c>
      <c r="AV221" s="289">
        <f>Cockpit!$H$31</f>
        <v>0.03</v>
      </c>
      <c r="AW221" s="289">
        <f>Cockpit!$H$31</f>
        <v>0.03</v>
      </c>
      <c r="AX221" s="289">
        <f>Cockpit!$H$31</f>
        <v>0.03</v>
      </c>
      <c r="AY221" s="289">
        <f>Cockpit!$H$31</f>
        <v>0.03</v>
      </c>
      <c r="AZ221" s="289">
        <f>Cockpit!$H$31</f>
        <v>0.03</v>
      </c>
      <c r="BA221" s="289">
        <f>Cockpit!$H$31</f>
        <v>0.03</v>
      </c>
      <c r="BB221" s="290">
        <f>Cockpit!$H$31</f>
        <v>0.03</v>
      </c>
    </row>
    <row r="222" spans="1:54">
      <c r="B222" s="479" t="s">
        <v>67</v>
      </c>
      <c r="C222" s="536"/>
      <c r="D222" s="480"/>
      <c r="E222" s="10">
        <f t="shared" ref="E222:BB222" si="2882">E220*(1+E221)</f>
        <v>0</v>
      </c>
      <c r="F222" s="10">
        <f t="shared" si="2882"/>
        <v>0</v>
      </c>
      <c r="G222" s="10">
        <f t="shared" si="2882"/>
        <v>0</v>
      </c>
      <c r="H222" s="10">
        <f t="shared" si="2882"/>
        <v>0</v>
      </c>
      <c r="I222" s="10">
        <f t="shared" si="2882"/>
        <v>0</v>
      </c>
      <c r="J222" s="10">
        <f t="shared" si="2882"/>
        <v>0</v>
      </c>
      <c r="K222" s="10">
        <f t="shared" si="2882"/>
        <v>0</v>
      </c>
      <c r="L222" s="10">
        <f t="shared" si="2882"/>
        <v>0</v>
      </c>
      <c r="M222" s="10">
        <f t="shared" si="2882"/>
        <v>0</v>
      </c>
      <c r="N222" s="10">
        <f t="shared" si="2882"/>
        <v>0</v>
      </c>
      <c r="O222" s="10">
        <f t="shared" si="2882"/>
        <v>0</v>
      </c>
      <c r="P222" s="10">
        <f t="shared" si="2882"/>
        <v>0</v>
      </c>
      <c r="Q222" s="10">
        <f t="shared" si="2882"/>
        <v>0</v>
      </c>
      <c r="R222" s="10">
        <f t="shared" si="2882"/>
        <v>0</v>
      </c>
      <c r="S222" s="10">
        <f t="shared" si="2882"/>
        <v>0</v>
      </c>
      <c r="T222" s="10">
        <f t="shared" si="2882"/>
        <v>0</v>
      </c>
      <c r="U222" s="10">
        <f t="shared" si="2882"/>
        <v>0</v>
      </c>
      <c r="V222" s="10">
        <f t="shared" si="2882"/>
        <v>0</v>
      </c>
      <c r="W222" s="10">
        <f t="shared" si="2882"/>
        <v>0</v>
      </c>
      <c r="X222" s="10">
        <f t="shared" si="2882"/>
        <v>0</v>
      </c>
      <c r="Y222" s="10">
        <f t="shared" si="2882"/>
        <v>0</v>
      </c>
      <c r="Z222" s="10">
        <f t="shared" si="2882"/>
        <v>0</v>
      </c>
      <c r="AA222" s="10">
        <f t="shared" si="2882"/>
        <v>0</v>
      </c>
      <c r="AB222" s="10">
        <f t="shared" si="2882"/>
        <v>0</v>
      </c>
      <c r="AC222" s="10">
        <f t="shared" si="2882"/>
        <v>0</v>
      </c>
      <c r="AD222" s="10">
        <f t="shared" si="2882"/>
        <v>0</v>
      </c>
      <c r="AE222" s="10">
        <f t="shared" si="2882"/>
        <v>0</v>
      </c>
      <c r="AF222" s="10">
        <f t="shared" si="2882"/>
        <v>0</v>
      </c>
      <c r="AG222" s="10">
        <f t="shared" si="2882"/>
        <v>0</v>
      </c>
      <c r="AH222" s="10">
        <f t="shared" si="2882"/>
        <v>0</v>
      </c>
      <c r="AI222" s="10">
        <f t="shared" si="2882"/>
        <v>0</v>
      </c>
      <c r="AJ222" s="10">
        <f t="shared" si="2882"/>
        <v>0</v>
      </c>
      <c r="AK222" s="10">
        <f t="shared" si="2882"/>
        <v>0</v>
      </c>
      <c r="AL222" s="10">
        <f t="shared" si="2882"/>
        <v>0</v>
      </c>
      <c r="AM222" s="10">
        <f t="shared" si="2882"/>
        <v>0</v>
      </c>
      <c r="AN222" s="10">
        <f t="shared" si="2882"/>
        <v>0</v>
      </c>
      <c r="AO222" s="10">
        <f t="shared" si="2882"/>
        <v>0</v>
      </c>
      <c r="AP222" s="10">
        <f t="shared" si="2882"/>
        <v>0</v>
      </c>
      <c r="AQ222" s="10">
        <f t="shared" si="2882"/>
        <v>0</v>
      </c>
      <c r="AR222" s="10">
        <f t="shared" si="2882"/>
        <v>0</v>
      </c>
      <c r="AS222" s="10">
        <f t="shared" si="2882"/>
        <v>0</v>
      </c>
      <c r="AT222" s="10">
        <f t="shared" si="2882"/>
        <v>0</v>
      </c>
      <c r="AU222" s="10">
        <f t="shared" si="2882"/>
        <v>0</v>
      </c>
      <c r="AV222" s="10">
        <f t="shared" si="2882"/>
        <v>0</v>
      </c>
      <c r="AW222" s="10">
        <f t="shared" si="2882"/>
        <v>0</v>
      </c>
      <c r="AX222" s="10">
        <f t="shared" si="2882"/>
        <v>0</v>
      </c>
      <c r="AY222" s="10">
        <f t="shared" si="2882"/>
        <v>0</v>
      </c>
      <c r="AZ222" s="10">
        <f t="shared" si="2882"/>
        <v>0</v>
      </c>
      <c r="BA222" s="10">
        <f t="shared" si="2882"/>
        <v>0</v>
      </c>
      <c r="BB222" s="283">
        <f t="shared" si="2882"/>
        <v>0</v>
      </c>
    </row>
    <row r="223" spans="1:54" ht="15.75" thickBot="1">
      <c r="B223" s="492" t="s">
        <v>301</v>
      </c>
      <c r="C223" s="537"/>
      <c r="D223" s="493"/>
      <c r="E223" s="367" t="str">
        <f>IFERROR(E222/$C219,"-")</f>
        <v>-</v>
      </c>
      <c r="F223" s="367" t="str">
        <f>IFERROR(F222/$C219,"-")</f>
        <v>-</v>
      </c>
      <c r="G223" s="367" t="str">
        <f t="shared" ref="G223:BB223" si="2883">IFERROR(G222/$C219,"-")</f>
        <v>-</v>
      </c>
      <c r="H223" s="367" t="str">
        <f t="shared" si="2883"/>
        <v>-</v>
      </c>
      <c r="I223" s="367" t="str">
        <f t="shared" si="2883"/>
        <v>-</v>
      </c>
      <c r="J223" s="367" t="str">
        <f t="shared" si="2883"/>
        <v>-</v>
      </c>
      <c r="K223" s="367" t="str">
        <f t="shared" si="2883"/>
        <v>-</v>
      </c>
      <c r="L223" s="367" t="str">
        <f t="shared" si="2883"/>
        <v>-</v>
      </c>
      <c r="M223" s="367" t="str">
        <f t="shared" si="2883"/>
        <v>-</v>
      </c>
      <c r="N223" s="367" t="str">
        <f t="shared" si="2883"/>
        <v>-</v>
      </c>
      <c r="O223" s="367" t="str">
        <f t="shared" si="2883"/>
        <v>-</v>
      </c>
      <c r="P223" s="367" t="str">
        <f t="shared" si="2883"/>
        <v>-</v>
      </c>
      <c r="Q223" s="367" t="str">
        <f t="shared" si="2883"/>
        <v>-</v>
      </c>
      <c r="R223" s="367" t="str">
        <f t="shared" si="2883"/>
        <v>-</v>
      </c>
      <c r="S223" s="367" t="str">
        <f t="shared" si="2883"/>
        <v>-</v>
      </c>
      <c r="T223" s="367" t="str">
        <f t="shared" si="2883"/>
        <v>-</v>
      </c>
      <c r="U223" s="367" t="str">
        <f t="shared" si="2883"/>
        <v>-</v>
      </c>
      <c r="V223" s="367" t="str">
        <f t="shared" si="2883"/>
        <v>-</v>
      </c>
      <c r="W223" s="367" t="str">
        <f t="shared" si="2883"/>
        <v>-</v>
      </c>
      <c r="X223" s="367" t="str">
        <f t="shared" si="2883"/>
        <v>-</v>
      </c>
      <c r="Y223" s="367" t="str">
        <f t="shared" si="2883"/>
        <v>-</v>
      </c>
      <c r="Z223" s="367" t="str">
        <f t="shared" si="2883"/>
        <v>-</v>
      </c>
      <c r="AA223" s="367" t="str">
        <f t="shared" si="2883"/>
        <v>-</v>
      </c>
      <c r="AB223" s="367" t="str">
        <f t="shared" si="2883"/>
        <v>-</v>
      </c>
      <c r="AC223" s="367" t="str">
        <f t="shared" si="2883"/>
        <v>-</v>
      </c>
      <c r="AD223" s="367" t="str">
        <f t="shared" si="2883"/>
        <v>-</v>
      </c>
      <c r="AE223" s="367" t="str">
        <f t="shared" si="2883"/>
        <v>-</v>
      </c>
      <c r="AF223" s="367" t="str">
        <f t="shared" si="2883"/>
        <v>-</v>
      </c>
      <c r="AG223" s="367" t="str">
        <f t="shared" si="2883"/>
        <v>-</v>
      </c>
      <c r="AH223" s="367" t="str">
        <f t="shared" si="2883"/>
        <v>-</v>
      </c>
      <c r="AI223" s="367" t="str">
        <f t="shared" si="2883"/>
        <v>-</v>
      </c>
      <c r="AJ223" s="367" t="str">
        <f t="shared" si="2883"/>
        <v>-</v>
      </c>
      <c r="AK223" s="367" t="str">
        <f t="shared" si="2883"/>
        <v>-</v>
      </c>
      <c r="AL223" s="367" t="str">
        <f t="shared" si="2883"/>
        <v>-</v>
      </c>
      <c r="AM223" s="367" t="str">
        <f t="shared" si="2883"/>
        <v>-</v>
      </c>
      <c r="AN223" s="367" t="str">
        <f t="shared" si="2883"/>
        <v>-</v>
      </c>
      <c r="AO223" s="367" t="str">
        <f t="shared" si="2883"/>
        <v>-</v>
      </c>
      <c r="AP223" s="367" t="str">
        <f t="shared" si="2883"/>
        <v>-</v>
      </c>
      <c r="AQ223" s="367" t="str">
        <f t="shared" si="2883"/>
        <v>-</v>
      </c>
      <c r="AR223" s="367" t="str">
        <f t="shared" si="2883"/>
        <v>-</v>
      </c>
      <c r="AS223" s="367" t="str">
        <f t="shared" si="2883"/>
        <v>-</v>
      </c>
      <c r="AT223" s="367" t="str">
        <f t="shared" si="2883"/>
        <v>-</v>
      </c>
      <c r="AU223" s="367" t="str">
        <f t="shared" si="2883"/>
        <v>-</v>
      </c>
      <c r="AV223" s="367" t="str">
        <f t="shared" si="2883"/>
        <v>-</v>
      </c>
      <c r="AW223" s="367" t="str">
        <f t="shared" si="2883"/>
        <v>-</v>
      </c>
      <c r="AX223" s="367" t="str">
        <f t="shared" si="2883"/>
        <v>-</v>
      </c>
      <c r="AY223" s="367" t="str">
        <f t="shared" si="2883"/>
        <v>-</v>
      </c>
      <c r="AZ223" s="367" t="str">
        <f t="shared" si="2883"/>
        <v>-</v>
      </c>
      <c r="BA223" s="367" t="str">
        <f t="shared" si="2883"/>
        <v>-</v>
      </c>
      <c r="BB223" s="368" t="str">
        <f t="shared" si="2883"/>
        <v>-</v>
      </c>
    </row>
    <row r="225" spans="2:2">
      <c r="B225" s="135" t="s">
        <v>372</v>
      </c>
    </row>
  </sheetData>
  <sheetProtection algorithmName="SHA-512" hashValue="5eT075MkXi9xtn25dBwl9bH8MTVsDMX5/fZAOWaqbE6U3EBX+WmgF3gtjP8UxCIoBn/uQnxzf4BRENcc5epJcw==" saltValue="/IOlrfy/3HBB+ucxjaEfRg==" spinCount="100000" sheet="1" objects="1" scenarios="1" formatCells="0" formatColumns="0"/>
  <mergeCells count="160">
    <mergeCell ref="Q1:S3"/>
    <mergeCell ref="B46:D46"/>
    <mergeCell ref="B47:D47"/>
    <mergeCell ref="B17:D17"/>
    <mergeCell ref="B18:D18"/>
    <mergeCell ref="B19:D19"/>
    <mergeCell ref="B20:D20"/>
    <mergeCell ref="B22:C22"/>
    <mergeCell ref="B27:D27"/>
    <mergeCell ref="B29:C29"/>
    <mergeCell ref="B33:D33"/>
    <mergeCell ref="B45:D45"/>
    <mergeCell ref="B1:D3"/>
    <mergeCell ref="F1:L3"/>
    <mergeCell ref="B15:C15"/>
    <mergeCell ref="B8:C8"/>
    <mergeCell ref="B10:D10"/>
    <mergeCell ref="B11:D11"/>
    <mergeCell ref="B12:D12"/>
    <mergeCell ref="B13:D13"/>
    <mergeCell ref="N1:O3"/>
    <mergeCell ref="U1:V3"/>
    <mergeCell ref="B92:C92"/>
    <mergeCell ref="B94:D94"/>
    <mergeCell ref="B57:C57"/>
    <mergeCell ref="B59:D59"/>
    <mergeCell ref="B60:D60"/>
    <mergeCell ref="B61:D61"/>
    <mergeCell ref="B24:D24"/>
    <mergeCell ref="B43:C43"/>
    <mergeCell ref="B31:D31"/>
    <mergeCell ref="B32:D32"/>
    <mergeCell ref="B38:D38"/>
    <mergeCell ref="B34:D34"/>
    <mergeCell ref="B36:C36"/>
    <mergeCell ref="B25:D25"/>
    <mergeCell ref="B26:D26"/>
    <mergeCell ref="B50:C50"/>
    <mergeCell ref="B52:D52"/>
    <mergeCell ref="B53:D53"/>
    <mergeCell ref="B54:D54"/>
    <mergeCell ref="B55:D55"/>
    <mergeCell ref="B39:D39"/>
    <mergeCell ref="B40:D40"/>
    <mergeCell ref="B41:D41"/>
    <mergeCell ref="B85:C85"/>
    <mergeCell ref="B80:D80"/>
    <mergeCell ref="B81:D81"/>
    <mergeCell ref="B82:D82"/>
    <mergeCell ref="B83:D83"/>
    <mergeCell ref="B48:D48"/>
    <mergeCell ref="B62:D62"/>
    <mergeCell ref="B64:C64"/>
    <mergeCell ref="B66:D66"/>
    <mergeCell ref="B67:D67"/>
    <mergeCell ref="B68:D68"/>
    <mergeCell ref="B69:D69"/>
    <mergeCell ref="B71:C71"/>
    <mergeCell ref="B78:C78"/>
    <mergeCell ref="B73:D73"/>
    <mergeCell ref="B74:D74"/>
    <mergeCell ref="B75:D75"/>
    <mergeCell ref="B76:D76"/>
    <mergeCell ref="B169:C169"/>
    <mergeCell ref="B167:D167"/>
    <mergeCell ref="B171:D171"/>
    <mergeCell ref="B172:D172"/>
    <mergeCell ref="B173:D173"/>
    <mergeCell ref="B95:D95"/>
    <mergeCell ref="B96:D96"/>
    <mergeCell ref="B97:D97"/>
    <mergeCell ref="B99:C99"/>
    <mergeCell ref="B145:D145"/>
    <mergeCell ref="B146:D146"/>
    <mergeCell ref="B148:C148"/>
    <mergeCell ref="B150:D150"/>
    <mergeCell ref="B127:C127"/>
    <mergeCell ref="B131:D131"/>
    <mergeCell ref="B132:D132"/>
    <mergeCell ref="B134:C134"/>
    <mergeCell ref="B136:D136"/>
    <mergeCell ref="B122:D122"/>
    <mergeCell ref="B123:D123"/>
    <mergeCell ref="B162:C162"/>
    <mergeCell ref="B151:D151"/>
    <mergeCell ref="B152:D152"/>
    <mergeCell ref="B153:D153"/>
    <mergeCell ref="B157:D157"/>
    <mergeCell ref="B164:D164"/>
    <mergeCell ref="B165:D165"/>
    <mergeCell ref="B166:D166"/>
    <mergeCell ref="B87:D87"/>
    <mergeCell ref="B88:D88"/>
    <mergeCell ref="B89:D89"/>
    <mergeCell ref="B90:D90"/>
    <mergeCell ref="B124:D124"/>
    <mergeCell ref="B125:D125"/>
    <mergeCell ref="B129:D129"/>
    <mergeCell ref="B130:D130"/>
    <mergeCell ref="B101:D101"/>
    <mergeCell ref="B102:D102"/>
    <mergeCell ref="B103:D103"/>
    <mergeCell ref="B104:D104"/>
    <mergeCell ref="B106:C106"/>
    <mergeCell ref="B108:D108"/>
    <mergeCell ref="B120:C120"/>
    <mergeCell ref="B115:D115"/>
    <mergeCell ref="B116:D116"/>
    <mergeCell ref="B117:D117"/>
    <mergeCell ref="B118:D118"/>
    <mergeCell ref="B113:C113"/>
    <mergeCell ref="B109:D109"/>
    <mergeCell ref="B110:D110"/>
    <mergeCell ref="B111:D111"/>
    <mergeCell ref="B137:D137"/>
    <mergeCell ref="B138:D138"/>
    <mergeCell ref="B139:D139"/>
    <mergeCell ref="B141:C141"/>
    <mergeCell ref="B143:D143"/>
    <mergeCell ref="B144:D144"/>
    <mergeCell ref="B158:D158"/>
    <mergeCell ref="B159:D159"/>
    <mergeCell ref="B160:D160"/>
    <mergeCell ref="B155:C155"/>
    <mergeCell ref="B223:D223"/>
    <mergeCell ref="B209:D209"/>
    <mergeCell ref="B211:C211"/>
    <mergeCell ref="B213:D213"/>
    <mergeCell ref="B214:D214"/>
    <mergeCell ref="B215:D215"/>
    <mergeCell ref="B216:D216"/>
    <mergeCell ref="B201:D201"/>
    <mergeCell ref="B202:D202"/>
    <mergeCell ref="B204:C204"/>
    <mergeCell ref="B206:D206"/>
    <mergeCell ref="B207:D207"/>
    <mergeCell ref="B208:D208"/>
    <mergeCell ref="B218:C218"/>
    <mergeCell ref="B220:D220"/>
    <mergeCell ref="B221:D221"/>
    <mergeCell ref="B222:D222"/>
    <mergeCell ref="B193:D193"/>
    <mergeCell ref="B194:D194"/>
    <mergeCell ref="B195:D195"/>
    <mergeCell ref="B197:C197"/>
    <mergeCell ref="B199:D199"/>
    <mergeCell ref="B200:D200"/>
    <mergeCell ref="B174:D174"/>
    <mergeCell ref="B176:C176"/>
    <mergeCell ref="B178:D178"/>
    <mergeCell ref="B179:D179"/>
    <mergeCell ref="B180:D180"/>
    <mergeCell ref="B181:D181"/>
    <mergeCell ref="B192:D192"/>
    <mergeCell ref="B183:C183"/>
    <mergeCell ref="B185:D185"/>
    <mergeCell ref="B186:D186"/>
    <mergeCell ref="B187:D187"/>
    <mergeCell ref="B188:D188"/>
    <mergeCell ref="B190:C190"/>
  </mergeCells>
  <dataValidations count="11">
    <dataValidation allowBlank="1" showInputMessage="1" showErrorMessage="1" promptTitle="Beschreibung der Wohneinheit" prompt="Wie möchtest du diese Wohneinheit nennen? Bspw. eine Kombination aus Nummerierung, Lage im Haus und Name des Mieters." sqref="B15 B22 B29 B36 B43 B50 B57 B64 B71 B78 B85 B92 B99 B106 B113 B120 B127 B134 B141 B148 B155 B162 B169 B176 B183 B190 B197 B204 B211 B218" xr:uid="{00000000-0002-0000-0700-000000000000}"/>
    <dataValidation type="decimal" allowBlank="1" showInputMessage="1" showErrorMessage="1" errorTitle="Nettokaltmiete vor Erhöhung" error="Bitte gib die Miete in Euro als Zahl zwischen 0 und 999.999 ein." promptTitle="Nettokaltmiete vor Erhöhung" prompt="Mit welcher Nettokaltmiete startet diese Wohneinheit in dein Projekt?" sqref="E17 E24 E31 E38 E45 E213 E52 E59 E66 E73 E80 E87 E94 E101 E108 E115 E122 E129 E136 E143 E150 E157 E164 E171 E178 E185 E192 E199 E206 E220" xr:uid="{00000000-0002-0000-0700-000001000000}">
      <formula1>0</formula1>
      <formula2>999999</formula2>
    </dataValidation>
    <dataValidation type="decimal" allowBlank="1" showInputMessage="1" showErrorMessage="1" errorTitle="Geplante Mieterhöhung" error="Bitte gib die Mieterhöhung in % ein (-100% bis 9999%)." promptTitle="Geplante Mieterhöhung" prompt="Mit welcher Mieterhöhung möchtest du für dieses Jahr planen? Die Mieterhöhung wird rechnerisch am 1. Januar des Jahres vorgenommen._x000a__x000a_Bitte gib die Mieterhöhung in % ein (-100% bis 9999%)." sqref="E18:BB18 E25:BB25 E32:BB32 E39:BB39 E46:BB46 E53:BB53 E60:BB60 E67:BB67 E74:BB74 E81:BB81 E88:BB88 E95:BB95 E102:BB102 E109:BB109 E116:BB116 E123:BB123 E130:BB130 E137:BB137 E144:BB144 E151:BB151 E158:BB158 E165:BB165 E172:BB172 E179:BB179 E186:BB186 E193:BB193 E200:BB200 E207:BB207 E214:BB214 E221:BB221" xr:uid="{00000000-0002-0000-0700-000002000000}">
      <formula1>-1</formula1>
      <formula2>999</formula2>
    </dataValidation>
    <dataValidation allowBlank="1" showInputMessage="1" showErrorMessage="1" promptTitle="Nettokaltmiete" prompt="Diese Nettokaltmiete ergibt sich nach der geplanten Mieterhöhung." sqref="B19:B20 C19:D19 B26:B27 C26:D26 B33:B34 C33:D33 B40:B41 C40:D40 B47:B48 C47:D47 B54:B55 C54:D54 B61:B62 C61:D61 B68:B69 C68:D68 B75:B76 C75:D75 B82:B83 C82:D82 B89:B90 C89:D89 B96:B97 C96:D96 B103:B104 C103:D103 B110:B111 C110:D110 B117:B118 C117:D117 B124:B125 C124:D124 B131:B132 C131:D131 B138:B139 C138:D138 B145:B146 C145:D145 B152:B153 C152:D152 B159:B160 C159:D159 B166:B167 C166:D166 B173:B174 C173:D173 B180:B181 C180:D180 B187:B188 C187:D187 B194:B195 C194:D194 B201:B202 C201:D201 B208:B209 C208:D208 B215:B216 C215:D215 B222:B223 C222:D222 B12:BB12" xr:uid="{00000000-0002-0000-0700-000003000000}"/>
    <dataValidation allowBlank="1" showInputMessage="1" showErrorMessage="1" promptTitle="Geplante Mieterhöhung" prompt="Mit welcher Mieterhöhung möchtest du für dieses Jahr planen? Die Mieterhöhung wird rechnerisch am 1. Januar des Jahres vorgenommen." sqref="B18:D18 B25:D25 B32:D32 B39:D39 B46:D46 B53:D53 B60:D60 B67:D67 B74:D74 B81:D81 B88:D88 B95:D95 B102:D102 B109:D109 B116:D116 B123:D123 B130:D130 B137:D137 B144:D144 B151:D151 B158:D158 B165:D165 B172:D172 B179:D179 B186:D186 B193:D193 B200:D200 B207:D207 B214:D214 B221:D221" xr:uid="{00000000-0002-0000-0700-000004000000}"/>
    <dataValidation allowBlank="1" showInputMessage="1" showErrorMessage="1" promptTitle="Nettokaltmiete vor Erhöhung" prompt="Mit welcher Nettokaltmiete startet diese Wohneinheit in das jeweilige Jahr (vor einer Mieterhöhung zum 1. Januar)?" sqref="B17:D17 B24:D24 B31:D31 B38:D38 B45:D45 B52:D52 B59:D59 B66:D66 B73:D73 B80:D80 B87:D87 B94:D94 B101:D101 B108:D108 B115:D115 B122:D122 B129:D129 B136:D136 B143:D143 B150:D150 B157:D157 B164:D164 B171:D171 B178:D178 B185:D185 B192:D192 B199:D199 B206:D206 B213:D213 B220:D220 B10:BB10" xr:uid="{00000000-0002-0000-0700-000005000000}"/>
    <dataValidation type="decimal" allowBlank="1" showInputMessage="1" showErrorMessage="1" errorTitle="Wohnfläche" error="Bitte gib die Wohnfläche in Quadratmerern als Zahl zwischen 0 und 9999 ein." promptTitle="Wohnfläche" prompt="Wie viel Quadratmeter Wohnfläche hat diese Wohneinheit?_x000a__x000a_Bitte gib die Wohnfläche in Quadratmerern als Zahl zwischen 0 und 9999 ein." sqref="C16 C23 C30 C37 C44 C51 C58 C65 C72 C79 C86 C93 C100 C107 C114 C121 C128 C135 C142 C149 C156 C163 C170 C177 C184 C191 C198 C205 C212 C219" xr:uid="{00000000-0002-0000-0700-000006000000}">
      <formula1>0</formula1>
      <formula2>9999</formula2>
    </dataValidation>
    <dataValidation type="list" showInputMessage="1" showErrorMessage="1" promptTitle="MFH-Kalkulator einschalten" prompt="Nur, wenn du hier auf &quot;Ein&quot; schaltest, werden die Daten aus diesem Tabellenblatt im übrigen Tool berücksichtigt. Solange du eine einzelne Wohnung / Wohneinheit kalkulierst, lasse den Mehrfamilienhaus-Rechner ausgeschaltet." sqref="C6" xr:uid="{00000000-0002-0000-0700-000007000000}">
      <formula1>"Ein,Aus"</formula1>
    </dataValidation>
    <dataValidation allowBlank="1" showInputMessage="1" showErrorMessage="1" promptTitle="Summe aller Einheiten" prompt="In diesem Bereich findest du die Summe aller Wohneinheiten. Mit diesen Daten wird im übrigen Tool weitergerechnet." sqref="B8:C8" xr:uid="{00000000-0002-0000-0700-000008000000}"/>
    <dataValidation allowBlank="1" showInputMessage="1" showErrorMessage="1" promptTitle="Geplante Mieterhöhung" prompt="Diese Mieterhöhung ergibt sich in Summe (bzw. im Durchschnitt) über alle geplanten Wohneinheiten." sqref="B11:BB11" xr:uid="{00000000-0002-0000-0700-000009000000}"/>
    <dataValidation allowBlank="1" showInputMessage="1" showErrorMessage="1" promptTitle="Nettokaltmiete pro qm" prompt="Diese Nettokaltmiete ergibt sich nach der geplanten Mieterhöhung pro qm Wohnfläche." sqref="B13:BB13" xr:uid="{00000000-0002-0000-0700-00000A000000}"/>
  </dataValidations>
  <hyperlinks>
    <hyperlink ref="B1:B3" location="Rendite!A1" display="Zurück zum Cockpit" xr:uid="{00000000-0004-0000-0700-000000000000}"/>
    <hyperlink ref="B1:D3" location="Cockpit!A1" display="zurück zum Cockpit" xr:uid="{00000000-0004-0000-0700-000001000000}"/>
    <hyperlink ref="B225" location="Deckblatt!A1" display="Keine Gewähr für die Richtigkeit der Angaben. Dieses Tool ersetzt keine fundierte Rechts-, Steuer- oder Finanzberatung. Mehr Details hier." xr:uid="{00000000-0004-0000-0700-000002000000}"/>
  </hyperlinks>
  <pageMargins left="0.23622047244094491" right="0.23622047244094491" top="0.74803149606299213" bottom="0.74803149606299213" header="0.31496062992125984" footer="0.31496062992125984"/>
  <pageSetup paperSize="9" scale="71" fitToWidth="0" fitToHeight="5" orientation="landscape" r:id="rId1"/>
  <rowBreaks count="2" manualBreakCount="2">
    <brk id="133" max="54" man="1"/>
    <brk id="175" max="5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U241"/>
  <sheetViews>
    <sheetView showGridLines="0" showRowColHeaders="0" zoomScaleNormal="100" workbookViewId="0">
      <pane ySplit="7" topLeftCell="A8" activePane="bottomLeft" state="frozenSplit"/>
      <selection pane="bottomLeft" activeCell="B8" sqref="B8:K14"/>
    </sheetView>
  </sheetViews>
  <sheetFormatPr baseColWidth="10" defaultColWidth="9.140625" defaultRowHeight="12.75"/>
  <cols>
    <col min="1" max="1" width="4.28515625" style="14" customWidth="1"/>
    <col min="2" max="2" width="73.28515625" style="1" customWidth="1"/>
    <col min="3" max="3" width="17.7109375" style="1" customWidth="1"/>
    <col min="4" max="4" width="11.85546875" style="5" customWidth="1"/>
    <col min="5" max="5" width="10.7109375" style="5" customWidth="1"/>
    <col min="6" max="6" width="17.42578125" style="1" customWidth="1"/>
    <col min="7" max="7" width="10.42578125" style="1" customWidth="1"/>
    <col min="8" max="9" width="10.42578125" style="5" customWidth="1"/>
    <col min="10" max="10" width="22.85546875" style="5" customWidth="1"/>
    <col min="11" max="11" width="16.85546875" style="5" customWidth="1"/>
    <col min="12" max="12" width="4.7109375" style="5" customWidth="1"/>
    <col min="13" max="16384" width="9.140625" style="5"/>
  </cols>
  <sheetData>
    <row r="1" spans="1:21" s="150" customFormat="1" ht="12.75" customHeight="1">
      <c r="B1" s="471" t="s">
        <v>351</v>
      </c>
      <c r="C1" s="472" t="s">
        <v>349</v>
      </c>
      <c r="D1" s="472"/>
      <c r="E1" s="472"/>
      <c r="F1" s="472"/>
      <c r="H1" s="238"/>
      <c r="K1" s="471"/>
      <c r="L1" s="471"/>
      <c r="M1" s="237"/>
      <c r="N1" s="471"/>
      <c r="O1" s="471"/>
      <c r="P1" s="237"/>
      <c r="Q1" s="471"/>
      <c r="R1" s="471"/>
      <c r="T1" s="471"/>
      <c r="U1" s="428"/>
    </row>
    <row r="2" spans="1:21" s="150" customFormat="1" ht="15" customHeight="1">
      <c r="B2" s="471"/>
      <c r="C2" s="472"/>
      <c r="D2" s="472"/>
      <c r="E2" s="472"/>
      <c r="F2" s="472"/>
      <c r="H2" s="238"/>
      <c r="K2" s="471"/>
      <c r="L2" s="471"/>
      <c r="M2" s="237"/>
      <c r="N2" s="471"/>
      <c r="O2" s="471"/>
      <c r="P2" s="237"/>
      <c r="Q2" s="471"/>
      <c r="R2" s="471"/>
      <c r="T2" s="471"/>
      <c r="U2" s="428"/>
    </row>
    <row r="3" spans="1:21" s="150" customFormat="1" ht="12.75" customHeight="1">
      <c r="B3" s="471"/>
      <c r="C3" s="472"/>
      <c r="D3" s="472"/>
      <c r="E3" s="472"/>
      <c r="F3" s="472"/>
      <c r="H3" s="238"/>
      <c r="K3" s="471"/>
      <c r="L3" s="471"/>
      <c r="M3" s="237"/>
      <c r="N3" s="471"/>
      <c r="O3" s="471"/>
      <c r="P3" s="237"/>
      <c r="Q3" s="471"/>
      <c r="R3" s="471"/>
      <c r="T3" s="471"/>
      <c r="U3" s="428"/>
    </row>
    <row r="4" spans="1:21" s="6" customFormat="1" ht="18.75" customHeight="1">
      <c r="M4" s="5"/>
      <c r="N4" s="5"/>
      <c r="O4" s="5"/>
      <c r="P4" s="5"/>
    </row>
    <row r="5" spans="1:21" ht="15.75" customHeight="1" thickBot="1">
      <c r="A5" s="372" t="s">
        <v>238</v>
      </c>
      <c r="B5" s="371" t="s">
        <v>237</v>
      </c>
      <c r="C5" s="13"/>
      <c r="E5" s="6"/>
      <c r="F5" s="5"/>
      <c r="G5" s="5"/>
    </row>
    <row r="6" spans="1:21" ht="26.25" customHeight="1" thickBot="1">
      <c r="A6" s="373"/>
      <c r="B6" s="374" t="s">
        <v>213</v>
      </c>
      <c r="C6" s="375" t="s">
        <v>214</v>
      </c>
      <c r="D6" s="375" t="s">
        <v>215</v>
      </c>
      <c r="E6" s="375" t="s">
        <v>240</v>
      </c>
      <c r="F6" s="376" t="s">
        <v>239</v>
      </c>
      <c r="G6" s="376" t="s">
        <v>241</v>
      </c>
      <c r="H6" s="376" t="s">
        <v>216</v>
      </c>
      <c r="I6" s="376" t="s">
        <v>217</v>
      </c>
      <c r="J6" s="548" t="s">
        <v>148</v>
      </c>
      <c r="K6" s="549"/>
    </row>
    <row r="7" spans="1:21" s="6" customFormat="1" ht="10.5" customHeight="1">
      <c r="A7" s="15" t="s">
        <v>236</v>
      </c>
    </row>
    <row r="8" spans="1:21" s="6" customFormat="1" ht="15" customHeight="1">
      <c r="A8" s="15"/>
      <c r="B8" s="559" t="s">
        <v>382</v>
      </c>
      <c r="C8" s="559"/>
      <c r="D8" s="559"/>
      <c r="E8" s="559"/>
      <c r="F8" s="559"/>
      <c r="G8" s="559"/>
      <c r="H8" s="559"/>
      <c r="I8" s="559"/>
      <c r="J8" s="559"/>
      <c r="K8" s="559"/>
    </row>
    <row r="9" spans="1:21" s="6" customFormat="1" ht="10.5" customHeight="1">
      <c r="A9" s="15"/>
      <c r="B9" s="559"/>
      <c r="C9" s="559"/>
      <c r="D9" s="559"/>
      <c r="E9" s="559"/>
      <c r="F9" s="559"/>
      <c r="G9" s="559"/>
      <c r="H9" s="559"/>
      <c r="I9" s="559"/>
      <c r="J9" s="559"/>
      <c r="K9" s="559"/>
    </row>
    <row r="10" spans="1:21" s="6" customFormat="1" ht="10.5" customHeight="1">
      <c r="A10" s="15"/>
      <c r="B10" s="559"/>
      <c r="C10" s="559"/>
      <c r="D10" s="559"/>
      <c r="E10" s="559"/>
      <c r="F10" s="559"/>
      <c r="G10" s="559"/>
      <c r="H10" s="559"/>
      <c r="I10" s="559"/>
      <c r="J10" s="559"/>
      <c r="K10" s="559"/>
    </row>
    <row r="11" spans="1:21" s="6" customFormat="1" ht="10.5" customHeight="1">
      <c r="A11" s="15"/>
      <c r="B11" s="559"/>
      <c r="C11" s="559"/>
      <c r="D11" s="559"/>
      <c r="E11" s="559"/>
      <c r="F11" s="559"/>
      <c r="G11" s="559"/>
      <c r="H11" s="559"/>
      <c r="I11" s="559"/>
      <c r="J11" s="559"/>
      <c r="K11" s="559"/>
    </row>
    <row r="12" spans="1:21" s="6" customFormat="1" ht="10.5" customHeight="1">
      <c r="A12" s="15"/>
      <c r="B12" s="559"/>
      <c r="C12" s="559"/>
      <c r="D12" s="559"/>
      <c r="E12" s="559"/>
      <c r="F12" s="559"/>
      <c r="G12" s="559"/>
      <c r="H12" s="559"/>
      <c r="I12" s="559"/>
      <c r="J12" s="559"/>
      <c r="K12" s="559"/>
    </row>
    <row r="13" spans="1:21" s="6" customFormat="1" ht="10.5" customHeight="1">
      <c r="A13" s="15"/>
      <c r="B13" s="559"/>
      <c r="C13" s="559"/>
      <c r="D13" s="559"/>
      <c r="E13" s="559"/>
      <c r="F13" s="559"/>
      <c r="G13" s="559"/>
      <c r="H13" s="559"/>
      <c r="I13" s="559"/>
      <c r="J13" s="559"/>
      <c r="K13" s="559"/>
    </row>
    <row r="14" spans="1:21" s="6" customFormat="1" ht="10.5" customHeight="1">
      <c r="A14" s="15"/>
      <c r="B14" s="559"/>
      <c r="C14" s="559"/>
      <c r="D14" s="559"/>
      <c r="E14" s="559"/>
      <c r="F14" s="559"/>
      <c r="G14" s="559"/>
      <c r="H14" s="559"/>
      <c r="I14" s="559"/>
      <c r="J14" s="559"/>
      <c r="K14" s="559"/>
    </row>
    <row r="15" spans="1:21" s="6" customFormat="1" ht="10.5" customHeight="1" thickBot="1">
      <c r="A15" s="15"/>
    </row>
    <row r="16" spans="1:21" ht="13.5" thickBot="1">
      <c r="A16" s="14" t="str">
        <f>IF(COUNTIF(A17:A31,"Nur Tätigkeiten mit geplantem Aufwand")&gt;0,"Nur Tätigkeiten mit geplantem Aufwand","")</f>
        <v>Nur Tätigkeiten mit geplantem Aufwand</v>
      </c>
      <c r="B16" s="379" t="s">
        <v>235</v>
      </c>
      <c r="C16" s="380"/>
      <c r="D16" s="380"/>
      <c r="E16" s="380"/>
      <c r="F16" s="380"/>
      <c r="G16" s="381">
        <f>SUM(G17:G31)</f>
        <v>5810</v>
      </c>
      <c r="H16" s="381">
        <f>SUM(H17:H31)</f>
        <v>4887</v>
      </c>
      <c r="I16" s="381">
        <f>SUM(I17:I31)</f>
        <v>6733</v>
      </c>
      <c r="J16" s="550"/>
      <c r="K16" s="551"/>
    </row>
    <row r="17" spans="1:11">
      <c r="A17" s="14" t="str">
        <f t="shared" ref="A17:A31" si="0">IF(OR(H17&gt;0,I17&gt;0),"Nur Tätigkeiten mit geplantem Aufwand","")</f>
        <v>Nur Tätigkeiten mit geplantem Aufwand</v>
      </c>
      <c r="B17" s="230" t="s">
        <v>218</v>
      </c>
      <c r="C17" s="382" t="s">
        <v>219</v>
      </c>
      <c r="D17" s="383">
        <v>11.399999999999999</v>
      </c>
      <c r="E17" s="384">
        <v>30</v>
      </c>
      <c r="F17" s="385">
        <v>150</v>
      </c>
      <c r="G17" s="377">
        <f t="shared" ref="G17:G18" si="1">D17*F17</f>
        <v>1709.9999999999998</v>
      </c>
      <c r="H17" s="377">
        <f t="shared" ref="H17:H18" si="2">G17*(100-E17)/100</f>
        <v>1196.9999999999998</v>
      </c>
      <c r="I17" s="377">
        <f t="shared" ref="I17:I18" si="3">G17*(100+E17)/100</f>
        <v>2222.9999999999995</v>
      </c>
      <c r="J17" s="552"/>
      <c r="K17" s="553"/>
    </row>
    <row r="18" spans="1:11">
      <c r="A18" s="14" t="str">
        <f t="shared" si="0"/>
        <v>Nur Tätigkeiten mit geplantem Aufwand</v>
      </c>
      <c r="B18" s="231" t="s">
        <v>220</v>
      </c>
      <c r="C18" s="386" t="s">
        <v>219</v>
      </c>
      <c r="D18" s="387">
        <v>20.5</v>
      </c>
      <c r="E18" s="388">
        <v>10</v>
      </c>
      <c r="F18" s="389">
        <v>200</v>
      </c>
      <c r="G18" s="17">
        <f t="shared" si="1"/>
        <v>4100</v>
      </c>
      <c r="H18" s="17">
        <f t="shared" si="2"/>
        <v>3690</v>
      </c>
      <c r="I18" s="17">
        <f t="shared" si="3"/>
        <v>4510</v>
      </c>
      <c r="J18" s="546"/>
      <c r="K18" s="547"/>
    </row>
    <row r="19" spans="1:11">
      <c r="A19" s="14" t="str">
        <f t="shared" si="0"/>
        <v/>
      </c>
      <c r="B19" s="231"/>
      <c r="C19" s="386"/>
      <c r="D19" s="387"/>
      <c r="E19" s="388"/>
      <c r="F19" s="389"/>
      <c r="G19" s="17">
        <f t="shared" ref="G19" si="4">D19*F19</f>
        <v>0</v>
      </c>
      <c r="H19" s="17">
        <f t="shared" ref="H19" si="5">G19*(100-E19)/100</f>
        <v>0</v>
      </c>
      <c r="I19" s="17">
        <f t="shared" ref="I19" si="6">G19*(100+E19)/100</f>
        <v>0</v>
      </c>
      <c r="J19" s="554"/>
      <c r="K19" s="555"/>
    </row>
    <row r="20" spans="1:11">
      <c r="A20" s="14" t="str">
        <f t="shared" si="0"/>
        <v/>
      </c>
      <c r="B20" s="231"/>
      <c r="C20" s="386"/>
      <c r="D20" s="387"/>
      <c r="E20" s="388"/>
      <c r="F20" s="389"/>
      <c r="G20" s="17">
        <f t="shared" ref="G20:G31" si="7">D20*F20</f>
        <v>0</v>
      </c>
      <c r="H20" s="17">
        <f t="shared" ref="H20:H31" si="8">G20*(100-E20)/100</f>
        <v>0</v>
      </c>
      <c r="I20" s="17">
        <f t="shared" ref="I20:I31" si="9">G20*(100+E20)/100</f>
        <v>0</v>
      </c>
      <c r="J20" s="546"/>
      <c r="K20" s="547"/>
    </row>
    <row r="21" spans="1:11">
      <c r="A21" s="14" t="str">
        <f t="shared" si="0"/>
        <v/>
      </c>
      <c r="B21" s="231"/>
      <c r="C21" s="386"/>
      <c r="D21" s="387"/>
      <c r="E21" s="388"/>
      <c r="F21" s="389"/>
      <c r="G21" s="17">
        <f t="shared" si="7"/>
        <v>0</v>
      </c>
      <c r="H21" s="17">
        <f t="shared" si="8"/>
        <v>0</v>
      </c>
      <c r="I21" s="17">
        <f t="shared" si="9"/>
        <v>0</v>
      </c>
      <c r="J21" s="546"/>
      <c r="K21" s="547"/>
    </row>
    <row r="22" spans="1:11">
      <c r="A22" s="14" t="str">
        <f t="shared" si="0"/>
        <v/>
      </c>
      <c r="B22" s="231"/>
      <c r="C22" s="386"/>
      <c r="D22" s="387"/>
      <c r="E22" s="388"/>
      <c r="F22" s="389"/>
      <c r="G22" s="17">
        <f t="shared" si="7"/>
        <v>0</v>
      </c>
      <c r="H22" s="17">
        <f t="shared" si="8"/>
        <v>0</v>
      </c>
      <c r="I22" s="17">
        <f t="shared" si="9"/>
        <v>0</v>
      </c>
      <c r="J22" s="546"/>
      <c r="K22" s="547"/>
    </row>
    <row r="23" spans="1:11">
      <c r="A23" s="14" t="str">
        <f t="shared" si="0"/>
        <v/>
      </c>
      <c r="B23" s="231"/>
      <c r="C23" s="386"/>
      <c r="D23" s="387"/>
      <c r="E23" s="388"/>
      <c r="F23" s="389"/>
      <c r="G23" s="17">
        <f t="shared" si="7"/>
        <v>0</v>
      </c>
      <c r="H23" s="17">
        <f t="shared" si="8"/>
        <v>0</v>
      </c>
      <c r="I23" s="17">
        <f t="shared" si="9"/>
        <v>0</v>
      </c>
      <c r="J23" s="546"/>
      <c r="K23" s="547"/>
    </row>
    <row r="24" spans="1:11">
      <c r="A24" s="14" t="str">
        <f t="shared" si="0"/>
        <v/>
      </c>
      <c r="B24" s="231"/>
      <c r="C24" s="386"/>
      <c r="D24" s="387"/>
      <c r="E24" s="388"/>
      <c r="F24" s="389"/>
      <c r="G24" s="17">
        <f t="shared" si="7"/>
        <v>0</v>
      </c>
      <c r="H24" s="17">
        <f t="shared" si="8"/>
        <v>0</v>
      </c>
      <c r="I24" s="17">
        <f t="shared" si="9"/>
        <v>0</v>
      </c>
      <c r="J24" s="546"/>
      <c r="K24" s="547"/>
    </row>
    <row r="25" spans="1:11">
      <c r="A25" s="14" t="str">
        <f t="shared" si="0"/>
        <v/>
      </c>
      <c r="B25" s="231"/>
      <c r="C25" s="386"/>
      <c r="D25" s="387"/>
      <c r="E25" s="388"/>
      <c r="F25" s="389"/>
      <c r="G25" s="17">
        <f t="shared" si="7"/>
        <v>0</v>
      </c>
      <c r="H25" s="17">
        <f t="shared" si="8"/>
        <v>0</v>
      </c>
      <c r="I25" s="17">
        <f t="shared" si="9"/>
        <v>0</v>
      </c>
      <c r="J25" s="546"/>
      <c r="K25" s="547"/>
    </row>
    <row r="26" spans="1:11">
      <c r="A26" s="14" t="str">
        <f t="shared" si="0"/>
        <v/>
      </c>
      <c r="B26" s="231"/>
      <c r="C26" s="386"/>
      <c r="D26" s="387"/>
      <c r="E26" s="388"/>
      <c r="F26" s="389"/>
      <c r="G26" s="17">
        <f t="shared" si="7"/>
        <v>0</v>
      </c>
      <c r="H26" s="17">
        <f t="shared" si="8"/>
        <v>0</v>
      </c>
      <c r="I26" s="17">
        <f t="shared" si="9"/>
        <v>0</v>
      </c>
      <c r="J26" s="546"/>
      <c r="K26" s="547"/>
    </row>
    <row r="27" spans="1:11">
      <c r="A27" s="14" t="str">
        <f t="shared" si="0"/>
        <v/>
      </c>
      <c r="B27" s="231"/>
      <c r="C27" s="386"/>
      <c r="D27" s="387"/>
      <c r="E27" s="388"/>
      <c r="F27" s="389"/>
      <c r="G27" s="17">
        <f t="shared" si="7"/>
        <v>0</v>
      </c>
      <c r="H27" s="17">
        <f t="shared" si="8"/>
        <v>0</v>
      </c>
      <c r="I27" s="17">
        <f t="shared" si="9"/>
        <v>0</v>
      </c>
      <c r="J27" s="546"/>
      <c r="K27" s="547"/>
    </row>
    <row r="28" spans="1:11">
      <c r="A28" s="14" t="str">
        <f t="shared" si="0"/>
        <v/>
      </c>
      <c r="B28" s="231"/>
      <c r="C28" s="386"/>
      <c r="D28" s="387"/>
      <c r="E28" s="388"/>
      <c r="F28" s="389"/>
      <c r="G28" s="17">
        <f t="shared" si="7"/>
        <v>0</v>
      </c>
      <c r="H28" s="17">
        <f t="shared" si="8"/>
        <v>0</v>
      </c>
      <c r="I28" s="17">
        <f t="shared" si="9"/>
        <v>0</v>
      </c>
      <c r="J28" s="546"/>
      <c r="K28" s="547"/>
    </row>
    <row r="29" spans="1:11">
      <c r="A29" s="14" t="str">
        <f t="shared" si="0"/>
        <v/>
      </c>
      <c r="B29" s="231"/>
      <c r="C29" s="386"/>
      <c r="D29" s="387"/>
      <c r="E29" s="388"/>
      <c r="F29" s="389"/>
      <c r="G29" s="17">
        <f t="shared" si="7"/>
        <v>0</v>
      </c>
      <c r="H29" s="17">
        <f t="shared" si="8"/>
        <v>0</v>
      </c>
      <c r="I29" s="17">
        <f t="shared" si="9"/>
        <v>0</v>
      </c>
      <c r="J29" s="546"/>
      <c r="K29" s="547"/>
    </row>
    <row r="30" spans="1:11">
      <c r="A30" s="14" t="str">
        <f t="shared" si="0"/>
        <v/>
      </c>
      <c r="B30" s="231"/>
      <c r="C30" s="386"/>
      <c r="D30" s="387"/>
      <c r="E30" s="388"/>
      <c r="F30" s="389"/>
      <c r="G30" s="17">
        <f t="shared" si="7"/>
        <v>0</v>
      </c>
      <c r="H30" s="17">
        <f t="shared" si="8"/>
        <v>0</v>
      </c>
      <c r="I30" s="17">
        <f t="shared" si="9"/>
        <v>0</v>
      </c>
      <c r="J30" s="546"/>
      <c r="K30" s="547"/>
    </row>
    <row r="31" spans="1:11" ht="13.5" thickBot="1">
      <c r="A31" s="14" t="str">
        <f t="shared" si="0"/>
        <v/>
      </c>
      <c r="B31" s="390"/>
      <c r="C31" s="391"/>
      <c r="D31" s="392"/>
      <c r="E31" s="393"/>
      <c r="F31" s="394"/>
      <c r="G31" s="378">
        <f t="shared" si="7"/>
        <v>0</v>
      </c>
      <c r="H31" s="378">
        <f t="shared" si="8"/>
        <v>0</v>
      </c>
      <c r="I31" s="378">
        <f t="shared" si="9"/>
        <v>0</v>
      </c>
      <c r="J31" s="556"/>
      <c r="K31" s="557"/>
    </row>
    <row r="32" spans="1:11" ht="13.5" thickBot="1">
      <c r="A32" s="14" t="str">
        <f>IF(COUNTIF(A34:A48,"Nur Tätigkeiten mit geplantem Aufwand")&gt;0,"Nur Tätigkeiten mit geplantem Aufwand","")</f>
        <v/>
      </c>
      <c r="B32" s="405"/>
      <c r="C32" s="405"/>
      <c r="D32" s="405"/>
      <c r="E32" s="405"/>
      <c r="F32" s="405"/>
      <c r="G32" s="405"/>
      <c r="H32" s="405"/>
      <c r="I32" s="405"/>
      <c r="J32" s="558"/>
      <c r="K32" s="558"/>
    </row>
    <row r="33" spans="1:11" ht="13.5" thickBot="1">
      <c r="A33" s="14" t="str">
        <f>IF(COUNTIF(A34:A48,"Nur Tätigkeiten mit geplantem Aufwand")&gt;0,"Nur Tätigkeiten mit geplantem Aufwand","")</f>
        <v/>
      </c>
      <c r="B33" s="379" t="s">
        <v>229</v>
      </c>
      <c r="C33" s="380"/>
      <c r="D33" s="380"/>
      <c r="E33" s="380"/>
      <c r="F33" s="380"/>
      <c r="G33" s="381">
        <f>SUM(G34:G48)</f>
        <v>0</v>
      </c>
      <c r="H33" s="381">
        <f>SUM(H34:H48)</f>
        <v>0</v>
      </c>
      <c r="I33" s="381">
        <f>SUM(I34:I48)</f>
        <v>0</v>
      </c>
      <c r="J33" s="550"/>
      <c r="K33" s="551"/>
    </row>
    <row r="34" spans="1:11">
      <c r="A34" s="14" t="str">
        <f t="shared" ref="A34:A48" si="10">IF(OR(H34&gt;0,I34&gt;0),"Nur Tätigkeiten mit geplantem Aufwand","")</f>
        <v/>
      </c>
      <c r="B34" s="230"/>
      <c r="C34" s="382"/>
      <c r="D34" s="383"/>
      <c r="E34" s="384"/>
      <c r="F34" s="385"/>
      <c r="G34" s="377">
        <f t="shared" ref="G34:G48" si="11">D34*F34</f>
        <v>0</v>
      </c>
      <c r="H34" s="377">
        <f t="shared" ref="H34:H48" si="12">G34*(100-E34)/100</f>
        <v>0</v>
      </c>
      <c r="I34" s="377">
        <f t="shared" ref="I34:I48" si="13">G34*(100+E34)/100</f>
        <v>0</v>
      </c>
      <c r="J34" s="552"/>
      <c r="K34" s="553"/>
    </row>
    <row r="35" spans="1:11">
      <c r="A35" s="14" t="str">
        <f t="shared" si="10"/>
        <v/>
      </c>
      <c r="B35" s="231"/>
      <c r="C35" s="386"/>
      <c r="D35" s="387"/>
      <c r="E35" s="388"/>
      <c r="F35" s="389"/>
      <c r="G35" s="17">
        <f t="shared" si="11"/>
        <v>0</v>
      </c>
      <c r="H35" s="17">
        <f t="shared" si="12"/>
        <v>0</v>
      </c>
      <c r="I35" s="17">
        <f t="shared" si="13"/>
        <v>0</v>
      </c>
      <c r="J35" s="546"/>
      <c r="K35" s="547"/>
    </row>
    <row r="36" spans="1:11">
      <c r="A36" s="14" t="str">
        <f t="shared" si="10"/>
        <v/>
      </c>
      <c r="B36" s="231"/>
      <c r="C36" s="386"/>
      <c r="D36" s="387"/>
      <c r="E36" s="388"/>
      <c r="F36" s="389"/>
      <c r="G36" s="17">
        <f t="shared" si="11"/>
        <v>0</v>
      </c>
      <c r="H36" s="17">
        <f t="shared" si="12"/>
        <v>0</v>
      </c>
      <c r="I36" s="17">
        <f t="shared" si="13"/>
        <v>0</v>
      </c>
      <c r="J36" s="554"/>
      <c r="K36" s="555"/>
    </row>
    <row r="37" spans="1:11">
      <c r="A37" s="14" t="str">
        <f t="shared" si="10"/>
        <v/>
      </c>
      <c r="B37" s="231"/>
      <c r="C37" s="386"/>
      <c r="D37" s="387"/>
      <c r="E37" s="388"/>
      <c r="F37" s="389"/>
      <c r="G37" s="17">
        <f t="shared" si="11"/>
        <v>0</v>
      </c>
      <c r="H37" s="17">
        <f t="shared" si="12"/>
        <v>0</v>
      </c>
      <c r="I37" s="17">
        <f t="shared" si="13"/>
        <v>0</v>
      </c>
      <c r="J37" s="546"/>
      <c r="K37" s="547"/>
    </row>
    <row r="38" spans="1:11">
      <c r="A38" s="14" t="str">
        <f t="shared" si="10"/>
        <v/>
      </c>
      <c r="B38" s="231"/>
      <c r="C38" s="386"/>
      <c r="D38" s="387"/>
      <c r="E38" s="388"/>
      <c r="F38" s="389"/>
      <c r="G38" s="17">
        <f t="shared" si="11"/>
        <v>0</v>
      </c>
      <c r="H38" s="17">
        <f t="shared" si="12"/>
        <v>0</v>
      </c>
      <c r="I38" s="17">
        <f t="shared" si="13"/>
        <v>0</v>
      </c>
      <c r="J38" s="546"/>
      <c r="K38" s="547"/>
    </row>
    <row r="39" spans="1:11">
      <c r="A39" s="14" t="str">
        <f t="shared" si="10"/>
        <v/>
      </c>
      <c r="B39" s="231"/>
      <c r="C39" s="386"/>
      <c r="D39" s="387"/>
      <c r="E39" s="388"/>
      <c r="F39" s="389"/>
      <c r="G39" s="17">
        <f t="shared" si="11"/>
        <v>0</v>
      </c>
      <c r="H39" s="17">
        <f t="shared" si="12"/>
        <v>0</v>
      </c>
      <c r="I39" s="17">
        <f t="shared" si="13"/>
        <v>0</v>
      </c>
      <c r="J39" s="546"/>
      <c r="K39" s="547"/>
    </row>
    <row r="40" spans="1:11">
      <c r="A40" s="14" t="str">
        <f t="shared" si="10"/>
        <v/>
      </c>
      <c r="B40" s="231"/>
      <c r="C40" s="386"/>
      <c r="D40" s="387"/>
      <c r="E40" s="388"/>
      <c r="F40" s="389"/>
      <c r="G40" s="17">
        <f t="shared" si="11"/>
        <v>0</v>
      </c>
      <c r="H40" s="17">
        <f t="shared" si="12"/>
        <v>0</v>
      </c>
      <c r="I40" s="17">
        <f t="shared" si="13"/>
        <v>0</v>
      </c>
      <c r="J40" s="546"/>
      <c r="K40" s="547"/>
    </row>
    <row r="41" spans="1:11">
      <c r="A41" s="14" t="str">
        <f t="shared" si="10"/>
        <v/>
      </c>
      <c r="B41" s="231"/>
      <c r="C41" s="386"/>
      <c r="D41" s="387"/>
      <c r="E41" s="388"/>
      <c r="F41" s="389"/>
      <c r="G41" s="17">
        <f t="shared" si="11"/>
        <v>0</v>
      </c>
      <c r="H41" s="17">
        <f t="shared" si="12"/>
        <v>0</v>
      </c>
      <c r="I41" s="17">
        <f t="shared" si="13"/>
        <v>0</v>
      </c>
      <c r="J41" s="546"/>
      <c r="K41" s="547"/>
    </row>
    <row r="42" spans="1:11">
      <c r="A42" s="14" t="str">
        <f t="shared" si="10"/>
        <v/>
      </c>
      <c r="B42" s="231"/>
      <c r="C42" s="386"/>
      <c r="D42" s="387"/>
      <c r="E42" s="388"/>
      <c r="F42" s="389"/>
      <c r="G42" s="17">
        <f t="shared" si="11"/>
        <v>0</v>
      </c>
      <c r="H42" s="17">
        <f t="shared" si="12"/>
        <v>0</v>
      </c>
      <c r="I42" s="17">
        <f t="shared" si="13"/>
        <v>0</v>
      </c>
      <c r="J42" s="546"/>
      <c r="K42" s="547"/>
    </row>
    <row r="43" spans="1:11">
      <c r="A43" s="14" t="str">
        <f t="shared" si="10"/>
        <v/>
      </c>
      <c r="B43" s="231"/>
      <c r="C43" s="386"/>
      <c r="D43" s="387"/>
      <c r="E43" s="388"/>
      <c r="F43" s="389"/>
      <c r="G43" s="17">
        <f t="shared" si="11"/>
        <v>0</v>
      </c>
      <c r="H43" s="17">
        <f t="shared" si="12"/>
        <v>0</v>
      </c>
      <c r="I43" s="17">
        <f t="shared" si="13"/>
        <v>0</v>
      </c>
      <c r="J43" s="546"/>
      <c r="K43" s="547"/>
    </row>
    <row r="44" spans="1:11">
      <c r="A44" s="14" t="str">
        <f t="shared" si="10"/>
        <v/>
      </c>
      <c r="B44" s="231"/>
      <c r="C44" s="386"/>
      <c r="D44" s="387"/>
      <c r="E44" s="388"/>
      <c r="F44" s="389"/>
      <c r="G44" s="17">
        <f t="shared" si="11"/>
        <v>0</v>
      </c>
      <c r="H44" s="17">
        <f t="shared" si="12"/>
        <v>0</v>
      </c>
      <c r="I44" s="17">
        <f t="shared" si="13"/>
        <v>0</v>
      </c>
      <c r="J44" s="546"/>
      <c r="K44" s="547"/>
    </row>
    <row r="45" spans="1:11">
      <c r="A45" s="14" t="str">
        <f t="shared" si="10"/>
        <v/>
      </c>
      <c r="B45" s="231"/>
      <c r="C45" s="386"/>
      <c r="D45" s="387"/>
      <c r="E45" s="388"/>
      <c r="F45" s="389"/>
      <c r="G45" s="17">
        <f t="shared" si="11"/>
        <v>0</v>
      </c>
      <c r="H45" s="17">
        <f t="shared" si="12"/>
        <v>0</v>
      </c>
      <c r="I45" s="17">
        <f t="shared" si="13"/>
        <v>0</v>
      </c>
      <c r="J45" s="546"/>
      <c r="K45" s="547"/>
    </row>
    <row r="46" spans="1:11">
      <c r="A46" s="14" t="str">
        <f t="shared" si="10"/>
        <v/>
      </c>
      <c r="B46" s="231"/>
      <c r="C46" s="386"/>
      <c r="D46" s="387"/>
      <c r="E46" s="388"/>
      <c r="F46" s="389"/>
      <c r="G46" s="17">
        <f t="shared" si="11"/>
        <v>0</v>
      </c>
      <c r="H46" s="17">
        <f t="shared" si="12"/>
        <v>0</v>
      </c>
      <c r="I46" s="17">
        <f t="shared" si="13"/>
        <v>0</v>
      </c>
      <c r="J46" s="546"/>
      <c r="K46" s="547"/>
    </row>
    <row r="47" spans="1:11">
      <c r="A47" s="14" t="str">
        <f t="shared" si="10"/>
        <v/>
      </c>
      <c r="B47" s="231"/>
      <c r="C47" s="386"/>
      <c r="D47" s="387"/>
      <c r="E47" s="388"/>
      <c r="F47" s="389"/>
      <c r="G47" s="17">
        <f t="shared" si="11"/>
        <v>0</v>
      </c>
      <c r="H47" s="17">
        <f t="shared" si="12"/>
        <v>0</v>
      </c>
      <c r="I47" s="17">
        <f t="shared" si="13"/>
        <v>0</v>
      </c>
      <c r="J47" s="546"/>
      <c r="K47" s="547"/>
    </row>
    <row r="48" spans="1:11" ht="13.5" thickBot="1">
      <c r="A48" s="14" t="str">
        <f t="shared" si="10"/>
        <v/>
      </c>
      <c r="B48" s="390"/>
      <c r="C48" s="391"/>
      <c r="D48" s="392"/>
      <c r="E48" s="393"/>
      <c r="F48" s="394"/>
      <c r="G48" s="378">
        <f t="shared" si="11"/>
        <v>0</v>
      </c>
      <c r="H48" s="378">
        <f t="shared" si="12"/>
        <v>0</v>
      </c>
      <c r="I48" s="378">
        <f t="shared" si="13"/>
        <v>0</v>
      </c>
      <c r="J48" s="556"/>
      <c r="K48" s="557"/>
    </row>
    <row r="49" spans="1:11" ht="13.5" thickBot="1">
      <c r="A49" s="14" t="str">
        <f>IF(COUNTIF(A51:A65,"Nur Tätigkeiten mit geplantem Aufwand")&gt;0,"Nur Tätigkeiten mit geplantem Aufwand","")</f>
        <v/>
      </c>
      <c r="B49" s="405"/>
      <c r="C49" s="405"/>
      <c r="D49" s="405"/>
      <c r="E49" s="405"/>
      <c r="F49" s="405"/>
      <c r="G49" s="405"/>
      <c r="H49" s="405"/>
      <c r="I49" s="405"/>
      <c r="J49" s="558"/>
      <c r="K49" s="558"/>
    </row>
    <row r="50" spans="1:11" ht="13.5" thickBot="1">
      <c r="A50" s="14" t="str">
        <f>IF(COUNTIF(A51:A65,"Nur Tätigkeiten mit geplantem Aufwand")&gt;0,"Nur Tätigkeiten mit geplantem Aufwand","")</f>
        <v/>
      </c>
      <c r="B50" s="379" t="s">
        <v>221</v>
      </c>
      <c r="C50" s="380"/>
      <c r="D50" s="380"/>
      <c r="E50" s="380"/>
      <c r="F50" s="380"/>
      <c r="G50" s="381">
        <f>SUM(G51:G65)</f>
        <v>0</v>
      </c>
      <c r="H50" s="381">
        <f>SUM(H51:H65)</f>
        <v>0</v>
      </c>
      <c r="I50" s="381">
        <f>SUM(I51:I65)</f>
        <v>0</v>
      </c>
      <c r="J50" s="550"/>
      <c r="K50" s="551"/>
    </row>
    <row r="51" spans="1:11">
      <c r="A51" s="14" t="str">
        <f t="shared" ref="A51:A65" si="14">IF(OR(H51&gt;0,I51&gt;0),"Nur Tätigkeiten mit geplantem Aufwand","")</f>
        <v/>
      </c>
      <c r="B51" s="230"/>
      <c r="C51" s="382"/>
      <c r="D51" s="383"/>
      <c r="E51" s="384"/>
      <c r="F51" s="385"/>
      <c r="G51" s="377">
        <f t="shared" ref="G51:G65" si="15">D51*F51</f>
        <v>0</v>
      </c>
      <c r="H51" s="377">
        <f t="shared" ref="H51:H65" si="16">G51*(100-E51)/100</f>
        <v>0</v>
      </c>
      <c r="I51" s="377">
        <f t="shared" ref="I51:I65" si="17">G51*(100+E51)/100</f>
        <v>0</v>
      </c>
      <c r="J51" s="552"/>
      <c r="K51" s="553"/>
    </row>
    <row r="52" spans="1:11">
      <c r="A52" s="14" t="str">
        <f t="shared" si="14"/>
        <v/>
      </c>
      <c r="B52" s="231"/>
      <c r="C52" s="386"/>
      <c r="D52" s="387"/>
      <c r="E52" s="388"/>
      <c r="F52" s="389"/>
      <c r="G52" s="17">
        <f t="shared" si="15"/>
        <v>0</v>
      </c>
      <c r="H52" s="17">
        <f t="shared" si="16"/>
        <v>0</v>
      </c>
      <c r="I52" s="17">
        <f t="shared" si="17"/>
        <v>0</v>
      </c>
      <c r="J52" s="546"/>
      <c r="K52" s="547"/>
    </row>
    <row r="53" spans="1:11">
      <c r="A53" s="14" t="str">
        <f t="shared" si="14"/>
        <v/>
      </c>
      <c r="B53" s="231"/>
      <c r="C53" s="386"/>
      <c r="D53" s="387"/>
      <c r="E53" s="388"/>
      <c r="F53" s="389"/>
      <c r="G53" s="17">
        <f t="shared" si="15"/>
        <v>0</v>
      </c>
      <c r="H53" s="17">
        <f t="shared" si="16"/>
        <v>0</v>
      </c>
      <c r="I53" s="17">
        <f t="shared" si="17"/>
        <v>0</v>
      </c>
      <c r="J53" s="554"/>
      <c r="K53" s="555"/>
    </row>
    <row r="54" spans="1:11">
      <c r="A54" s="14" t="str">
        <f t="shared" si="14"/>
        <v/>
      </c>
      <c r="B54" s="231"/>
      <c r="C54" s="386"/>
      <c r="D54" s="387"/>
      <c r="E54" s="388"/>
      <c r="F54" s="389"/>
      <c r="G54" s="17">
        <f t="shared" si="15"/>
        <v>0</v>
      </c>
      <c r="H54" s="17">
        <f t="shared" si="16"/>
        <v>0</v>
      </c>
      <c r="I54" s="17">
        <f t="shared" si="17"/>
        <v>0</v>
      </c>
      <c r="J54" s="546"/>
      <c r="K54" s="547"/>
    </row>
    <row r="55" spans="1:11">
      <c r="A55" s="14" t="str">
        <f t="shared" si="14"/>
        <v/>
      </c>
      <c r="B55" s="231"/>
      <c r="C55" s="386"/>
      <c r="D55" s="387"/>
      <c r="E55" s="388"/>
      <c r="F55" s="389"/>
      <c r="G55" s="17">
        <f t="shared" si="15"/>
        <v>0</v>
      </c>
      <c r="H55" s="17">
        <f t="shared" si="16"/>
        <v>0</v>
      </c>
      <c r="I55" s="17">
        <f t="shared" si="17"/>
        <v>0</v>
      </c>
      <c r="J55" s="546"/>
      <c r="K55" s="547"/>
    </row>
    <row r="56" spans="1:11">
      <c r="A56" s="14" t="str">
        <f t="shared" si="14"/>
        <v/>
      </c>
      <c r="B56" s="231"/>
      <c r="C56" s="386"/>
      <c r="D56" s="387"/>
      <c r="E56" s="388"/>
      <c r="F56" s="389"/>
      <c r="G56" s="17">
        <f t="shared" si="15"/>
        <v>0</v>
      </c>
      <c r="H56" s="17">
        <f t="shared" si="16"/>
        <v>0</v>
      </c>
      <c r="I56" s="17">
        <f t="shared" si="17"/>
        <v>0</v>
      </c>
      <c r="J56" s="546"/>
      <c r="K56" s="547"/>
    </row>
    <row r="57" spans="1:11">
      <c r="A57" s="14" t="str">
        <f t="shared" si="14"/>
        <v/>
      </c>
      <c r="B57" s="231"/>
      <c r="C57" s="386"/>
      <c r="D57" s="387"/>
      <c r="E57" s="388"/>
      <c r="F57" s="389"/>
      <c r="G57" s="17">
        <f t="shared" si="15"/>
        <v>0</v>
      </c>
      <c r="H57" s="17">
        <f t="shared" si="16"/>
        <v>0</v>
      </c>
      <c r="I57" s="17">
        <f t="shared" si="17"/>
        <v>0</v>
      </c>
      <c r="J57" s="546"/>
      <c r="K57" s="547"/>
    </row>
    <row r="58" spans="1:11">
      <c r="A58" s="14" t="str">
        <f t="shared" si="14"/>
        <v/>
      </c>
      <c r="B58" s="231"/>
      <c r="C58" s="386"/>
      <c r="D58" s="387"/>
      <c r="E58" s="388"/>
      <c r="F58" s="389"/>
      <c r="G58" s="17">
        <f t="shared" si="15"/>
        <v>0</v>
      </c>
      <c r="H58" s="17">
        <f t="shared" si="16"/>
        <v>0</v>
      </c>
      <c r="I58" s="17">
        <f t="shared" si="17"/>
        <v>0</v>
      </c>
      <c r="J58" s="546"/>
      <c r="K58" s="547"/>
    </row>
    <row r="59" spans="1:11">
      <c r="A59" s="14" t="str">
        <f t="shared" si="14"/>
        <v/>
      </c>
      <c r="B59" s="231"/>
      <c r="C59" s="386"/>
      <c r="D59" s="387"/>
      <c r="E59" s="388"/>
      <c r="F59" s="389"/>
      <c r="G59" s="17">
        <f t="shared" si="15"/>
        <v>0</v>
      </c>
      <c r="H59" s="17">
        <f t="shared" si="16"/>
        <v>0</v>
      </c>
      <c r="I59" s="17">
        <f t="shared" si="17"/>
        <v>0</v>
      </c>
      <c r="J59" s="546"/>
      <c r="K59" s="547"/>
    </row>
    <row r="60" spans="1:11">
      <c r="A60" s="14" t="str">
        <f t="shared" si="14"/>
        <v/>
      </c>
      <c r="B60" s="231"/>
      <c r="C60" s="386"/>
      <c r="D60" s="387"/>
      <c r="E60" s="388"/>
      <c r="F60" s="389"/>
      <c r="G60" s="17">
        <f t="shared" si="15"/>
        <v>0</v>
      </c>
      <c r="H60" s="17">
        <f t="shared" si="16"/>
        <v>0</v>
      </c>
      <c r="I60" s="17">
        <f t="shared" si="17"/>
        <v>0</v>
      </c>
      <c r="J60" s="546"/>
      <c r="K60" s="547"/>
    </row>
    <row r="61" spans="1:11">
      <c r="A61" s="14" t="str">
        <f t="shared" si="14"/>
        <v/>
      </c>
      <c r="B61" s="231"/>
      <c r="C61" s="386"/>
      <c r="D61" s="387"/>
      <c r="E61" s="388"/>
      <c r="F61" s="389"/>
      <c r="G61" s="17">
        <f t="shared" si="15"/>
        <v>0</v>
      </c>
      <c r="H61" s="17">
        <f t="shared" si="16"/>
        <v>0</v>
      </c>
      <c r="I61" s="17">
        <f t="shared" si="17"/>
        <v>0</v>
      </c>
      <c r="J61" s="546"/>
      <c r="K61" s="547"/>
    </row>
    <row r="62" spans="1:11">
      <c r="A62" s="14" t="str">
        <f t="shared" si="14"/>
        <v/>
      </c>
      <c r="B62" s="231"/>
      <c r="C62" s="386"/>
      <c r="D62" s="387"/>
      <c r="E62" s="388"/>
      <c r="F62" s="389"/>
      <c r="G62" s="17">
        <f t="shared" si="15"/>
        <v>0</v>
      </c>
      <c r="H62" s="17">
        <f t="shared" si="16"/>
        <v>0</v>
      </c>
      <c r="I62" s="17">
        <f t="shared" si="17"/>
        <v>0</v>
      </c>
      <c r="J62" s="546"/>
      <c r="K62" s="547"/>
    </row>
    <row r="63" spans="1:11">
      <c r="A63" s="14" t="str">
        <f t="shared" si="14"/>
        <v/>
      </c>
      <c r="B63" s="231"/>
      <c r="C63" s="386"/>
      <c r="D63" s="387"/>
      <c r="E63" s="388"/>
      <c r="F63" s="389"/>
      <c r="G63" s="17">
        <f t="shared" si="15"/>
        <v>0</v>
      </c>
      <c r="H63" s="17">
        <f t="shared" si="16"/>
        <v>0</v>
      </c>
      <c r="I63" s="17">
        <f t="shared" si="17"/>
        <v>0</v>
      </c>
      <c r="J63" s="546"/>
      <c r="K63" s="547"/>
    </row>
    <row r="64" spans="1:11">
      <c r="A64" s="14" t="str">
        <f t="shared" si="14"/>
        <v/>
      </c>
      <c r="B64" s="231"/>
      <c r="C64" s="386"/>
      <c r="D64" s="387"/>
      <c r="E64" s="388"/>
      <c r="F64" s="389"/>
      <c r="G64" s="17">
        <f t="shared" si="15"/>
        <v>0</v>
      </c>
      <c r="H64" s="17">
        <f t="shared" si="16"/>
        <v>0</v>
      </c>
      <c r="I64" s="17">
        <f t="shared" si="17"/>
        <v>0</v>
      </c>
      <c r="J64" s="546"/>
      <c r="K64" s="547"/>
    </row>
    <row r="65" spans="1:11" ht="13.5" thickBot="1">
      <c r="A65" s="14" t="str">
        <f t="shared" si="14"/>
        <v/>
      </c>
      <c r="B65" s="390"/>
      <c r="C65" s="391"/>
      <c r="D65" s="392"/>
      <c r="E65" s="393"/>
      <c r="F65" s="394"/>
      <c r="G65" s="378">
        <f t="shared" si="15"/>
        <v>0</v>
      </c>
      <c r="H65" s="378">
        <f t="shared" si="16"/>
        <v>0</v>
      </c>
      <c r="I65" s="378">
        <f t="shared" si="17"/>
        <v>0</v>
      </c>
      <c r="J65" s="556"/>
      <c r="K65" s="557"/>
    </row>
    <row r="66" spans="1:11" ht="13.5" thickBot="1">
      <c r="A66" s="14" t="str">
        <f>IF(COUNTIF(A68:A82,"Nur Tätigkeiten mit geplantem Aufwand")&gt;0,"Nur Tätigkeiten mit geplantem Aufwand","")</f>
        <v/>
      </c>
      <c r="B66" s="405"/>
      <c r="C66" s="405"/>
      <c r="D66" s="405"/>
      <c r="E66" s="405"/>
      <c r="F66" s="405"/>
      <c r="G66" s="405"/>
      <c r="H66" s="405"/>
      <c r="I66" s="405"/>
      <c r="J66" s="558"/>
      <c r="K66" s="558"/>
    </row>
    <row r="67" spans="1:11" ht="13.5" thickBot="1">
      <c r="A67" s="14" t="str">
        <f>IF(COUNTIF(A68:A82,"Nur Tätigkeiten mit geplantem Aufwand")&gt;0,"Nur Tätigkeiten mit geplantem Aufwand","")</f>
        <v/>
      </c>
      <c r="B67" s="379" t="s">
        <v>230</v>
      </c>
      <c r="C67" s="380"/>
      <c r="D67" s="380"/>
      <c r="E67" s="380"/>
      <c r="F67" s="380"/>
      <c r="G67" s="381">
        <f>SUM(G68:G82)</f>
        <v>0</v>
      </c>
      <c r="H67" s="381">
        <f>SUM(H68:H82)</f>
        <v>0</v>
      </c>
      <c r="I67" s="381">
        <f>SUM(I68:I82)</f>
        <v>0</v>
      </c>
      <c r="J67" s="550"/>
      <c r="K67" s="551"/>
    </row>
    <row r="68" spans="1:11">
      <c r="A68" s="14" t="str">
        <f t="shared" ref="A68:A82" si="18">IF(OR(H68&gt;0,I68&gt;0),"Nur Tätigkeiten mit geplantem Aufwand","")</f>
        <v/>
      </c>
      <c r="B68" s="230"/>
      <c r="C68" s="382"/>
      <c r="D68" s="383"/>
      <c r="E68" s="384"/>
      <c r="F68" s="385"/>
      <c r="G68" s="377">
        <f t="shared" ref="G68:G82" si="19">D68*F68</f>
        <v>0</v>
      </c>
      <c r="H68" s="377">
        <f t="shared" ref="H68:H82" si="20">G68*(100-E68)/100</f>
        <v>0</v>
      </c>
      <c r="I68" s="377">
        <f t="shared" ref="I68:I82" si="21">G68*(100+E68)/100</f>
        <v>0</v>
      </c>
      <c r="J68" s="552"/>
      <c r="K68" s="553"/>
    </row>
    <row r="69" spans="1:11">
      <c r="A69" s="14" t="str">
        <f t="shared" si="18"/>
        <v/>
      </c>
      <c r="B69" s="231"/>
      <c r="C69" s="386"/>
      <c r="D69" s="387"/>
      <c r="E69" s="388"/>
      <c r="F69" s="389"/>
      <c r="G69" s="17">
        <f t="shared" si="19"/>
        <v>0</v>
      </c>
      <c r="H69" s="17">
        <f t="shared" si="20"/>
        <v>0</v>
      </c>
      <c r="I69" s="17">
        <f t="shared" si="21"/>
        <v>0</v>
      </c>
      <c r="J69" s="546"/>
      <c r="K69" s="547"/>
    </row>
    <row r="70" spans="1:11">
      <c r="A70" s="14" t="str">
        <f t="shared" si="18"/>
        <v/>
      </c>
      <c r="B70" s="231"/>
      <c r="C70" s="386"/>
      <c r="D70" s="387"/>
      <c r="E70" s="388"/>
      <c r="F70" s="389"/>
      <c r="G70" s="17">
        <f t="shared" si="19"/>
        <v>0</v>
      </c>
      <c r="H70" s="17">
        <f t="shared" si="20"/>
        <v>0</v>
      </c>
      <c r="I70" s="17">
        <f t="shared" si="21"/>
        <v>0</v>
      </c>
      <c r="J70" s="554"/>
      <c r="K70" s="555"/>
    </row>
    <row r="71" spans="1:11">
      <c r="A71" s="14" t="str">
        <f t="shared" si="18"/>
        <v/>
      </c>
      <c r="B71" s="231"/>
      <c r="C71" s="386"/>
      <c r="D71" s="387"/>
      <c r="E71" s="388"/>
      <c r="F71" s="389"/>
      <c r="G71" s="17">
        <f t="shared" si="19"/>
        <v>0</v>
      </c>
      <c r="H71" s="17">
        <f t="shared" si="20"/>
        <v>0</v>
      </c>
      <c r="I71" s="17">
        <f t="shared" si="21"/>
        <v>0</v>
      </c>
      <c r="J71" s="546"/>
      <c r="K71" s="547"/>
    </row>
    <row r="72" spans="1:11">
      <c r="A72" s="14" t="str">
        <f t="shared" si="18"/>
        <v/>
      </c>
      <c r="B72" s="231"/>
      <c r="C72" s="386"/>
      <c r="D72" s="387"/>
      <c r="E72" s="388"/>
      <c r="F72" s="389"/>
      <c r="G72" s="17">
        <f t="shared" si="19"/>
        <v>0</v>
      </c>
      <c r="H72" s="17">
        <f t="shared" si="20"/>
        <v>0</v>
      </c>
      <c r="I72" s="17">
        <f t="shared" si="21"/>
        <v>0</v>
      </c>
      <c r="J72" s="546"/>
      <c r="K72" s="547"/>
    </row>
    <row r="73" spans="1:11">
      <c r="A73" s="14" t="str">
        <f t="shared" si="18"/>
        <v/>
      </c>
      <c r="B73" s="231"/>
      <c r="C73" s="386"/>
      <c r="D73" s="387"/>
      <c r="E73" s="388"/>
      <c r="F73" s="389"/>
      <c r="G73" s="17">
        <f t="shared" si="19"/>
        <v>0</v>
      </c>
      <c r="H73" s="17">
        <f t="shared" si="20"/>
        <v>0</v>
      </c>
      <c r="I73" s="17">
        <f t="shared" si="21"/>
        <v>0</v>
      </c>
      <c r="J73" s="546"/>
      <c r="K73" s="547"/>
    </row>
    <row r="74" spans="1:11">
      <c r="A74" s="14" t="str">
        <f t="shared" si="18"/>
        <v/>
      </c>
      <c r="B74" s="231"/>
      <c r="C74" s="386"/>
      <c r="D74" s="387"/>
      <c r="E74" s="388"/>
      <c r="F74" s="389"/>
      <c r="G74" s="17">
        <f t="shared" si="19"/>
        <v>0</v>
      </c>
      <c r="H74" s="17">
        <f t="shared" si="20"/>
        <v>0</v>
      </c>
      <c r="I74" s="17">
        <f t="shared" si="21"/>
        <v>0</v>
      </c>
      <c r="J74" s="546"/>
      <c r="K74" s="547"/>
    </row>
    <row r="75" spans="1:11">
      <c r="A75" s="14" t="str">
        <f t="shared" si="18"/>
        <v/>
      </c>
      <c r="B75" s="231"/>
      <c r="C75" s="386"/>
      <c r="D75" s="387"/>
      <c r="E75" s="388"/>
      <c r="F75" s="389"/>
      <c r="G75" s="17">
        <f t="shared" si="19"/>
        <v>0</v>
      </c>
      <c r="H75" s="17">
        <f t="shared" si="20"/>
        <v>0</v>
      </c>
      <c r="I75" s="17">
        <f t="shared" si="21"/>
        <v>0</v>
      </c>
      <c r="J75" s="546"/>
      <c r="K75" s="547"/>
    </row>
    <row r="76" spans="1:11">
      <c r="A76" s="14" t="str">
        <f t="shared" si="18"/>
        <v/>
      </c>
      <c r="B76" s="231"/>
      <c r="C76" s="386"/>
      <c r="D76" s="387"/>
      <c r="E76" s="388"/>
      <c r="F76" s="389"/>
      <c r="G76" s="17">
        <f t="shared" si="19"/>
        <v>0</v>
      </c>
      <c r="H76" s="17">
        <f t="shared" si="20"/>
        <v>0</v>
      </c>
      <c r="I76" s="17">
        <f t="shared" si="21"/>
        <v>0</v>
      </c>
      <c r="J76" s="546"/>
      <c r="K76" s="547"/>
    </row>
    <row r="77" spans="1:11">
      <c r="A77" s="14" t="str">
        <f t="shared" si="18"/>
        <v/>
      </c>
      <c r="B77" s="231"/>
      <c r="C77" s="386"/>
      <c r="D77" s="387"/>
      <c r="E77" s="388"/>
      <c r="F77" s="389"/>
      <c r="G77" s="17">
        <f t="shared" si="19"/>
        <v>0</v>
      </c>
      <c r="H77" s="17">
        <f t="shared" si="20"/>
        <v>0</v>
      </c>
      <c r="I77" s="17">
        <f t="shared" si="21"/>
        <v>0</v>
      </c>
      <c r="J77" s="546"/>
      <c r="K77" s="547"/>
    </row>
    <row r="78" spans="1:11">
      <c r="A78" s="14" t="str">
        <f t="shared" si="18"/>
        <v/>
      </c>
      <c r="B78" s="231"/>
      <c r="C78" s="386"/>
      <c r="D78" s="387"/>
      <c r="E78" s="388"/>
      <c r="F78" s="389"/>
      <c r="G78" s="17">
        <f t="shared" si="19"/>
        <v>0</v>
      </c>
      <c r="H78" s="17">
        <f t="shared" si="20"/>
        <v>0</v>
      </c>
      <c r="I78" s="17">
        <f t="shared" si="21"/>
        <v>0</v>
      </c>
      <c r="J78" s="546"/>
      <c r="K78" s="547"/>
    </row>
    <row r="79" spans="1:11">
      <c r="A79" s="14" t="str">
        <f t="shared" si="18"/>
        <v/>
      </c>
      <c r="B79" s="231"/>
      <c r="C79" s="386"/>
      <c r="D79" s="387"/>
      <c r="E79" s="388"/>
      <c r="F79" s="389"/>
      <c r="G79" s="17">
        <f t="shared" si="19"/>
        <v>0</v>
      </c>
      <c r="H79" s="17">
        <f t="shared" si="20"/>
        <v>0</v>
      </c>
      <c r="I79" s="17">
        <f t="shared" si="21"/>
        <v>0</v>
      </c>
      <c r="J79" s="546"/>
      <c r="K79" s="547"/>
    </row>
    <row r="80" spans="1:11">
      <c r="A80" s="14" t="str">
        <f t="shared" si="18"/>
        <v/>
      </c>
      <c r="B80" s="231"/>
      <c r="C80" s="386"/>
      <c r="D80" s="387"/>
      <c r="E80" s="388"/>
      <c r="F80" s="389"/>
      <c r="G80" s="17">
        <f t="shared" si="19"/>
        <v>0</v>
      </c>
      <c r="H80" s="17">
        <f t="shared" si="20"/>
        <v>0</v>
      </c>
      <c r="I80" s="17">
        <f t="shared" si="21"/>
        <v>0</v>
      </c>
      <c r="J80" s="546"/>
      <c r="K80" s="547"/>
    </row>
    <row r="81" spans="1:11">
      <c r="A81" s="14" t="str">
        <f t="shared" si="18"/>
        <v/>
      </c>
      <c r="B81" s="231"/>
      <c r="C81" s="386"/>
      <c r="D81" s="387"/>
      <c r="E81" s="388"/>
      <c r="F81" s="389"/>
      <c r="G81" s="17">
        <f t="shared" si="19"/>
        <v>0</v>
      </c>
      <c r="H81" s="17">
        <f t="shared" si="20"/>
        <v>0</v>
      </c>
      <c r="I81" s="17">
        <f t="shared" si="21"/>
        <v>0</v>
      </c>
      <c r="J81" s="546"/>
      <c r="K81" s="547"/>
    </row>
    <row r="82" spans="1:11" ht="13.5" thickBot="1">
      <c r="A82" s="14" t="str">
        <f t="shared" si="18"/>
        <v/>
      </c>
      <c r="B82" s="390"/>
      <c r="C82" s="391"/>
      <c r="D82" s="392"/>
      <c r="E82" s="393"/>
      <c r="F82" s="394"/>
      <c r="G82" s="378">
        <f t="shared" si="19"/>
        <v>0</v>
      </c>
      <c r="H82" s="378">
        <f t="shared" si="20"/>
        <v>0</v>
      </c>
      <c r="I82" s="378">
        <f t="shared" si="21"/>
        <v>0</v>
      </c>
      <c r="J82" s="556"/>
      <c r="K82" s="557"/>
    </row>
    <row r="83" spans="1:11" ht="13.5" thickBot="1">
      <c r="A83" s="14" t="str">
        <f>IF(COUNTIF(A85:A98,"Nur Tätigkeiten mit geplantem Aufwand")&gt;0,"Nur Tätigkeiten mit geplantem Aufwand","")</f>
        <v/>
      </c>
      <c r="B83" s="405"/>
      <c r="C83" s="405"/>
      <c r="D83" s="405"/>
      <c r="E83" s="405"/>
      <c r="F83" s="405"/>
      <c r="G83" s="405"/>
      <c r="H83" s="405"/>
      <c r="I83" s="405"/>
      <c r="J83" s="558"/>
      <c r="K83" s="558"/>
    </row>
    <row r="84" spans="1:11" ht="13.5" thickBot="1">
      <c r="A84" s="14" t="str">
        <f>IF(COUNTIF(A85:A98,"Nur Tätigkeiten mit geplantem Aufwand")&gt;0,"Nur Tätigkeiten mit geplantem Aufwand","")</f>
        <v/>
      </c>
      <c r="B84" s="379" t="s">
        <v>222</v>
      </c>
      <c r="C84" s="380"/>
      <c r="D84" s="380"/>
      <c r="E84" s="380"/>
      <c r="F84" s="380"/>
      <c r="G84" s="381">
        <f>SUM(G85:G99)</f>
        <v>0</v>
      </c>
      <c r="H84" s="381">
        <f>SUM(H85:H99)</f>
        <v>0</v>
      </c>
      <c r="I84" s="381">
        <f>SUM(I85:I99)</f>
        <v>0</v>
      </c>
      <c r="J84" s="550"/>
      <c r="K84" s="551"/>
    </row>
    <row r="85" spans="1:11">
      <c r="A85" s="14" t="str">
        <f t="shared" ref="A85:A99" si="22">IF(OR(H85&gt;0,I85&gt;0),"Nur Tätigkeiten mit geplantem Aufwand","")</f>
        <v/>
      </c>
      <c r="B85" s="230"/>
      <c r="C85" s="382"/>
      <c r="D85" s="383"/>
      <c r="E85" s="384"/>
      <c r="F85" s="385"/>
      <c r="G85" s="377">
        <f t="shared" ref="G85:G99" si="23">D85*F85</f>
        <v>0</v>
      </c>
      <c r="H85" s="377">
        <f t="shared" ref="H85:H99" si="24">G85*(100-E85)/100</f>
        <v>0</v>
      </c>
      <c r="I85" s="377">
        <f t="shared" ref="I85:I99" si="25">G85*(100+E85)/100</f>
        <v>0</v>
      </c>
      <c r="J85" s="552"/>
      <c r="K85" s="553"/>
    </row>
    <row r="86" spans="1:11">
      <c r="A86" s="14" t="str">
        <f t="shared" si="22"/>
        <v/>
      </c>
      <c r="B86" s="231"/>
      <c r="C86" s="386"/>
      <c r="D86" s="387"/>
      <c r="E86" s="388"/>
      <c r="F86" s="389"/>
      <c r="G86" s="17">
        <f t="shared" si="23"/>
        <v>0</v>
      </c>
      <c r="H86" s="17">
        <f t="shared" si="24"/>
        <v>0</v>
      </c>
      <c r="I86" s="17">
        <f t="shared" si="25"/>
        <v>0</v>
      </c>
      <c r="J86" s="546"/>
      <c r="K86" s="547"/>
    </row>
    <row r="87" spans="1:11">
      <c r="A87" s="14" t="str">
        <f t="shared" si="22"/>
        <v/>
      </c>
      <c r="B87" s="231"/>
      <c r="C87" s="386"/>
      <c r="D87" s="387"/>
      <c r="E87" s="388"/>
      <c r="F87" s="389"/>
      <c r="G87" s="17">
        <f t="shared" si="23"/>
        <v>0</v>
      </c>
      <c r="H87" s="17">
        <f t="shared" si="24"/>
        <v>0</v>
      </c>
      <c r="I87" s="17">
        <f t="shared" si="25"/>
        <v>0</v>
      </c>
      <c r="J87" s="554"/>
      <c r="K87" s="555"/>
    </row>
    <row r="88" spans="1:11">
      <c r="A88" s="14" t="str">
        <f t="shared" si="22"/>
        <v/>
      </c>
      <c r="B88" s="231"/>
      <c r="C88" s="386"/>
      <c r="D88" s="387"/>
      <c r="E88" s="388"/>
      <c r="F88" s="389"/>
      <c r="G88" s="17">
        <f t="shared" si="23"/>
        <v>0</v>
      </c>
      <c r="H88" s="17">
        <f t="shared" si="24"/>
        <v>0</v>
      </c>
      <c r="I88" s="17">
        <f t="shared" si="25"/>
        <v>0</v>
      </c>
      <c r="J88" s="546"/>
      <c r="K88" s="547"/>
    </row>
    <row r="89" spans="1:11">
      <c r="A89" s="14" t="str">
        <f t="shared" si="22"/>
        <v/>
      </c>
      <c r="B89" s="231"/>
      <c r="C89" s="386"/>
      <c r="D89" s="387"/>
      <c r="E89" s="388"/>
      <c r="F89" s="389"/>
      <c r="G89" s="17">
        <f t="shared" si="23"/>
        <v>0</v>
      </c>
      <c r="H89" s="17">
        <f t="shared" si="24"/>
        <v>0</v>
      </c>
      <c r="I89" s="17">
        <f t="shared" si="25"/>
        <v>0</v>
      </c>
      <c r="J89" s="546"/>
      <c r="K89" s="547"/>
    </row>
    <row r="90" spans="1:11">
      <c r="A90" s="14" t="str">
        <f t="shared" si="22"/>
        <v/>
      </c>
      <c r="B90" s="231"/>
      <c r="C90" s="386"/>
      <c r="D90" s="387"/>
      <c r="E90" s="388"/>
      <c r="F90" s="389"/>
      <c r="G90" s="17">
        <f t="shared" si="23"/>
        <v>0</v>
      </c>
      <c r="H90" s="17">
        <f t="shared" si="24"/>
        <v>0</v>
      </c>
      <c r="I90" s="17">
        <f t="shared" si="25"/>
        <v>0</v>
      </c>
      <c r="J90" s="546"/>
      <c r="K90" s="547"/>
    </row>
    <row r="91" spans="1:11">
      <c r="A91" s="14" t="str">
        <f t="shared" si="22"/>
        <v/>
      </c>
      <c r="B91" s="231"/>
      <c r="C91" s="386"/>
      <c r="D91" s="387"/>
      <c r="E91" s="388"/>
      <c r="F91" s="389"/>
      <c r="G91" s="17">
        <f t="shared" si="23"/>
        <v>0</v>
      </c>
      <c r="H91" s="17">
        <f t="shared" si="24"/>
        <v>0</v>
      </c>
      <c r="I91" s="17">
        <f t="shared" si="25"/>
        <v>0</v>
      </c>
      <c r="J91" s="546"/>
      <c r="K91" s="547"/>
    </row>
    <row r="92" spans="1:11">
      <c r="A92" s="14" t="str">
        <f t="shared" si="22"/>
        <v/>
      </c>
      <c r="B92" s="231"/>
      <c r="C92" s="386"/>
      <c r="D92" s="387"/>
      <c r="E92" s="388"/>
      <c r="F92" s="389"/>
      <c r="G92" s="17">
        <f t="shared" si="23"/>
        <v>0</v>
      </c>
      <c r="H92" s="17">
        <f t="shared" si="24"/>
        <v>0</v>
      </c>
      <c r="I92" s="17">
        <f t="shared" si="25"/>
        <v>0</v>
      </c>
      <c r="J92" s="546"/>
      <c r="K92" s="547"/>
    </row>
    <row r="93" spans="1:11">
      <c r="A93" s="14" t="str">
        <f t="shared" si="22"/>
        <v/>
      </c>
      <c r="B93" s="231"/>
      <c r="C93" s="386"/>
      <c r="D93" s="387"/>
      <c r="E93" s="388"/>
      <c r="F93" s="389"/>
      <c r="G93" s="17">
        <f t="shared" si="23"/>
        <v>0</v>
      </c>
      <c r="H93" s="17">
        <f t="shared" si="24"/>
        <v>0</v>
      </c>
      <c r="I93" s="17">
        <f t="shared" si="25"/>
        <v>0</v>
      </c>
      <c r="J93" s="546"/>
      <c r="K93" s="547"/>
    </row>
    <row r="94" spans="1:11">
      <c r="A94" s="14" t="str">
        <f t="shared" si="22"/>
        <v/>
      </c>
      <c r="B94" s="231"/>
      <c r="C94" s="386"/>
      <c r="D94" s="387"/>
      <c r="E94" s="388"/>
      <c r="F94" s="389"/>
      <c r="G94" s="17">
        <f t="shared" si="23"/>
        <v>0</v>
      </c>
      <c r="H94" s="17">
        <f t="shared" si="24"/>
        <v>0</v>
      </c>
      <c r="I94" s="17">
        <f t="shared" si="25"/>
        <v>0</v>
      </c>
      <c r="J94" s="546"/>
      <c r="K94" s="547"/>
    </row>
    <row r="95" spans="1:11">
      <c r="A95" s="14" t="str">
        <f t="shared" si="22"/>
        <v/>
      </c>
      <c r="B95" s="231"/>
      <c r="C95" s="386"/>
      <c r="D95" s="387"/>
      <c r="E95" s="388"/>
      <c r="F95" s="389"/>
      <c r="G95" s="17">
        <f t="shared" si="23"/>
        <v>0</v>
      </c>
      <c r="H95" s="17">
        <f t="shared" si="24"/>
        <v>0</v>
      </c>
      <c r="I95" s="17">
        <f t="shared" si="25"/>
        <v>0</v>
      </c>
      <c r="J95" s="546"/>
      <c r="K95" s="547"/>
    </row>
    <row r="96" spans="1:11">
      <c r="A96" s="14" t="str">
        <f t="shared" si="22"/>
        <v/>
      </c>
      <c r="B96" s="231"/>
      <c r="C96" s="386"/>
      <c r="D96" s="387"/>
      <c r="E96" s="388"/>
      <c r="F96" s="389"/>
      <c r="G96" s="17">
        <f t="shared" si="23"/>
        <v>0</v>
      </c>
      <c r="H96" s="17">
        <f t="shared" si="24"/>
        <v>0</v>
      </c>
      <c r="I96" s="17">
        <f t="shared" si="25"/>
        <v>0</v>
      </c>
      <c r="J96" s="546"/>
      <c r="K96" s="547"/>
    </row>
    <row r="97" spans="1:11">
      <c r="A97" s="14" t="str">
        <f t="shared" si="22"/>
        <v/>
      </c>
      <c r="B97" s="231"/>
      <c r="C97" s="386"/>
      <c r="D97" s="387"/>
      <c r="E97" s="388"/>
      <c r="F97" s="389"/>
      <c r="G97" s="17">
        <f t="shared" si="23"/>
        <v>0</v>
      </c>
      <c r="H97" s="17">
        <f t="shared" si="24"/>
        <v>0</v>
      </c>
      <c r="I97" s="17">
        <f t="shared" si="25"/>
        <v>0</v>
      </c>
      <c r="J97" s="546"/>
      <c r="K97" s="547"/>
    </row>
    <row r="98" spans="1:11">
      <c r="A98" s="14" t="str">
        <f t="shared" si="22"/>
        <v/>
      </c>
      <c r="B98" s="231"/>
      <c r="C98" s="386"/>
      <c r="D98" s="387"/>
      <c r="E98" s="388"/>
      <c r="F98" s="389"/>
      <c r="G98" s="17">
        <f t="shared" si="23"/>
        <v>0</v>
      </c>
      <c r="H98" s="17">
        <f t="shared" si="24"/>
        <v>0</v>
      </c>
      <c r="I98" s="17">
        <f t="shared" si="25"/>
        <v>0</v>
      </c>
      <c r="J98" s="546"/>
      <c r="K98" s="547"/>
    </row>
    <row r="99" spans="1:11" ht="13.5" thickBot="1">
      <c r="A99" s="14" t="str">
        <f t="shared" si="22"/>
        <v/>
      </c>
      <c r="B99" s="390"/>
      <c r="C99" s="391"/>
      <c r="D99" s="392"/>
      <c r="E99" s="393"/>
      <c r="F99" s="394"/>
      <c r="G99" s="378">
        <f t="shared" si="23"/>
        <v>0</v>
      </c>
      <c r="H99" s="378">
        <f t="shared" si="24"/>
        <v>0</v>
      </c>
      <c r="I99" s="378">
        <f t="shared" si="25"/>
        <v>0</v>
      </c>
      <c r="J99" s="556"/>
      <c r="K99" s="557"/>
    </row>
    <row r="100" spans="1:11" ht="13.5" thickBot="1">
      <c r="A100" s="14" t="str">
        <f>IF(COUNTIF(A102:A115,"Nur Tätigkeiten mit geplantem Aufwand")&gt;0,"Nur Tätigkeiten mit geplantem Aufwand","")</f>
        <v/>
      </c>
      <c r="B100" s="405"/>
      <c r="C100" s="405"/>
      <c r="D100" s="405"/>
      <c r="E100" s="405"/>
      <c r="F100" s="405"/>
      <c r="G100" s="405"/>
      <c r="H100" s="405"/>
      <c r="I100" s="405"/>
      <c r="J100" s="558"/>
      <c r="K100" s="558"/>
    </row>
    <row r="101" spans="1:11" ht="13.5" thickBot="1">
      <c r="A101" s="14" t="str">
        <f>IF(COUNTIF(A102:A115,"Nur Tätigkeiten mit geplantem Aufwand")&gt;0,"Nur Tätigkeiten mit geplantem Aufwand","")</f>
        <v/>
      </c>
      <c r="B101" s="379" t="s">
        <v>223</v>
      </c>
      <c r="C101" s="380"/>
      <c r="D101" s="380"/>
      <c r="E101" s="380"/>
      <c r="F101" s="380"/>
      <c r="G101" s="381">
        <f>SUM(G102:G116)</f>
        <v>0</v>
      </c>
      <c r="H101" s="381">
        <f>SUM(H102:H116)</f>
        <v>0</v>
      </c>
      <c r="I101" s="381">
        <f>SUM(I102:I116)</f>
        <v>0</v>
      </c>
      <c r="J101" s="550"/>
      <c r="K101" s="551"/>
    </row>
    <row r="102" spans="1:11">
      <c r="A102" s="14" t="str">
        <f t="shared" ref="A102:A116" si="26">IF(OR(H102&gt;0,I102&gt;0),"Nur Tätigkeiten mit geplantem Aufwand","")</f>
        <v/>
      </c>
      <c r="B102" s="230"/>
      <c r="C102" s="382"/>
      <c r="D102" s="383"/>
      <c r="E102" s="384"/>
      <c r="F102" s="385"/>
      <c r="G102" s="377">
        <f t="shared" ref="G102:G116" si="27">D102*F102</f>
        <v>0</v>
      </c>
      <c r="H102" s="377">
        <f t="shared" ref="H102:H116" si="28">G102*(100-E102)/100</f>
        <v>0</v>
      </c>
      <c r="I102" s="377">
        <f t="shared" ref="I102:I116" si="29">G102*(100+E102)/100</f>
        <v>0</v>
      </c>
      <c r="J102" s="552"/>
      <c r="K102" s="553"/>
    </row>
    <row r="103" spans="1:11">
      <c r="A103" s="14" t="str">
        <f t="shared" si="26"/>
        <v/>
      </c>
      <c r="B103" s="231"/>
      <c r="C103" s="386"/>
      <c r="D103" s="387"/>
      <c r="E103" s="388"/>
      <c r="F103" s="389"/>
      <c r="G103" s="17">
        <f t="shared" si="27"/>
        <v>0</v>
      </c>
      <c r="H103" s="17">
        <f t="shared" si="28"/>
        <v>0</v>
      </c>
      <c r="I103" s="17">
        <f t="shared" si="29"/>
        <v>0</v>
      </c>
      <c r="J103" s="546"/>
      <c r="K103" s="547"/>
    </row>
    <row r="104" spans="1:11">
      <c r="A104" s="14" t="str">
        <f t="shared" si="26"/>
        <v/>
      </c>
      <c r="B104" s="231"/>
      <c r="C104" s="386"/>
      <c r="D104" s="387"/>
      <c r="E104" s="388"/>
      <c r="F104" s="389"/>
      <c r="G104" s="17">
        <f t="shared" si="27"/>
        <v>0</v>
      </c>
      <c r="H104" s="17">
        <f t="shared" si="28"/>
        <v>0</v>
      </c>
      <c r="I104" s="17">
        <f t="shared" si="29"/>
        <v>0</v>
      </c>
      <c r="J104" s="554"/>
      <c r="K104" s="555"/>
    </row>
    <row r="105" spans="1:11">
      <c r="A105" s="14" t="str">
        <f t="shared" si="26"/>
        <v/>
      </c>
      <c r="B105" s="231"/>
      <c r="C105" s="386"/>
      <c r="D105" s="387"/>
      <c r="E105" s="388"/>
      <c r="F105" s="389"/>
      <c r="G105" s="17">
        <f t="shared" si="27"/>
        <v>0</v>
      </c>
      <c r="H105" s="17">
        <f t="shared" si="28"/>
        <v>0</v>
      </c>
      <c r="I105" s="17">
        <f t="shared" si="29"/>
        <v>0</v>
      </c>
      <c r="J105" s="546"/>
      <c r="K105" s="547"/>
    </row>
    <row r="106" spans="1:11">
      <c r="A106" s="14" t="str">
        <f t="shared" si="26"/>
        <v/>
      </c>
      <c r="B106" s="231"/>
      <c r="C106" s="386"/>
      <c r="D106" s="387"/>
      <c r="E106" s="388"/>
      <c r="F106" s="389"/>
      <c r="G106" s="17">
        <f t="shared" si="27"/>
        <v>0</v>
      </c>
      <c r="H106" s="17">
        <f t="shared" si="28"/>
        <v>0</v>
      </c>
      <c r="I106" s="17">
        <f t="shared" si="29"/>
        <v>0</v>
      </c>
      <c r="J106" s="546"/>
      <c r="K106" s="547"/>
    </row>
    <row r="107" spans="1:11">
      <c r="A107" s="14" t="str">
        <f t="shared" si="26"/>
        <v/>
      </c>
      <c r="B107" s="231"/>
      <c r="C107" s="386"/>
      <c r="D107" s="387"/>
      <c r="E107" s="388"/>
      <c r="F107" s="389"/>
      <c r="G107" s="17">
        <f t="shared" si="27"/>
        <v>0</v>
      </c>
      <c r="H107" s="17">
        <f t="shared" si="28"/>
        <v>0</v>
      </c>
      <c r="I107" s="17">
        <f t="shared" si="29"/>
        <v>0</v>
      </c>
      <c r="J107" s="546"/>
      <c r="K107" s="547"/>
    </row>
    <row r="108" spans="1:11">
      <c r="A108" s="14" t="str">
        <f t="shared" si="26"/>
        <v/>
      </c>
      <c r="B108" s="231"/>
      <c r="C108" s="386"/>
      <c r="D108" s="387"/>
      <c r="E108" s="388"/>
      <c r="F108" s="389"/>
      <c r="G108" s="17">
        <f t="shared" si="27"/>
        <v>0</v>
      </c>
      <c r="H108" s="17">
        <f t="shared" si="28"/>
        <v>0</v>
      </c>
      <c r="I108" s="17">
        <f t="shared" si="29"/>
        <v>0</v>
      </c>
      <c r="J108" s="546"/>
      <c r="K108" s="547"/>
    </row>
    <row r="109" spans="1:11">
      <c r="A109" s="14" t="str">
        <f t="shared" si="26"/>
        <v/>
      </c>
      <c r="B109" s="231"/>
      <c r="C109" s="386"/>
      <c r="D109" s="387"/>
      <c r="E109" s="388"/>
      <c r="F109" s="389"/>
      <c r="G109" s="17">
        <f t="shared" si="27"/>
        <v>0</v>
      </c>
      <c r="H109" s="17">
        <f t="shared" si="28"/>
        <v>0</v>
      </c>
      <c r="I109" s="17">
        <f t="shared" si="29"/>
        <v>0</v>
      </c>
      <c r="J109" s="546"/>
      <c r="K109" s="547"/>
    </row>
    <row r="110" spans="1:11">
      <c r="A110" s="14" t="str">
        <f t="shared" si="26"/>
        <v/>
      </c>
      <c r="B110" s="231"/>
      <c r="C110" s="386"/>
      <c r="D110" s="387"/>
      <c r="E110" s="388"/>
      <c r="F110" s="389"/>
      <c r="G110" s="17">
        <f t="shared" si="27"/>
        <v>0</v>
      </c>
      <c r="H110" s="17">
        <f t="shared" si="28"/>
        <v>0</v>
      </c>
      <c r="I110" s="17">
        <f t="shared" si="29"/>
        <v>0</v>
      </c>
      <c r="J110" s="546"/>
      <c r="K110" s="547"/>
    </row>
    <row r="111" spans="1:11">
      <c r="A111" s="14" t="str">
        <f t="shared" si="26"/>
        <v/>
      </c>
      <c r="B111" s="231"/>
      <c r="C111" s="386"/>
      <c r="D111" s="387"/>
      <c r="E111" s="388"/>
      <c r="F111" s="389"/>
      <c r="G111" s="17">
        <f t="shared" si="27"/>
        <v>0</v>
      </c>
      <c r="H111" s="17">
        <f t="shared" si="28"/>
        <v>0</v>
      </c>
      <c r="I111" s="17">
        <f t="shared" si="29"/>
        <v>0</v>
      </c>
      <c r="J111" s="546"/>
      <c r="K111" s="547"/>
    </row>
    <row r="112" spans="1:11">
      <c r="A112" s="14" t="str">
        <f t="shared" si="26"/>
        <v/>
      </c>
      <c r="B112" s="231"/>
      <c r="C112" s="386"/>
      <c r="D112" s="387"/>
      <c r="E112" s="388"/>
      <c r="F112" s="389"/>
      <c r="G112" s="17">
        <f t="shared" si="27"/>
        <v>0</v>
      </c>
      <c r="H112" s="17">
        <f t="shared" si="28"/>
        <v>0</v>
      </c>
      <c r="I112" s="17">
        <f t="shared" si="29"/>
        <v>0</v>
      </c>
      <c r="J112" s="546"/>
      <c r="K112" s="547"/>
    </row>
    <row r="113" spans="1:11">
      <c r="A113" s="14" t="str">
        <f t="shared" si="26"/>
        <v/>
      </c>
      <c r="B113" s="231"/>
      <c r="C113" s="386"/>
      <c r="D113" s="387"/>
      <c r="E113" s="388"/>
      <c r="F113" s="389"/>
      <c r="G113" s="17">
        <f t="shared" si="27"/>
        <v>0</v>
      </c>
      <c r="H113" s="17">
        <f t="shared" si="28"/>
        <v>0</v>
      </c>
      <c r="I113" s="17">
        <f t="shared" si="29"/>
        <v>0</v>
      </c>
      <c r="J113" s="546"/>
      <c r="K113" s="547"/>
    </row>
    <row r="114" spans="1:11">
      <c r="A114" s="14" t="str">
        <f t="shared" si="26"/>
        <v/>
      </c>
      <c r="B114" s="231"/>
      <c r="C114" s="386"/>
      <c r="D114" s="387"/>
      <c r="E114" s="388"/>
      <c r="F114" s="389"/>
      <c r="G114" s="17">
        <f t="shared" si="27"/>
        <v>0</v>
      </c>
      <c r="H114" s="17">
        <f t="shared" si="28"/>
        <v>0</v>
      </c>
      <c r="I114" s="17">
        <f t="shared" si="29"/>
        <v>0</v>
      </c>
      <c r="J114" s="546"/>
      <c r="K114" s="547"/>
    </row>
    <row r="115" spans="1:11">
      <c r="A115" s="14" t="str">
        <f t="shared" si="26"/>
        <v/>
      </c>
      <c r="B115" s="231"/>
      <c r="C115" s="386"/>
      <c r="D115" s="387"/>
      <c r="E115" s="388"/>
      <c r="F115" s="389"/>
      <c r="G115" s="17">
        <f t="shared" si="27"/>
        <v>0</v>
      </c>
      <c r="H115" s="17">
        <f t="shared" si="28"/>
        <v>0</v>
      </c>
      <c r="I115" s="17">
        <f t="shared" si="29"/>
        <v>0</v>
      </c>
      <c r="J115" s="546"/>
      <c r="K115" s="547"/>
    </row>
    <row r="116" spans="1:11" ht="13.5" thickBot="1">
      <c r="A116" s="14" t="str">
        <f t="shared" si="26"/>
        <v/>
      </c>
      <c r="B116" s="390"/>
      <c r="C116" s="391"/>
      <c r="D116" s="392"/>
      <c r="E116" s="393"/>
      <c r="F116" s="394"/>
      <c r="G116" s="378">
        <f t="shared" si="27"/>
        <v>0</v>
      </c>
      <c r="H116" s="378">
        <f t="shared" si="28"/>
        <v>0</v>
      </c>
      <c r="I116" s="378">
        <f t="shared" si="29"/>
        <v>0</v>
      </c>
      <c r="J116" s="556"/>
      <c r="K116" s="557"/>
    </row>
    <row r="117" spans="1:11" ht="13.5" thickBot="1">
      <c r="A117" s="14" t="str">
        <f>IF(COUNTIF(A119:A133,"Nur Tätigkeiten mit geplantem Aufwand")&gt;0,"Nur Tätigkeiten mit geplantem Aufwand","")</f>
        <v>Nur Tätigkeiten mit geplantem Aufwand</v>
      </c>
      <c r="B117" s="405"/>
      <c r="C117" s="405"/>
      <c r="D117" s="405"/>
      <c r="E117" s="405"/>
      <c r="F117" s="405"/>
      <c r="G117" s="405"/>
      <c r="H117" s="405"/>
      <c r="I117" s="405"/>
      <c r="J117" s="558"/>
      <c r="K117" s="558"/>
    </row>
    <row r="118" spans="1:11" ht="13.5" thickBot="1">
      <c r="A118" s="14" t="str">
        <f>IF(COUNTIF(A119:A133,"Nur Tätigkeiten mit geplantem Aufwand")&gt;0,"Nur Tätigkeiten mit geplantem Aufwand","")</f>
        <v>Nur Tätigkeiten mit geplantem Aufwand</v>
      </c>
      <c r="B118" s="379" t="s">
        <v>234</v>
      </c>
      <c r="C118" s="380"/>
      <c r="D118" s="380"/>
      <c r="E118" s="380"/>
      <c r="F118" s="380"/>
      <c r="G118" s="381">
        <f>SUM(G119:G133)</f>
        <v>1260</v>
      </c>
      <c r="H118" s="381">
        <f>SUM(H119:H133)</f>
        <v>1008</v>
      </c>
      <c r="I118" s="381">
        <f>SUM(I119:I133)</f>
        <v>1512</v>
      </c>
      <c r="J118" s="550"/>
      <c r="K118" s="551"/>
    </row>
    <row r="119" spans="1:11">
      <c r="A119" s="14" t="str">
        <f t="shared" ref="A119:A133" si="30">IF(OR(H119&gt;0,I119&gt;0),"Nur Tätigkeiten mit geplantem Aufwand","")</f>
        <v>Nur Tätigkeiten mit geplantem Aufwand</v>
      </c>
      <c r="B119" s="230" t="s">
        <v>225</v>
      </c>
      <c r="C119" s="382" t="s">
        <v>224</v>
      </c>
      <c r="D119" s="383">
        <v>10</v>
      </c>
      <c r="E119" s="384">
        <v>20</v>
      </c>
      <c r="F119" s="385">
        <v>30</v>
      </c>
      <c r="G119" s="377">
        <f t="shared" ref="G119:G120" si="31">D119*F119</f>
        <v>300</v>
      </c>
      <c r="H119" s="377">
        <f t="shared" ref="H119:H120" si="32">G119*(100-E119)/100</f>
        <v>240</v>
      </c>
      <c r="I119" s="377">
        <f t="shared" ref="I119:I120" si="33">G119*(100+E119)/100</f>
        <v>360</v>
      </c>
      <c r="J119" s="552"/>
      <c r="K119" s="553"/>
    </row>
    <row r="120" spans="1:11">
      <c r="A120" s="14" t="str">
        <f t="shared" si="30"/>
        <v>Nur Tätigkeiten mit geplantem Aufwand</v>
      </c>
      <c r="B120" s="231" t="s">
        <v>226</v>
      </c>
      <c r="C120" s="386" t="s">
        <v>224</v>
      </c>
      <c r="D120" s="387">
        <v>32</v>
      </c>
      <c r="E120" s="388">
        <v>20</v>
      </c>
      <c r="F120" s="389">
        <v>30</v>
      </c>
      <c r="G120" s="17">
        <f t="shared" si="31"/>
        <v>960</v>
      </c>
      <c r="H120" s="17">
        <f t="shared" si="32"/>
        <v>768</v>
      </c>
      <c r="I120" s="17">
        <f t="shared" si="33"/>
        <v>1152</v>
      </c>
      <c r="J120" s="546"/>
      <c r="K120" s="547"/>
    </row>
    <row r="121" spans="1:11">
      <c r="A121" s="14" t="str">
        <f t="shared" si="30"/>
        <v/>
      </c>
      <c r="B121" s="231"/>
      <c r="C121" s="386"/>
      <c r="D121" s="387"/>
      <c r="E121" s="388"/>
      <c r="F121" s="389"/>
      <c r="G121" s="17">
        <f t="shared" ref="G121:G133" si="34">D121*F121</f>
        <v>0</v>
      </c>
      <c r="H121" s="17">
        <f t="shared" ref="H121:H133" si="35">G121*(100-E121)/100</f>
        <v>0</v>
      </c>
      <c r="I121" s="17">
        <f t="shared" ref="I121:I133" si="36">G121*(100+E121)/100</f>
        <v>0</v>
      </c>
      <c r="J121" s="554"/>
      <c r="K121" s="555"/>
    </row>
    <row r="122" spans="1:11">
      <c r="A122" s="14" t="str">
        <f t="shared" si="30"/>
        <v/>
      </c>
      <c r="B122" s="231"/>
      <c r="C122" s="386"/>
      <c r="D122" s="387"/>
      <c r="E122" s="388"/>
      <c r="F122" s="389"/>
      <c r="G122" s="17">
        <f t="shared" si="34"/>
        <v>0</v>
      </c>
      <c r="H122" s="17">
        <f t="shared" si="35"/>
        <v>0</v>
      </c>
      <c r="I122" s="17">
        <f t="shared" si="36"/>
        <v>0</v>
      </c>
      <c r="J122" s="546"/>
      <c r="K122" s="547"/>
    </row>
    <row r="123" spans="1:11">
      <c r="A123" s="14" t="str">
        <f t="shared" si="30"/>
        <v/>
      </c>
      <c r="B123" s="231"/>
      <c r="C123" s="386"/>
      <c r="D123" s="387"/>
      <c r="E123" s="388"/>
      <c r="F123" s="389"/>
      <c r="G123" s="17">
        <f t="shared" si="34"/>
        <v>0</v>
      </c>
      <c r="H123" s="17">
        <f t="shared" si="35"/>
        <v>0</v>
      </c>
      <c r="I123" s="17">
        <f t="shared" si="36"/>
        <v>0</v>
      </c>
      <c r="J123" s="546"/>
      <c r="K123" s="547"/>
    </row>
    <row r="124" spans="1:11">
      <c r="A124" s="14" t="str">
        <f t="shared" si="30"/>
        <v/>
      </c>
      <c r="B124" s="231"/>
      <c r="C124" s="386"/>
      <c r="D124" s="387"/>
      <c r="E124" s="388"/>
      <c r="F124" s="389"/>
      <c r="G124" s="17">
        <f t="shared" si="34"/>
        <v>0</v>
      </c>
      <c r="H124" s="17">
        <f t="shared" si="35"/>
        <v>0</v>
      </c>
      <c r="I124" s="17">
        <f t="shared" si="36"/>
        <v>0</v>
      </c>
      <c r="J124" s="546"/>
      <c r="K124" s="547"/>
    </row>
    <row r="125" spans="1:11">
      <c r="A125" s="14" t="str">
        <f t="shared" si="30"/>
        <v/>
      </c>
      <c r="B125" s="231"/>
      <c r="C125" s="386"/>
      <c r="D125" s="387"/>
      <c r="E125" s="388"/>
      <c r="F125" s="389"/>
      <c r="G125" s="17">
        <f t="shared" si="34"/>
        <v>0</v>
      </c>
      <c r="H125" s="17">
        <f t="shared" si="35"/>
        <v>0</v>
      </c>
      <c r="I125" s="17">
        <f t="shared" si="36"/>
        <v>0</v>
      </c>
      <c r="J125" s="546"/>
      <c r="K125" s="547"/>
    </row>
    <row r="126" spans="1:11">
      <c r="A126" s="14" t="str">
        <f t="shared" si="30"/>
        <v/>
      </c>
      <c r="B126" s="231"/>
      <c r="C126" s="386"/>
      <c r="D126" s="387"/>
      <c r="E126" s="388"/>
      <c r="F126" s="389"/>
      <c r="G126" s="17">
        <f t="shared" si="34"/>
        <v>0</v>
      </c>
      <c r="H126" s="17">
        <f t="shared" si="35"/>
        <v>0</v>
      </c>
      <c r="I126" s="17">
        <f t="shared" si="36"/>
        <v>0</v>
      </c>
      <c r="J126" s="546"/>
      <c r="K126" s="547"/>
    </row>
    <row r="127" spans="1:11">
      <c r="A127" s="14" t="str">
        <f t="shared" si="30"/>
        <v/>
      </c>
      <c r="B127" s="231"/>
      <c r="C127" s="386"/>
      <c r="D127" s="387"/>
      <c r="E127" s="388"/>
      <c r="F127" s="389"/>
      <c r="G127" s="17">
        <f t="shared" si="34"/>
        <v>0</v>
      </c>
      <c r="H127" s="17">
        <f t="shared" si="35"/>
        <v>0</v>
      </c>
      <c r="I127" s="17">
        <f t="shared" si="36"/>
        <v>0</v>
      </c>
      <c r="J127" s="546"/>
      <c r="K127" s="547"/>
    </row>
    <row r="128" spans="1:11">
      <c r="A128" s="14" t="str">
        <f t="shared" si="30"/>
        <v/>
      </c>
      <c r="B128" s="231"/>
      <c r="C128" s="386"/>
      <c r="D128" s="387"/>
      <c r="E128" s="388"/>
      <c r="F128" s="389"/>
      <c r="G128" s="17">
        <f t="shared" si="34"/>
        <v>0</v>
      </c>
      <c r="H128" s="17">
        <f t="shared" si="35"/>
        <v>0</v>
      </c>
      <c r="I128" s="17">
        <f t="shared" si="36"/>
        <v>0</v>
      </c>
      <c r="J128" s="546"/>
      <c r="K128" s="547"/>
    </row>
    <row r="129" spans="1:11">
      <c r="A129" s="14" t="str">
        <f t="shared" si="30"/>
        <v/>
      </c>
      <c r="B129" s="231"/>
      <c r="C129" s="386"/>
      <c r="D129" s="387"/>
      <c r="E129" s="388"/>
      <c r="F129" s="389"/>
      <c r="G129" s="17">
        <f t="shared" si="34"/>
        <v>0</v>
      </c>
      <c r="H129" s="17">
        <f t="shared" si="35"/>
        <v>0</v>
      </c>
      <c r="I129" s="17">
        <f t="shared" si="36"/>
        <v>0</v>
      </c>
      <c r="J129" s="546"/>
      <c r="K129" s="547"/>
    </row>
    <row r="130" spans="1:11">
      <c r="A130" s="14" t="str">
        <f t="shared" si="30"/>
        <v/>
      </c>
      <c r="B130" s="231"/>
      <c r="C130" s="386"/>
      <c r="D130" s="387"/>
      <c r="E130" s="388"/>
      <c r="F130" s="389"/>
      <c r="G130" s="17">
        <f t="shared" si="34"/>
        <v>0</v>
      </c>
      <c r="H130" s="17">
        <f t="shared" si="35"/>
        <v>0</v>
      </c>
      <c r="I130" s="17">
        <f t="shared" si="36"/>
        <v>0</v>
      </c>
      <c r="J130" s="546"/>
      <c r="K130" s="547"/>
    </row>
    <row r="131" spans="1:11">
      <c r="A131" s="14" t="str">
        <f t="shared" si="30"/>
        <v/>
      </c>
      <c r="B131" s="231"/>
      <c r="C131" s="386"/>
      <c r="D131" s="387"/>
      <c r="E131" s="388"/>
      <c r="F131" s="389"/>
      <c r="G131" s="17">
        <f t="shared" si="34"/>
        <v>0</v>
      </c>
      <c r="H131" s="17">
        <f t="shared" si="35"/>
        <v>0</v>
      </c>
      <c r="I131" s="17">
        <f t="shared" si="36"/>
        <v>0</v>
      </c>
      <c r="J131" s="546"/>
      <c r="K131" s="547"/>
    </row>
    <row r="132" spans="1:11">
      <c r="A132" s="14" t="str">
        <f t="shared" si="30"/>
        <v/>
      </c>
      <c r="B132" s="231"/>
      <c r="C132" s="386"/>
      <c r="D132" s="387"/>
      <c r="E132" s="388"/>
      <c r="F132" s="389"/>
      <c r="G132" s="17">
        <f t="shared" si="34"/>
        <v>0</v>
      </c>
      <c r="H132" s="17">
        <f t="shared" si="35"/>
        <v>0</v>
      </c>
      <c r="I132" s="17">
        <f t="shared" si="36"/>
        <v>0</v>
      </c>
      <c r="J132" s="546"/>
      <c r="K132" s="547"/>
    </row>
    <row r="133" spans="1:11" ht="13.5" thickBot="1">
      <c r="A133" s="14" t="str">
        <f t="shared" si="30"/>
        <v/>
      </c>
      <c r="B133" s="390"/>
      <c r="C133" s="391"/>
      <c r="D133" s="392"/>
      <c r="E133" s="393"/>
      <c r="F133" s="394"/>
      <c r="G133" s="378">
        <f t="shared" si="34"/>
        <v>0</v>
      </c>
      <c r="H133" s="378">
        <f t="shared" si="35"/>
        <v>0</v>
      </c>
      <c r="I133" s="378">
        <f t="shared" si="36"/>
        <v>0</v>
      </c>
      <c r="J133" s="556"/>
      <c r="K133" s="557"/>
    </row>
    <row r="134" spans="1:11" s="6" customFormat="1" ht="10.5" customHeight="1" thickBot="1">
      <c r="A134" s="14" t="str">
        <f>IF(COUNTIF(A136:A150,"Nur Tätigkeiten mit geplantem Aufwand")&gt;0,"Nur Tätigkeiten mit geplantem Aufwand","")</f>
        <v/>
      </c>
      <c r="B134" s="405"/>
      <c r="C134" s="405"/>
      <c r="D134" s="405"/>
      <c r="E134" s="405"/>
      <c r="F134" s="405"/>
      <c r="G134" s="405"/>
      <c r="H134" s="405"/>
      <c r="I134" s="405"/>
      <c r="J134" s="558"/>
      <c r="K134" s="558"/>
    </row>
    <row r="135" spans="1:11" ht="13.5" thickBot="1">
      <c r="A135" s="14" t="str">
        <f>IF(COUNTIF(A136:A150,"Nur Tätigkeiten mit geplantem Aufwand")&gt;0,"Nur Tätigkeiten mit geplantem Aufwand","")</f>
        <v/>
      </c>
      <c r="B135" s="379" t="s">
        <v>231</v>
      </c>
      <c r="C135" s="380"/>
      <c r="D135" s="380"/>
      <c r="E135" s="380"/>
      <c r="F135" s="380"/>
      <c r="G135" s="381">
        <f>SUM(G136:G150)</f>
        <v>0</v>
      </c>
      <c r="H135" s="381">
        <f>SUM(H136:H150)</f>
        <v>0</v>
      </c>
      <c r="I135" s="381">
        <f>SUM(I136:I150)</f>
        <v>0</v>
      </c>
      <c r="J135" s="550"/>
      <c r="K135" s="551"/>
    </row>
    <row r="136" spans="1:11">
      <c r="A136" s="14" t="str">
        <f t="shared" ref="A136:A150" si="37">IF(OR(H136&gt;0,I136&gt;0),"Nur Tätigkeiten mit geplantem Aufwand","")</f>
        <v/>
      </c>
      <c r="B136" s="230"/>
      <c r="C136" s="382"/>
      <c r="D136" s="383"/>
      <c r="E136" s="384"/>
      <c r="F136" s="385"/>
      <c r="G136" s="377">
        <f t="shared" ref="G136:G150" si="38">D136*F136</f>
        <v>0</v>
      </c>
      <c r="H136" s="377">
        <f t="shared" ref="H136:H150" si="39">G136*(100-E136)/100</f>
        <v>0</v>
      </c>
      <c r="I136" s="377">
        <f t="shared" ref="I136:I150" si="40">G136*(100+E136)/100</f>
        <v>0</v>
      </c>
      <c r="J136" s="552"/>
      <c r="K136" s="553"/>
    </row>
    <row r="137" spans="1:11">
      <c r="A137" s="14" t="str">
        <f t="shared" si="37"/>
        <v/>
      </c>
      <c r="B137" s="231"/>
      <c r="C137" s="386"/>
      <c r="D137" s="387"/>
      <c r="E137" s="388"/>
      <c r="F137" s="389"/>
      <c r="G137" s="17">
        <f t="shared" si="38"/>
        <v>0</v>
      </c>
      <c r="H137" s="17">
        <f t="shared" si="39"/>
        <v>0</v>
      </c>
      <c r="I137" s="17">
        <f t="shared" si="40"/>
        <v>0</v>
      </c>
      <c r="J137" s="546"/>
      <c r="K137" s="547"/>
    </row>
    <row r="138" spans="1:11">
      <c r="A138" s="14" t="str">
        <f t="shared" si="37"/>
        <v/>
      </c>
      <c r="B138" s="231"/>
      <c r="C138" s="386"/>
      <c r="D138" s="387"/>
      <c r="E138" s="388"/>
      <c r="F138" s="389"/>
      <c r="G138" s="17">
        <f t="shared" si="38"/>
        <v>0</v>
      </c>
      <c r="H138" s="17">
        <f t="shared" si="39"/>
        <v>0</v>
      </c>
      <c r="I138" s="17">
        <f t="shared" si="40"/>
        <v>0</v>
      </c>
      <c r="J138" s="554"/>
      <c r="K138" s="555"/>
    </row>
    <row r="139" spans="1:11">
      <c r="A139" s="14" t="str">
        <f t="shared" si="37"/>
        <v/>
      </c>
      <c r="B139" s="231"/>
      <c r="C139" s="386"/>
      <c r="D139" s="387"/>
      <c r="E139" s="388"/>
      <c r="F139" s="389"/>
      <c r="G139" s="17">
        <f t="shared" si="38"/>
        <v>0</v>
      </c>
      <c r="H139" s="17">
        <f t="shared" si="39"/>
        <v>0</v>
      </c>
      <c r="I139" s="17">
        <f t="shared" si="40"/>
        <v>0</v>
      </c>
      <c r="J139" s="546"/>
      <c r="K139" s="547"/>
    </row>
    <row r="140" spans="1:11">
      <c r="A140" s="14" t="str">
        <f t="shared" si="37"/>
        <v/>
      </c>
      <c r="B140" s="231"/>
      <c r="C140" s="386"/>
      <c r="D140" s="387"/>
      <c r="E140" s="388"/>
      <c r="F140" s="389"/>
      <c r="G140" s="17">
        <f t="shared" si="38"/>
        <v>0</v>
      </c>
      <c r="H140" s="17">
        <f t="shared" si="39"/>
        <v>0</v>
      </c>
      <c r="I140" s="17">
        <f t="shared" si="40"/>
        <v>0</v>
      </c>
      <c r="J140" s="546"/>
      <c r="K140" s="547"/>
    </row>
    <row r="141" spans="1:11">
      <c r="A141" s="14" t="str">
        <f t="shared" si="37"/>
        <v/>
      </c>
      <c r="B141" s="231"/>
      <c r="C141" s="386"/>
      <c r="D141" s="387"/>
      <c r="E141" s="388"/>
      <c r="F141" s="389"/>
      <c r="G141" s="17">
        <f t="shared" si="38"/>
        <v>0</v>
      </c>
      <c r="H141" s="17">
        <f t="shared" si="39"/>
        <v>0</v>
      </c>
      <c r="I141" s="17">
        <f t="shared" si="40"/>
        <v>0</v>
      </c>
      <c r="J141" s="546"/>
      <c r="K141" s="547"/>
    </row>
    <row r="142" spans="1:11">
      <c r="A142" s="14" t="str">
        <f t="shared" si="37"/>
        <v/>
      </c>
      <c r="B142" s="231"/>
      <c r="C142" s="386"/>
      <c r="D142" s="387"/>
      <c r="E142" s="388"/>
      <c r="F142" s="389"/>
      <c r="G142" s="17">
        <f t="shared" si="38"/>
        <v>0</v>
      </c>
      <c r="H142" s="17">
        <f t="shared" si="39"/>
        <v>0</v>
      </c>
      <c r="I142" s="17">
        <f t="shared" si="40"/>
        <v>0</v>
      </c>
      <c r="J142" s="546"/>
      <c r="K142" s="547"/>
    </row>
    <row r="143" spans="1:11">
      <c r="A143" s="14" t="str">
        <f t="shared" si="37"/>
        <v/>
      </c>
      <c r="B143" s="231"/>
      <c r="C143" s="386"/>
      <c r="D143" s="387"/>
      <c r="E143" s="388"/>
      <c r="F143" s="389"/>
      <c r="G143" s="17">
        <f t="shared" si="38"/>
        <v>0</v>
      </c>
      <c r="H143" s="17">
        <f t="shared" si="39"/>
        <v>0</v>
      </c>
      <c r="I143" s="17">
        <f t="shared" si="40"/>
        <v>0</v>
      </c>
      <c r="J143" s="546"/>
      <c r="K143" s="547"/>
    </row>
    <row r="144" spans="1:11">
      <c r="A144" s="14" t="str">
        <f t="shared" si="37"/>
        <v/>
      </c>
      <c r="B144" s="231"/>
      <c r="C144" s="386"/>
      <c r="D144" s="387"/>
      <c r="E144" s="388"/>
      <c r="F144" s="389"/>
      <c r="G144" s="17">
        <f t="shared" si="38"/>
        <v>0</v>
      </c>
      <c r="H144" s="17">
        <f t="shared" si="39"/>
        <v>0</v>
      </c>
      <c r="I144" s="17">
        <f t="shared" si="40"/>
        <v>0</v>
      </c>
      <c r="J144" s="546"/>
      <c r="K144" s="547"/>
    </row>
    <row r="145" spans="1:11">
      <c r="A145" s="14" t="str">
        <f t="shared" si="37"/>
        <v/>
      </c>
      <c r="B145" s="231"/>
      <c r="C145" s="386"/>
      <c r="D145" s="387"/>
      <c r="E145" s="388"/>
      <c r="F145" s="389"/>
      <c r="G145" s="17">
        <f t="shared" si="38"/>
        <v>0</v>
      </c>
      <c r="H145" s="17">
        <f t="shared" si="39"/>
        <v>0</v>
      </c>
      <c r="I145" s="17">
        <f t="shared" si="40"/>
        <v>0</v>
      </c>
      <c r="J145" s="546"/>
      <c r="K145" s="547"/>
    </row>
    <row r="146" spans="1:11">
      <c r="A146" s="14" t="str">
        <f t="shared" si="37"/>
        <v/>
      </c>
      <c r="B146" s="231"/>
      <c r="C146" s="386"/>
      <c r="D146" s="387"/>
      <c r="E146" s="388"/>
      <c r="F146" s="389"/>
      <c r="G146" s="17">
        <f t="shared" si="38"/>
        <v>0</v>
      </c>
      <c r="H146" s="17">
        <f t="shared" si="39"/>
        <v>0</v>
      </c>
      <c r="I146" s="17">
        <f t="shared" si="40"/>
        <v>0</v>
      </c>
      <c r="J146" s="546"/>
      <c r="K146" s="547"/>
    </row>
    <row r="147" spans="1:11">
      <c r="A147" s="14" t="str">
        <f t="shared" si="37"/>
        <v/>
      </c>
      <c r="B147" s="231"/>
      <c r="C147" s="386"/>
      <c r="D147" s="387"/>
      <c r="E147" s="388"/>
      <c r="F147" s="389"/>
      <c r="G147" s="17">
        <f t="shared" si="38"/>
        <v>0</v>
      </c>
      <c r="H147" s="17">
        <f t="shared" si="39"/>
        <v>0</v>
      </c>
      <c r="I147" s="17">
        <f t="shared" si="40"/>
        <v>0</v>
      </c>
      <c r="J147" s="546"/>
      <c r="K147" s="547"/>
    </row>
    <row r="148" spans="1:11">
      <c r="A148" s="14" t="str">
        <f t="shared" si="37"/>
        <v/>
      </c>
      <c r="B148" s="231"/>
      <c r="C148" s="386"/>
      <c r="D148" s="387"/>
      <c r="E148" s="388"/>
      <c r="F148" s="389"/>
      <c r="G148" s="17">
        <f t="shared" si="38"/>
        <v>0</v>
      </c>
      <c r="H148" s="17">
        <f t="shared" si="39"/>
        <v>0</v>
      </c>
      <c r="I148" s="17">
        <f t="shared" si="40"/>
        <v>0</v>
      </c>
      <c r="J148" s="546"/>
      <c r="K148" s="547"/>
    </row>
    <row r="149" spans="1:11">
      <c r="A149" s="14" t="str">
        <f t="shared" si="37"/>
        <v/>
      </c>
      <c r="B149" s="231"/>
      <c r="C149" s="386"/>
      <c r="D149" s="387"/>
      <c r="E149" s="388"/>
      <c r="F149" s="389"/>
      <c r="G149" s="17">
        <f t="shared" si="38"/>
        <v>0</v>
      </c>
      <c r="H149" s="17">
        <f t="shared" si="39"/>
        <v>0</v>
      </c>
      <c r="I149" s="17">
        <f t="shared" si="40"/>
        <v>0</v>
      </c>
      <c r="J149" s="546"/>
      <c r="K149" s="547"/>
    </row>
    <row r="150" spans="1:11" ht="13.5" thickBot="1">
      <c r="A150" s="14" t="str">
        <f t="shared" si="37"/>
        <v/>
      </c>
      <c r="B150" s="390"/>
      <c r="C150" s="391"/>
      <c r="D150" s="392"/>
      <c r="E150" s="393"/>
      <c r="F150" s="394"/>
      <c r="G150" s="378">
        <f t="shared" si="38"/>
        <v>0</v>
      </c>
      <c r="H150" s="378">
        <f t="shared" si="39"/>
        <v>0</v>
      </c>
      <c r="I150" s="378">
        <f t="shared" si="40"/>
        <v>0</v>
      </c>
      <c r="J150" s="556"/>
      <c r="K150" s="557"/>
    </row>
    <row r="151" spans="1:11" s="6" customFormat="1" ht="10.5" customHeight="1" thickBot="1">
      <c r="A151" s="14" t="str">
        <f>IF(COUNTIF(A153:A166,"Nur Tätigkeiten mit geplantem Aufwand")&gt;0,"Nur Tätigkeiten mit geplantem Aufwand","")</f>
        <v/>
      </c>
      <c r="B151" s="405"/>
      <c r="C151" s="405"/>
      <c r="D151" s="405"/>
      <c r="E151" s="405"/>
      <c r="F151" s="405"/>
      <c r="G151" s="405"/>
      <c r="H151" s="405"/>
      <c r="I151" s="405"/>
      <c r="J151" s="558"/>
      <c r="K151" s="558"/>
    </row>
    <row r="152" spans="1:11" ht="13.5" thickBot="1">
      <c r="A152" s="14" t="str">
        <f>IF(COUNTIF(A153:A166,"Nur Tätigkeiten mit geplantem Aufwand")&gt;0,"Nur Tätigkeiten mit geplantem Aufwand","")</f>
        <v/>
      </c>
      <c r="B152" s="379" t="s">
        <v>232</v>
      </c>
      <c r="C152" s="380"/>
      <c r="D152" s="380"/>
      <c r="E152" s="380"/>
      <c r="F152" s="380"/>
      <c r="G152" s="381">
        <f>SUM(G153:G167)</f>
        <v>0</v>
      </c>
      <c r="H152" s="381">
        <f>SUM(H153:H167)</f>
        <v>0</v>
      </c>
      <c r="I152" s="381">
        <f>SUM(I153:I167)</f>
        <v>0</v>
      </c>
      <c r="J152" s="550"/>
      <c r="K152" s="551"/>
    </row>
    <row r="153" spans="1:11">
      <c r="A153" s="14" t="str">
        <f t="shared" ref="A153:A167" si="41">IF(OR(H153&gt;0,I153&gt;0),"Nur Tätigkeiten mit geplantem Aufwand","")</f>
        <v/>
      </c>
      <c r="B153" s="230"/>
      <c r="C153" s="382"/>
      <c r="D153" s="383"/>
      <c r="E153" s="384"/>
      <c r="F153" s="385"/>
      <c r="G153" s="377">
        <f t="shared" ref="G153:G167" si="42">D153*F153</f>
        <v>0</v>
      </c>
      <c r="H153" s="377">
        <f t="shared" ref="H153:H167" si="43">G153*(100-E153)/100</f>
        <v>0</v>
      </c>
      <c r="I153" s="377">
        <f t="shared" ref="I153:I167" si="44">G153*(100+E153)/100</f>
        <v>0</v>
      </c>
      <c r="J153" s="552"/>
      <c r="K153" s="553"/>
    </row>
    <row r="154" spans="1:11">
      <c r="A154" s="14" t="str">
        <f t="shared" si="41"/>
        <v/>
      </c>
      <c r="B154" s="231"/>
      <c r="C154" s="386"/>
      <c r="D154" s="387"/>
      <c r="E154" s="388"/>
      <c r="F154" s="389"/>
      <c r="G154" s="17">
        <f t="shared" si="42"/>
        <v>0</v>
      </c>
      <c r="H154" s="17">
        <f t="shared" si="43"/>
        <v>0</v>
      </c>
      <c r="I154" s="17">
        <f t="shared" si="44"/>
        <v>0</v>
      </c>
      <c r="J154" s="546"/>
      <c r="K154" s="547"/>
    </row>
    <row r="155" spans="1:11">
      <c r="A155" s="14" t="str">
        <f t="shared" si="41"/>
        <v/>
      </c>
      <c r="B155" s="231"/>
      <c r="C155" s="386"/>
      <c r="D155" s="387"/>
      <c r="E155" s="388"/>
      <c r="F155" s="389"/>
      <c r="G155" s="17">
        <f t="shared" si="42"/>
        <v>0</v>
      </c>
      <c r="H155" s="17">
        <f t="shared" si="43"/>
        <v>0</v>
      </c>
      <c r="I155" s="17">
        <f t="shared" si="44"/>
        <v>0</v>
      </c>
      <c r="J155" s="554"/>
      <c r="K155" s="555"/>
    </row>
    <row r="156" spans="1:11">
      <c r="A156" s="14" t="str">
        <f t="shared" si="41"/>
        <v/>
      </c>
      <c r="B156" s="231"/>
      <c r="C156" s="386"/>
      <c r="D156" s="387"/>
      <c r="E156" s="388"/>
      <c r="F156" s="389"/>
      <c r="G156" s="17">
        <f t="shared" si="42"/>
        <v>0</v>
      </c>
      <c r="H156" s="17">
        <f t="shared" si="43"/>
        <v>0</v>
      </c>
      <c r="I156" s="17">
        <f t="shared" si="44"/>
        <v>0</v>
      </c>
      <c r="J156" s="546"/>
      <c r="K156" s="547"/>
    </row>
    <row r="157" spans="1:11">
      <c r="A157" s="14" t="str">
        <f t="shared" si="41"/>
        <v/>
      </c>
      <c r="B157" s="231"/>
      <c r="C157" s="386"/>
      <c r="D157" s="387"/>
      <c r="E157" s="388"/>
      <c r="F157" s="389"/>
      <c r="G157" s="17">
        <f t="shared" si="42"/>
        <v>0</v>
      </c>
      <c r="H157" s="17">
        <f t="shared" si="43"/>
        <v>0</v>
      </c>
      <c r="I157" s="17">
        <f t="shared" si="44"/>
        <v>0</v>
      </c>
      <c r="J157" s="546"/>
      <c r="K157" s="547"/>
    </row>
    <row r="158" spans="1:11">
      <c r="A158" s="14" t="str">
        <f t="shared" si="41"/>
        <v/>
      </c>
      <c r="B158" s="231"/>
      <c r="C158" s="386"/>
      <c r="D158" s="387"/>
      <c r="E158" s="388"/>
      <c r="F158" s="389"/>
      <c r="G158" s="17">
        <f t="shared" si="42"/>
        <v>0</v>
      </c>
      <c r="H158" s="17">
        <f t="shared" si="43"/>
        <v>0</v>
      </c>
      <c r="I158" s="17">
        <f t="shared" si="44"/>
        <v>0</v>
      </c>
      <c r="J158" s="546"/>
      <c r="K158" s="547"/>
    </row>
    <row r="159" spans="1:11">
      <c r="A159" s="14" t="str">
        <f t="shared" si="41"/>
        <v/>
      </c>
      <c r="B159" s="231"/>
      <c r="C159" s="386"/>
      <c r="D159" s="387"/>
      <c r="E159" s="388"/>
      <c r="F159" s="389"/>
      <c r="G159" s="17">
        <f t="shared" si="42"/>
        <v>0</v>
      </c>
      <c r="H159" s="17">
        <f t="shared" si="43"/>
        <v>0</v>
      </c>
      <c r="I159" s="17">
        <f t="shared" si="44"/>
        <v>0</v>
      </c>
      <c r="J159" s="546"/>
      <c r="K159" s="547"/>
    </row>
    <row r="160" spans="1:11">
      <c r="A160" s="14" t="str">
        <f t="shared" si="41"/>
        <v/>
      </c>
      <c r="B160" s="231"/>
      <c r="C160" s="386"/>
      <c r="D160" s="387"/>
      <c r="E160" s="388"/>
      <c r="F160" s="389"/>
      <c r="G160" s="17">
        <f t="shared" si="42"/>
        <v>0</v>
      </c>
      <c r="H160" s="17">
        <f t="shared" si="43"/>
        <v>0</v>
      </c>
      <c r="I160" s="17">
        <f t="shared" si="44"/>
        <v>0</v>
      </c>
      <c r="J160" s="546"/>
      <c r="K160" s="547"/>
    </row>
    <row r="161" spans="1:11">
      <c r="A161" s="14" t="str">
        <f t="shared" si="41"/>
        <v/>
      </c>
      <c r="B161" s="231"/>
      <c r="C161" s="386"/>
      <c r="D161" s="387"/>
      <c r="E161" s="388"/>
      <c r="F161" s="389"/>
      <c r="G161" s="17">
        <f t="shared" si="42"/>
        <v>0</v>
      </c>
      <c r="H161" s="17">
        <f t="shared" si="43"/>
        <v>0</v>
      </c>
      <c r="I161" s="17">
        <f t="shared" si="44"/>
        <v>0</v>
      </c>
      <c r="J161" s="546"/>
      <c r="K161" s="547"/>
    </row>
    <row r="162" spans="1:11">
      <c r="A162" s="14" t="str">
        <f t="shared" si="41"/>
        <v/>
      </c>
      <c r="B162" s="231"/>
      <c r="C162" s="386"/>
      <c r="D162" s="387"/>
      <c r="E162" s="388"/>
      <c r="F162" s="389"/>
      <c r="G162" s="17">
        <f t="shared" si="42"/>
        <v>0</v>
      </c>
      <c r="H162" s="17">
        <f t="shared" si="43"/>
        <v>0</v>
      </c>
      <c r="I162" s="17">
        <f t="shared" si="44"/>
        <v>0</v>
      </c>
      <c r="J162" s="546"/>
      <c r="K162" s="547"/>
    </row>
    <row r="163" spans="1:11">
      <c r="A163" s="14" t="str">
        <f t="shared" si="41"/>
        <v/>
      </c>
      <c r="B163" s="231"/>
      <c r="C163" s="386"/>
      <c r="D163" s="387"/>
      <c r="E163" s="388"/>
      <c r="F163" s="389"/>
      <c r="G163" s="17">
        <f t="shared" si="42"/>
        <v>0</v>
      </c>
      <c r="H163" s="17">
        <f t="shared" si="43"/>
        <v>0</v>
      </c>
      <c r="I163" s="17">
        <f t="shared" si="44"/>
        <v>0</v>
      </c>
      <c r="J163" s="546"/>
      <c r="K163" s="547"/>
    </row>
    <row r="164" spans="1:11">
      <c r="A164" s="14" t="str">
        <f t="shared" si="41"/>
        <v/>
      </c>
      <c r="B164" s="231"/>
      <c r="C164" s="386"/>
      <c r="D164" s="387"/>
      <c r="E164" s="388"/>
      <c r="F164" s="389"/>
      <c r="G164" s="17">
        <f t="shared" si="42"/>
        <v>0</v>
      </c>
      <c r="H164" s="17">
        <f t="shared" si="43"/>
        <v>0</v>
      </c>
      <c r="I164" s="17">
        <f t="shared" si="44"/>
        <v>0</v>
      </c>
      <c r="J164" s="546"/>
      <c r="K164" s="547"/>
    </row>
    <row r="165" spans="1:11">
      <c r="A165" s="14" t="str">
        <f t="shared" si="41"/>
        <v/>
      </c>
      <c r="B165" s="231"/>
      <c r="C165" s="386"/>
      <c r="D165" s="387"/>
      <c r="E165" s="388"/>
      <c r="F165" s="389"/>
      <c r="G165" s="17">
        <f t="shared" si="42"/>
        <v>0</v>
      </c>
      <c r="H165" s="17">
        <f t="shared" si="43"/>
        <v>0</v>
      </c>
      <c r="I165" s="17">
        <f t="shared" si="44"/>
        <v>0</v>
      </c>
      <c r="J165" s="546"/>
      <c r="K165" s="547"/>
    </row>
    <row r="166" spans="1:11">
      <c r="A166" s="14" t="str">
        <f t="shared" si="41"/>
        <v/>
      </c>
      <c r="B166" s="231"/>
      <c r="C166" s="386"/>
      <c r="D166" s="387"/>
      <c r="E166" s="388"/>
      <c r="F166" s="389"/>
      <c r="G166" s="17">
        <f t="shared" si="42"/>
        <v>0</v>
      </c>
      <c r="H166" s="17">
        <f t="shared" si="43"/>
        <v>0</v>
      </c>
      <c r="I166" s="17">
        <f t="shared" si="44"/>
        <v>0</v>
      </c>
      <c r="J166" s="546"/>
      <c r="K166" s="547"/>
    </row>
    <row r="167" spans="1:11" ht="13.5" thickBot="1">
      <c r="A167" s="14" t="str">
        <f t="shared" si="41"/>
        <v/>
      </c>
      <c r="B167" s="390"/>
      <c r="C167" s="391"/>
      <c r="D167" s="392"/>
      <c r="E167" s="393"/>
      <c r="F167" s="394"/>
      <c r="G167" s="378">
        <f t="shared" si="42"/>
        <v>0</v>
      </c>
      <c r="H167" s="378">
        <f t="shared" si="43"/>
        <v>0</v>
      </c>
      <c r="I167" s="378">
        <f t="shared" si="44"/>
        <v>0</v>
      </c>
      <c r="J167" s="556"/>
      <c r="K167" s="557"/>
    </row>
    <row r="168" spans="1:11" ht="13.5" thickBot="1">
      <c r="A168" s="14" t="str">
        <f>IF(COUNTIF(A170:A184,"Nur Tätigkeiten mit geplantem Aufwand")&gt;0,"Nur Tätigkeiten mit geplantem Aufwand","")</f>
        <v/>
      </c>
      <c r="B168" s="405"/>
      <c r="C168" s="405"/>
      <c r="D168" s="405"/>
      <c r="E168" s="405"/>
      <c r="F168" s="405"/>
      <c r="G168" s="405"/>
      <c r="H168" s="405"/>
      <c r="I168" s="405"/>
      <c r="J168" s="558"/>
      <c r="K168" s="558"/>
    </row>
    <row r="169" spans="1:11" ht="13.5" thickBot="1">
      <c r="A169" s="14" t="str">
        <f>IF(COUNTIF(A170:A184,"Nur Tätigkeiten mit geplantem Aufwand")&gt;0,"Nur Tätigkeiten mit geplantem Aufwand","")</f>
        <v/>
      </c>
      <c r="B169" s="379" t="s">
        <v>233</v>
      </c>
      <c r="C169" s="380"/>
      <c r="D169" s="380"/>
      <c r="E169" s="380"/>
      <c r="F169" s="380"/>
      <c r="G169" s="381">
        <f>SUM(G170:G184)</f>
        <v>0</v>
      </c>
      <c r="H169" s="381">
        <f>SUM(H170:H184)</f>
        <v>0</v>
      </c>
      <c r="I169" s="381">
        <f>SUM(I170:I184)</f>
        <v>0</v>
      </c>
      <c r="J169" s="550"/>
      <c r="K169" s="551"/>
    </row>
    <row r="170" spans="1:11">
      <c r="A170" s="14" t="str">
        <f t="shared" ref="A170:A184" si="45">IF(OR(H170&gt;0,I170&gt;0),"Nur Tätigkeiten mit geplantem Aufwand","")</f>
        <v/>
      </c>
      <c r="B170" s="230"/>
      <c r="C170" s="382"/>
      <c r="D170" s="383"/>
      <c r="E170" s="384"/>
      <c r="F170" s="385"/>
      <c r="G170" s="377">
        <f t="shared" ref="G170:G184" si="46">D170*F170</f>
        <v>0</v>
      </c>
      <c r="H170" s="377">
        <f t="shared" ref="H170:H184" si="47">G170*(100-E170)/100</f>
        <v>0</v>
      </c>
      <c r="I170" s="377">
        <f t="shared" ref="I170:I184" si="48">G170*(100+E170)/100</f>
        <v>0</v>
      </c>
      <c r="J170" s="552"/>
      <c r="K170" s="553"/>
    </row>
    <row r="171" spans="1:11">
      <c r="A171" s="14" t="str">
        <f t="shared" si="45"/>
        <v/>
      </c>
      <c r="B171" s="231"/>
      <c r="C171" s="386"/>
      <c r="D171" s="387"/>
      <c r="E171" s="388"/>
      <c r="F171" s="389"/>
      <c r="G171" s="17">
        <f t="shared" si="46"/>
        <v>0</v>
      </c>
      <c r="H171" s="17">
        <f t="shared" si="47"/>
        <v>0</v>
      </c>
      <c r="I171" s="17">
        <f t="shared" si="48"/>
        <v>0</v>
      </c>
      <c r="J171" s="546"/>
      <c r="K171" s="547"/>
    </row>
    <row r="172" spans="1:11">
      <c r="A172" s="14" t="str">
        <f t="shared" si="45"/>
        <v/>
      </c>
      <c r="B172" s="231"/>
      <c r="C172" s="386"/>
      <c r="D172" s="387"/>
      <c r="E172" s="388"/>
      <c r="F172" s="389"/>
      <c r="G172" s="17">
        <f t="shared" si="46"/>
        <v>0</v>
      </c>
      <c r="H172" s="17">
        <f t="shared" si="47"/>
        <v>0</v>
      </c>
      <c r="I172" s="17">
        <f t="shared" si="48"/>
        <v>0</v>
      </c>
      <c r="J172" s="554"/>
      <c r="K172" s="555"/>
    </row>
    <row r="173" spans="1:11">
      <c r="A173" s="14" t="str">
        <f t="shared" si="45"/>
        <v/>
      </c>
      <c r="B173" s="231"/>
      <c r="C173" s="386"/>
      <c r="D173" s="387"/>
      <c r="E173" s="388"/>
      <c r="F173" s="389"/>
      <c r="G173" s="17">
        <f t="shared" si="46"/>
        <v>0</v>
      </c>
      <c r="H173" s="17">
        <f t="shared" si="47"/>
        <v>0</v>
      </c>
      <c r="I173" s="17">
        <f t="shared" si="48"/>
        <v>0</v>
      </c>
      <c r="J173" s="546"/>
      <c r="K173" s="547"/>
    </row>
    <row r="174" spans="1:11">
      <c r="A174" s="14" t="str">
        <f t="shared" si="45"/>
        <v/>
      </c>
      <c r="B174" s="231"/>
      <c r="C174" s="386"/>
      <c r="D174" s="387"/>
      <c r="E174" s="388"/>
      <c r="F174" s="389"/>
      <c r="G174" s="17">
        <f t="shared" si="46"/>
        <v>0</v>
      </c>
      <c r="H174" s="17">
        <f t="shared" si="47"/>
        <v>0</v>
      </c>
      <c r="I174" s="17">
        <f t="shared" si="48"/>
        <v>0</v>
      </c>
      <c r="J174" s="546"/>
      <c r="K174" s="547"/>
    </row>
    <row r="175" spans="1:11">
      <c r="A175" s="14" t="str">
        <f t="shared" si="45"/>
        <v/>
      </c>
      <c r="B175" s="231"/>
      <c r="C175" s="386"/>
      <c r="D175" s="387"/>
      <c r="E175" s="388"/>
      <c r="F175" s="389"/>
      <c r="G175" s="17">
        <f t="shared" si="46"/>
        <v>0</v>
      </c>
      <c r="H175" s="17">
        <f t="shared" si="47"/>
        <v>0</v>
      </c>
      <c r="I175" s="17">
        <f t="shared" si="48"/>
        <v>0</v>
      </c>
      <c r="J175" s="546"/>
      <c r="K175" s="547"/>
    </row>
    <row r="176" spans="1:11">
      <c r="A176" s="14" t="str">
        <f t="shared" si="45"/>
        <v/>
      </c>
      <c r="B176" s="231"/>
      <c r="C176" s="386"/>
      <c r="D176" s="387"/>
      <c r="E176" s="388"/>
      <c r="F176" s="389"/>
      <c r="G176" s="17">
        <f t="shared" si="46"/>
        <v>0</v>
      </c>
      <c r="H176" s="17">
        <f t="shared" si="47"/>
        <v>0</v>
      </c>
      <c r="I176" s="17">
        <f t="shared" si="48"/>
        <v>0</v>
      </c>
      <c r="J176" s="546"/>
      <c r="K176" s="547"/>
    </row>
    <row r="177" spans="1:11">
      <c r="A177" s="14" t="str">
        <f t="shared" si="45"/>
        <v/>
      </c>
      <c r="B177" s="231"/>
      <c r="C177" s="386"/>
      <c r="D177" s="387"/>
      <c r="E177" s="388"/>
      <c r="F177" s="389"/>
      <c r="G177" s="17">
        <f t="shared" si="46"/>
        <v>0</v>
      </c>
      <c r="H177" s="17">
        <f t="shared" si="47"/>
        <v>0</v>
      </c>
      <c r="I177" s="17">
        <f t="shared" si="48"/>
        <v>0</v>
      </c>
      <c r="J177" s="546"/>
      <c r="K177" s="547"/>
    </row>
    <row r="178" spans="1:11">
      <c r="A178" s="14" t="str">
        <f t="shared" si="45"/>
        <v/>
      </c>
      <c r="B178" s="231"/>
      <c r="C178" s="386"/>
      <c r="D178" s="387"/>
      <c r="E178" s="388"/>
      <c r="F178" s="389"/>
      <c r="G178" s="17">
        <f t="shared" si="46"/>
        <v>0</v>
      </c>
      <c r="H178" s="17">
        <f t="shared" si="47"/>
        <v>0</v>
      </c>
      <c r="I178" s="17">
        <f t="shared" si="48"/>
        <v>0</v>
      </c>
      <c r="J178" s="546"/>
      <c r="K178" s="547"/>
    </row>
    <row r="179" spans="1:11">
      <c r="A179" s="14" t="str">
        <f t="shared" si="45"/>
        <v/>
      </c>
      <c r="B179" s="231"/>
      <c r="C179" s="386"/>
      <c r="D179" s="387"/>
      <c r="E179" s="388"/>
      <c r="F179" s="389"/>
      <c r="G179" s="17">
        <f t="shared" si="46"/>
        <v>0</v>
      </c>
      <c r="H179" s="17">
        <f t="shared" si="47"/>
        <v>0</v>
      </c>
      <c r="I179" s="17">
        <f t="shared" si="48"/>
        <v>0</v>
      </c>
      <c r="J179" s="546"/>
      <c r="K179" s="547"/>
    </row>
    <row r="180" spans="1:11">
      <c r="A180" s="14" t="str">
        <f t="shared" si="45"/>
        <v/>
      </c>
      <c r="B180" s="231"/>
      <c r="C180" s="386"/>
      <c r="D180" s="387"/>
      <c r="E180" s="388"/>
      <c r="F180" s="389"/>
      <c r="G180" s="17">
        <f t="shared" si="46"/>
        <v>0</v>
      </c>
      <c r="H180" s="17">
        <f t="shared" si="47"/>
        <v>0</v>
      </c>
      <c r="I180" s="17">
        <f t="shared" si="48"/>
        <v>0</v>
      </c>
      <c r="J180" s="546"/>
      <c r="K180" s="547"/>
    </row>
    <row r="181" spans="1:11">
      <c r="A181" s="14" t="str">
        <f t="shared" si="45"/>
        <v/>
      </c>
      <c r="B181" s="231"/>
      <c r="C181" s="386"/>
      <c r="D181" s="387"/>
      <c r="E181" s="388"/>
      <c r="F181" s="389"/>
      <c r="G181" s="17">
        <f t="shared" si="46"/>
        <v>0</v>
      </c>
      <c r="H181" s="17">
        <f t="shared" si="47"/>
        <v>0</v>
      </c>
      <c r="I181" s="17">
        <f t="shared" si="48"/>
        <v>0</v>
      </c>
      <c r="J181" s="546"/>
      <c r="K181" s="547"/>
    </row>
    <row r="182" spans="1:11">
      <c r="A182" s="14" t="str">
        <f t="shared" si="45"/>
        <v/>
      </c>
      <c r="B182" s="231"/>
      <c r="C182" s="386"/>
      <c r="D182" s="387"/>
      <c r="E182" s="388"/>
      <c r="F182" s="389"/>
      <c r="G182" s="17">
        <f t="shared" si="46"/>
        <v>0</v>
      </c>
      <c r="H182" s="17">
        <f t="shared" si="47"/>
        <v>0</v>
      </c>
      <c r="I182" s="17">
        <f t="shared" si="48"/>
        <v>0</v>
      </c>
      <c r="J182" s="546"/>
      <c r="K182" s="547"/>
    </row>
    <row r="183" spans="1:11">
      <c r="A183" s="14" t="str">
        <f t="shared" si="45"/>
        <v/>
      </c>
      <c r="B183" s="231"/>
      <c r="C183" s="386"/>
      <c r="D183" s="387"/>
      <c r="E183" s="388"/>
      <c r="F183" s="389"/>
      <c r="G183" s="17">
        <f t="shared" si="46"/>
        <v>0</v>
      </c>
      <c r="H183" s="17">
        <f t="shared" si="47"/>
        <v>0</v>
      </c>
      <c r="I183" s="17">
        <f t="shared" si="48"/>
        <v>0</v>
      </c>
      <c r="J183" s="546"/>
      <c r="K183" s="547"/>
    </row>
    <row r="184" spans="1:11" ht="13.5" thickBot="1">
      <c r="A184" s="14" t="str">
        <f t="shared" si="45"/>
        <v/>
      </c>
      <c r="B184" s="390"/>
      <c r="C184" s="391"/>
      <c r="D184" s="392"/>
      <c r="E184" s="393"/>
      <c r="F184" s="394"/>
      <c r="G184" s="378">
        <f t="shared" si="46"/>
        <v>0</v>
      </c>
      <c r="H184" s="378">
        <f t="shared" si="47"/>
        <v>0</v>
      </c>
      <c r="I184" s="378">
        <f t="shared" si="48"/>
        <v>0</v>
      </c>
      <c r="J184" s="556"/>
      <c r="K184" s="557"/>
    </row>
    <row r="185" spans="1:11" ht="13.5" thickBot="1">
      <c r="A185" s="14" t="str">
        <f>IF(COUNTIF(A187:A201,"Nur Tätigkeiten mit geplantem Aufwand")&gt;0,"Nur Tätigkeiten mit geplantem Aufwand","")</f>
        <v/>
      </c>
      <c r="B185" s="405"/>
      <c r="C185" s="405"/>
      <c r="D185" s="405"/>
      <c r="E185" s="405"/>
      <c r="F185" s="405"/>
      <c r="G185" s="405"/>
      <c r="H185" s="405"/>
      <c r="I185" s="405"/>
      <c r="J185" s="558"/>
      <c r="K185" s="558"/>
    </row>
    <row r="186" spans="1:11" ht="13.5" thickBot="1">
      <c r="A186" s="14" t="str">
        <f>IF(COUNTIF(A187:A201,"Nur Tätigkeiten mit geplantem Aufwand")&gt;0,"Nur Tätigkeiten mit geplantem Aufwand","")</f>
        <v/>
      </c>
      <c r="B186" s="379" t="s">
        <v>227</v>
      </c>
      <c r="C186" s="380"/>
      <c r="D186" s="380"/>
      <c r="E186" s="380"/>
      <c r="F186" s="380"/>
      <c r="G186" s="381">
        <f>SUM(G187:G201)</f>
        <v>0</v>
      </c>
      <c r="H186" s="381">
        <f>SUM(H187:H201)</f>
        <v>0</v>
      </c>
      <c r="I186" s="381">
        <f>SUM(I187:I201)</f>
        <v>0</v>
      </c>
      <c r="J186" s="550"/>
      <c r="K186" s="551"/>
    </row>
    <row r="187" spans="1:11">
      <c r="A187" s="14" t="str">
        <f t="shared" ref="A187:A201" si="49">IF(OR(H187&gt;0,I187&gt;0),"Nur Tätigkeiten mit geplantem Aufwand","")</f>
        <v/>
      </c>
      <c r="B187" s="230"/>
      <c r="C187" s="382"/>
      <c r="D187" s="383"/>
      <c r="E187" s="384"/>
      <c r="F187" s="385"/>
      <c r="G187" s="377">
        <f t="shared" ref="G187:G201" si="50">D187*F187</f>
        <v>0</v>
      </c>
      <c r="H187" s="377">
        <f t="shared" ref="H187:H201" si="51">G187*(100-E187)/100</f>
        <v>0</v>
      </c>
      <c r="I187" s="377">
        <f t="shared" ref="I187:I201" si="52">G187*(100+E187)/100</f>
        <v>0</v>
      </c>
      <c r="J187" s="552"/>
      <c r="K187" s="553"/>
    </row>
    <row r="188" spans="1:11">
      <c r="A188" s="14" t="str">
        <f t="shared" si="49"/>
        <v/>
      </c>
      <c r="B188" s="231"/>
      <c r="C188" s="386"/>
      <c r="D188" s="387"/>
      <c r="E188" s="388"/>
      <c r="F188" s="389"/>
      <c r="G188" s="17">
        <f t="shared" si="50"/>
        <v>0</v>
      </c>
      <c r="H188" s="17">
        <f t="shared" si="51"/>
        <v>0</v>
      </c>
      <c r="I188" s="17">
        <f t="shared" si="52"/>
        <v>0</v>
      </c>
      <c r="J188" s="546"/>
      <c r="K188" s="547"/>
    </row>
    <row r="189" spans="1:11">
      <c r="A189" s="14" t="str">
        <f t="shared" si="49"/>
        <v/>
      </c>
      <c r="B189" s="231"/>
      <c r="C189" s="386"/>
      <c r="D189" s="387"/>
      <c r="E189" s="388"/>
      <c r="F189" s="389"/>
      <c r="G189" s="17">
        <f t="shared" si="50"/>
        <v>0</v>
      </c>
      <c r="H189" s="17">
        <f t="shared" si="51"/>
        <v>0</v>
      </c>
      <c r="I189" s="17">
        <f t="shared" si="52"/>
        <v>0</v>
      </c>
      <c r="J189" s="554"/>
      <c r="K189" s="555"/>
    </row>
    <row r="190" spans="1:11">
      <c r="A190" s="14" t="str">
        <f t="shared" si="49"/>
        <v/>
      </c>
      <c r="B190" s="231"/>
      <c r="C190" s="386"/>
      <c r="D190" s="387"/>
      <c r="E190" s="388"/>
      <c r="F190" s="389"/>
      <c r="G190" s="17">
        <f t="shared" si="50"/>
        <v>0</v>
      </c>
      <c r="H190" s="17">
        <f t="shared" si="51"/>
        <v>0</v>
      </c>
      <c r="I190" s="17">
        <f t="shared" si="52"/>
        <v>0</v>
      </c>
      <c r="J190" s="546"/>
      <c r="K190" s="547"/>
    </row>
    <row r="191" spans="1:11">
      <c r="A191" s="14" t="str">
        <f t="shared" si="49"/>
        <v/>
      </c>
      <c r="B191" s="231"/>
      <c r="C191" s="386"/>
      <c r="D191" s="387"/>
      <c r="E191" s="388"/>
      <c r="F191" s="389"/>
      <c r="G191" s="17">
        <f t="shared" si="50"/>
        <v>0</v>
      </c>
      <c r="H191" s="17">
        <f t="shared" si="51"/>
        <v>0</v>
      </c>
      <c r="I191" s="17">
        <f t="shared" si="52"/>
        <v>0</v>
      </c>
      <c r="J191" s="546"/>
      <c r="K191" s="547"/>
    </row>
    <row r="192" spans="1:11">
      <c r="A192" s="14" t="str">
        <f t="shared" si="49"/>
        <v/>
      </c>
      <c r="B192" s="231"/>
      <c r="C192" s="386"/>
      <c r="D192" s="387"/>
      <c r="E192" s="388"/>
      <c r="F192" s="389"/>
      <c r="G192" s="17">
        <f t="shared" si="50"/>
        <v>0</v>
      </c>
      <c r="H192" s="17">
        <f t="shared" si="51"/>
        <v>0</v>
      </c>
      <c r="I192" s="17">
        <f t="shared" si="52"/>
        <v>0</v>
      </c>
      <c r="J192" s="546"/>
      <c r="K192" s="547"/>
    </row>
    <row r="193" spans="1:11">
      <c r="A193" s="14" t="str">
        <f t="shared" si="49"/>
        <v/>
      </c>
      <c r="B193" s="231"/>
      <c r="C193" s="386"/>
      <c r="D193" s="387"/>
      <c r="E193" s="388"/>
      <c r="F193" s="389"/>
      <c r="G193" s="17">
        <f t="shared" si="50"/>
        <v>0</v>
      </c>
      <c r="H193" s="17">
        <f t="shared" si="51"/>
        <v>0</v>
      </c>
      <c r="I193" s="17">
        <f t="shared" si="52"/>
        <v>0</v>
      </c>
      <c r="J193" s="546"/>
      <c r="K193" s="547"/>
    </row>
    <row r="194" spans="1:11">
      <c r="A194" s="14" t="str">
        <f t="shared" si="49"/>
        <v/>
      </c>
      <c r="B194" s="231"/>
      <c r="C194" s="386"/>
      <c r="D194" s="387"/>
      <c r="E194" s="388"/>
      <c r="F194" s="389"/>
      <c r="G194" s="17">
        <f t="shared" si="50"/>
        <v>0</v>
      </c>
      <c r="H194" s="17">
        <f t="shared" si="51"/>
        <v>0</v>
      </c>
      <c r="I194" s="17">
        <f t="shared" si="52"/>
        <v>0</v>
      </c>
      <c r="J194" s="546"/>
      <c r="K194" s="547"/>
    </row>
    <row r="195" spans="1:11">
      <c r="A195" s="14" t="str">
        <f t="shared" si="49"/>
        <v/>
      </c>
      <c r="B195" s="231"/>
      <c r="C195" s="386"/>
      <c r="D195" s="387"/>
      <c r="E195" s="388"/>
      <c r="F195" s="389"/>
      <c r="G195" s="17">
        <f t="shared" si="50"/>
        <v>0</v>
      </c>
      <c r="H195" s="17">
        <f t="shared" si="51"/>
        <v>0</v>
      </c>
      <c r="I195" s="17">
        <f t="shared" si="52"/>
        <v>0</v>
      </c>
      <c r="J195" s="546"/>
      <c r="K195" s="547"/>
    </row>
    <row r="196" spans="1:11">
      <c r="A196" s="14" t="str">
        <f t="shared" si="49"/>
        <v/>
      </c>
      <c r="B196" s="231"/>
      <c r="C196" s="386"/>
      <c r="D196" s="387"/>
      <c r="E196" s="388"/>
      <c r="F196" s="389"/>
      <c r="G196" s="17">
        <f t="shared" si="50"/>
        <v>0</v>
      </c>
      <c r="H196" s="17">
        <f t="shared" si="51"/>
        <v>0</v>
      </c>
      <c r="I196" s="17">
        <f t="shared" si="52"/>
        <v>0</v>
      </c>
      <c r="J196" s="546"/>
      <c r="K196" s="547"/>
    </row>
    <row r="197" spans="1:11">
      <c r="A197" s="14" t="str">
        <f t="shared" si="49"/>
        <v/>
      </c>
      <c r="B197" s="231"/>
      <c r="C197" s="386"/>
      <c r="D197" s="387"/>
      <c r="E197" s="388"/>
      <c r="F197" s="389"/>
      <c r="G197" s="17">
        <f t="shared" si="50"/>
        <v>0</v>
      </c>
      <c r="H197" s="17">
        <f t="shared" si="51"/>
        <v>0</v>
      </c>
      <c r="I197" s="17">
        <f t="shared" si="52"/>
        <v>0</v>
      </c>
      <c r="J197" s="546"/>
      <c r="K197" s="547"/>
    </row>
    <row r="198" spans="1:11">
      <c r="A198" s="14" t="str">
        <f t="shared" si="49"/>
        <v/>
      </c>
      <c r="B198" s="231"/>
      <c r="C198" s="386"/>
      <c r="D198" s="387"/>
      <c r="E198" s="388"/>
      <c r="F198" s="389"/>
      <c r="G198" s="17">
        <f t="shared" si="50"/>
        <v>0</v>
      </c>
      <c r="H198" s="17">
        <f t="shared" si="51"/>
        <v>0</v>
      </c>
      <c r="I198" s="17">
        <f t="shared" si="52"/>
        <v>0</v>
      </c>
      <c r="J198" s="546"/>
      <c r="K198" s="547"/>
    </row>
    <row r="199" spans="1:11">
      <c r="A199" s="14" t="str">
        <f t="shared" si="49"/>
        <v/>
      </c>
      <c r="B199" s="231"/>
      <c r="C199" s="386"/>
      <c r="D199" s="387"/>
      <c r="E199" s="388"/>
      <c r="F199" s="389"/>
      <c r="G199" s="17">
        <f t="shared" si="50"/>
        <v>0</v>
      </c>
      <c r="H199" s="17">
        <f t="shared" si="51"/>
        <v>0</v>
      </c>
      <c r="I199" s="17">
        <f t="shared" si="52"/>
        <v>0</v>
      </c>
      <c r="J199" s="546"/>
      <c r="K199" s="547"/>
    </row>
    <row r="200" spans="1:11">
      <c r="A200" s="14" t="str">
        <f t="shared" si="49"/>
        <v/>
      </c>
      <c r="B200" s="231"/>
      <c r="C200" s="386"/>
      <c r="D200" s="387"/>
      <c r="E200" s="388"/>
      <c r="F200" s="389"/>
      <c r="G200" s="17">
        <f t="shared" si="50"/>
        <v>0</v>
      </c>
      <c r="H200" s="17">
        <f t="shared" si="51"/>
        <v>0</v>
      </c>
      <c r="I200" s="17">
        <f t="shared" si="52"/>
        <v>0</v>
      </c>
      <c r="J200" s="546"/>
      <c r="K200" s="547"/>
    </row>
    <row r="201" spans="1:11" ht="13.5" thickBot="1">
      <c r="A201" s="14" t="str">
        <f t="shared" si="49"/>
        <v/>
      </c>
      <c r="B201" s="390"/>
      <c r="C201" s="391"/>
      <c r="D201" s="392"/>
      <c r="E201" s="393"/>
      <c r="F201" s="394"/>
      <c r="G201" s="378">
        <f t="shared" si="50"/>
        <v>0</v>
      </c>
      <c r="H201" s="378">
        <f t="shared" si="51"/>
        <v>0</v>
      </c>
      <c r="I201" s="378">
        <f t="shared" si="52"/>
        <v>0</v>
      </c>
      <c r="J201" s="556"/>
      <c r="K201" s="557"/>
    </row>
    <row r="202" spans="1:11" ht="13.5" thickBot="1">
      <c r="A202" s="14" t="str">
        <f>IF(COUNTIF(A204:A218,"Nur Tätigkeiten mit geplantem Aufwand")&gt;0,"Nur Tätigkeiten mit geplantem Aufwand","")</f>
        <v/>
      </c>
      <c r="B202" s="405"/>
      <c r="C202" s="405"/>
      <c r="D202" s="405"/>
      <c r="E202" s="405"/>
      <c r="F202" s="405"/>
      <c r="G202" s="405"/>
      <c r="H202" s="405"/>
      <c r="I202" s="405"/>
      <c r="J202" s="558"/>
      <c r="K202" s="558"/>
    </row>
    <row r="203" spans="1:11" ht="13.5" thickBot="1">
      <c r="A203" s="14" t="str">
        <f>IF(COUNTIF(A204:A218,"Nur Tätigkeiten mit geplantem Aufwand")&gt;0,"Nur Tätigkeiten mit geplantem Aufwand","")</f>
        <v/>
      </c>
      <c r="B203" s="379" t="s">
        <v>228</v>
      </c>
      <c r="C203" s="380"/>
      <c r="D203" s="380"/>
      <c r="E203" s="380"/>
      <c r="F203" s="380"/>
      <c r="G203" s="381">
        <f>SUM(G204:G218)</f>
        <v>0</v>
      </c>
      <c r="H203" s="381">
        <f>SUM(H204:H218)</f>
        <v>0</v>
      </c>
      <c r="I203" s="381">
        <f>SUM(I204:I218)</f>
        <v>0</v>
      </c>
      <c r="J203" s="550"/>
      <c r="K203" s="551"/>
    </row>
    <row r="204" spans="1:11">
      <c r="A204" s="14" t="str">
        <f t="shared" ref="A204:A218" si="53">IF(OR(H204&gt;0,I204&gt;0),"Nur Tätigkeiten mit geplantem Aufwand","")</f>
        <v/>
      </c>
      <c r="B204" s="230"/>
      <c r="C204" s="382"/>
      <c r="D204" s="383"/>
      <c r="E204" s="384"/>
      <c r="F204" s="385"/>
      <c r="G204" s="377">
        <f t="shared" ref="G204:G218" si="54">D204*F204</f>
        <v>0</v>
      </c>
      <c r="H204" s="377">
        <f t="shared" ref="H204:H218" si="55">G204*(100-E204)/100</f>
        <v>0</v>
      </c>
      <c r="I204" s="377">
        <f t="shared" ref="I204:I218" si="56">G204*(100+E204)/100</f>
        <v>0</v>
      </c>
      <c r="J204" s="552"/>
      <c r="K204" s="553"/>
    </row>
    <row r="205" spans="1:11">
      <c r="A205" s="14" t="str">
        <f t="shared" si="53"/>
        <v/>
      </c>
      <c r="B205" s="231"/>
      <c r="C205" s="386"/>
      <c r="D205" s="387"/>
      <c r="E205" s="388"/>
      <c r="F205" s="389"/>
      <c r="G205" s="17">
        <f t="shared" si="54"/>
        <v>0</v>
      </c>
      <c r="H205" s="17">
        <f t="shared" si="55"/>
        <v>0</v>
      </c>
      <c r="I205" s="17">
        <f t="shared" si="56"/>
        <v>0</v>
      </c>
      <c r="J205" s="546"/>
      <c r="K205" s="547"/>
    </row>
    <row r="206" spans="1:11">
      <c r="A206" s="14" t="str">
        <f t="shared" si="53"/>
        <v/>
      </c>
      <c r="B206" s="231"/>
      <c r="C206" s="386"/>
      <c r="D206" s="387"/>
      <c r="E206" s="388"/>
      <c r="F206" s="389"/>
      <c r="G206" s="17">
        <f t="shared" si="54"/>
        <v>0</v>
      </c>
      <c r="H206" s="17">
        <f t="shared" si="55"/>
        <v>0</v>
      </c>
      <c r="I206" s="17">
        <f t="shared" si="56"/>
        <v>0</v>
      </c>
      <c r="J206" s="554"/>
      <c r="K206" s="555"/>
    </row>
    <row r="207" spans="1:11">
      <c r="A207" s="14" t="str">
        <f t="shared" si="53"/>
        <v/>
      </c>
      <c r="B207" s="231"/>
      <c r="C207" s="386"/>
      <c r="D207" s="387"/>
      <c r="E207" s="388"/>
      <c r="F207" s="389"/>
      <c r="G207" s="17">
        <f t="shared" si="54"/>
        <v>0</v>
      </c>
      <c r="H207" s="17">
        <f t="shared" si="55"/>
        <v>0</v>
      </c>
      <c r="I207" s="17">
        <f t="shared" si="56"/>
        <v>0</v>
      </c>
      <c r="J207" s="546"/>
      <c r="K207" s="547"/>
    </row>
    <row r="208" spans="1:11">
      <c r="A208" s="14" t="str">
        <f t="shared" si="53"/>
        <v/>
      </c>
      <c r="B208" s="231"/>
      <c r="C208" s="386"/>
      <c r="D208" s="387"/>
      <c r="E208" s="388"/>
      <c r="F208" s="389"/>
      <c r="G208" s="17">
        <f t="shared" si="54"/>
        <v>0</v>
      </c>
      <c r="H208" s="17">
        <f t="shared" si="55"/>
        <v>0</v>
      </c>
      <c r="I208" s="17">
        <f t="shared" si="56"/>
        <v>0</v>
      </c>
      <c r="J208" s="546"/>
      <c r="K208" s="547"/>
    </row>
    <row r="209" spans="1:11">
      <c r="A209" s="14" t="str">
        <f t="shared" si="53"/>
        <v/>
      </c>
      <c r="B209" s="231"/>
      <c r="C209" s="386"/>
      <c r="D209" s="387"/>
      <c r="E209" s="388"/>
      <c r="F209" s="389"/>
      <c r="G209" s="17">
        <f t="shared" si="54"/>
        <v>0</v>
      </c>
      <c r="H209" s="17">
        <f t="shared" si="55"/>
        <v>0</v>
      </c>
      <c r="I209" s="17">
        <f t="shared" si="56"/>
        <v>0</v>
      </c>
      <c r="J209" s="546"/>
      <c r="K209" s="547"/>
    </row>
    <row r="210" spans="1:11">
      <c r="A210" s="14" t="str">
        <f t="shared" si="53"/>
        <v/>
      </c>
      <c r="B210" s="231"/>
      <c r="C210" s="386"/>
      <c r="D210" s="387"/>
      <c r="E210" s="388"/>
      <c r="F210" s="389"/>
      <c r="G210" s="17">
        <f t="shared" si="54"/>
        <v>0</v>
      </c>
      <c r="H210" s="17">
        <f t="shared" si="55"/>
        <v>0</v>
      </c>
      <c r="I210" s="17">
        <f t="shared" si="56"/>
        <v>0</v>
      </c>
      <c r="J210" s="546"/>
      <c r="K210" s="547"/>
    </row>
    <row r="211" spans="1:11">
      <c r="A211" s="14" t="str">
        <f t="shared" si="53"/>
        <v/>
      </c>
      <c r="B211" s="231"/>
      <c r="C211" s="386"/>
      <c r="D211" s="387"/>
      <c r="E211" s="388"/>
      <c r="F211" s="389"/>
      <c r="G211" s="17">
        <f t="shared" si="54"/>
        <v>0</v>
      </c>
      <c r="H211" s="17">
        <f t="shared" si="55"/>
        <v>0</v>
      </c>
      <c r="I211" s="17">
        <f t="shared" si="56"/>
        <v>0</v>
      </c>
      <c r="J211" s="546"/>
      <c r="K211" s="547"/>
    </row>
    <row r="212" spans="1:11">
      <c r="A212" s="14" t="str">
        <f t="shared" si="53"/>
        <v/>
      </c>
      <c r="B212" s="231"/>
      <c r="C212" s="386"/>
      <c r="D212" s="387"/>
      <c r="E212" s="388"/>
      <c r="F212" s="389"/>
      <c r="G212" s="17">
        <f t="shared" si="54"/>
        <v>0</v>
      </c>
      <c r="H212" s="17">
        <f t="shared" si="55"/>
        <v>0</v>
      </c>
      <c r="I212" s="17">
        <f t="shared" si="56"/>
        <v>0</v>
      </c>
      <c r="J212" s="546"/>
      <c r="K212" s="547"/>
    </row>
    <row r="213" spans="1:11">
      <c r="A213" s="14" t="str">
        <f t="shared" si="53"/>
        <v/>
      </c>
      <c r="B213" s="231"/>
      <c r="C213" s="386"/>
      <c r="D213" s="387"/>
      <c r="E213" s="388"/>
      <c r="F213" s="389"/>
      <c r="G213" s="17">
        <f t="shared" si="54"/>
        <v>0</v>
      </c>
      <c r="H213" s="17">
        <f t="shared" si="55"/>
        <v>0</v>
      </c>
      <c r="I213" s="17">
        <f t="shared" si="56"/>
        <v>0</v>
      </c>
      <c r="J213" s="546"/>
      <c r="K213" s="547"/>
    </row>
    <row r="214" spans="1:11">
      <c r="A214" s="14" t="str">
        <f t="shared" si="53"/>
        <v/>
      </c>
      <c r="B214" s="231"/>
      <c r="C214" s="386"/>
      <c r="D214" s="387"/>
      <c r="E214" s="388"/>
      <c r="F214" s="389"/>
      <c r="G214" s="17">
        <f t="shared" si="54"/>
        <v>0</v>
      </c>
      <c r="H214" s="17">
        <f t="shared" si="55"/>
        <v>0</v>
      </c>
      <c r="I214" s="17">
        <f t="shared" si="56"/>
        <v>0</v>
      </c>
      <c r="J214" s="546"/>
      <c r="K214" s="547"/>
    </row>
    <row r="215" spans="1:11">
      <c r="A215" s="14" t="str">
        <f t="shared" si="53"/>
        <v/>
      </c>
      <c r="B215" s="231"/>
      <c r="C215" s="386"/>
      <c r="D215" s="387"/>
      <c r="E215" s="388"/>
      <c r="F215" s="389"/>
      <c r="G215" s="17">
        <f t="shared" si="54"/>
        <v>0</v>
      </c>
      <c r="H215" s="17">
        <f t="shared" si="55"/>
        <v>0</v>
      </c>
      <c r="I215" s="17">
        <f t="shared" si="56"/>
        <v>0</v>
      </c>
      <c r="J215" s="546"/>
      <c r="K215" s="547"/>
    </row>
    <row r="216" spans="1:11">
      <c r="A216" s="14" t="str">
        <f t="shared" si="53"/>
        <v/>
      </c>
      <c r="B216" s="231"/>
      <c r="C216" s="386"/>
      <c r="D216" s="387"/>
      <c r="E216" s="388"/>
      <c r="F216" s="389"/>
      <c r="G216" s="17">
        <f t="shared" si="54"/>
        <v>0</v>
      </c>
      <c r="H216" s="17">
        <f t="shared" si="55"/>
        <v>0</v>
      </c>
      <c r="I216" s="17">
        <f t="shared" si="56"/>
        <v>0</v>
      </c>
      <c r="J216" s="546"/>
      <c r="K216" s="547"/>
    </row>
    <row r="217" spans="1:11">
      <c r="A217" s="14" t="str">
        <f t="shared" si="53"/>
        <v/>
      </c>
      <c r="B217" s="231"/>
      <c r="C217" s="386"/>
      <c r="D217" s="387"/>
      <c r="E217" s="388"/>
      <c r="F217" s="389"/>
      <c r="G217" s="17">
        <f t="shared" si="54"/>
        <v>0</v>
      </c>
      <c r="H217" s="17">
        <f t="shared" si="55"/>
        <v>0</v>
      </c>
      <c r="I217" s="17">
        <f t="shared" si="56"/>
        <v>0</v>
      </c>
      <c r="J217" s="546"/>
      <c r="K217" s="547"/>
    </row>
    <row r="218" spans="1:11" ht="13.5" thickBot="1">
      <c r="A218" s="14" t="str">
        <f t="shared" si="53"/>
        <v/>
      </c>
      <c r="B218" s="390"/>
      <c r="C218" s="391"/>
      <c r="D218" s="392"/>
      <c r="E218" s="393"/>
      <c r="F218" s="394"/>
      <c r="G218" s="378">
        <f t="shared" si="54"/>
        <v>0</v>
      </c>
      <c r="H218" s="378">
        <f t="shared" si="55"/>
        <v>0</v>
      </c>
      <c r="I218" s="378">
        <f t="shared" si="56"/>
        <v>0</v>
      </c>
      <c r="J218" s="556"/>
      <c r="K218" s="557"/>
    </row>
    <row r="219" spans="1:11" ht="13.5" thickBot="1">
      <c r="A219" s="14" t="str">
        <f>IF(COUNTIF(A221:A235,"Nur Tätigkeiten mit geplantem Aufwand")&gt;0,"Nur Tätigkeiten mit geplantem Aufwand","")</f>
        <v/>
      </c>
      <c r="B219" s="405"/>
      <c r="C219" s="405"/>
      <c r="D219" s="405"/>
      <c r="E219" s="405"/>
      <c r="F219" s="405"/>
      <c r="G219" s="405"/>
      <c r="H219" s="405"/>
      <c r="I219" s="405"/>
      <c r="J219" s="558"/>
      <c r="K219" s="558"/>
    </row>
    <row r="220" spans="1:11" ht="13.5" thickBot="1">
      <c r="A220" s="14" t="str">
        <f>IF(COUNTIF(A221:A235,"Nur Tätigkeiten mit geplantem Aufwand")&gt;0,"Nur Tätigkeiten mit geplantem Aufwand","")</f>
        <v/>
      </c>
      <c r="B220" s="379" t="s">
        <v>10</v>
      </c>
      <c r="C220" s="380"/>
      <c r="D220" s="380"/>
      <c r="E220" s="380"/>
      <c r="F220" s="380"/>
      <c r="G220" s="381">
        <f>SUM(G221:G235)</f>
        <v>0</v>
      </c>
      <c r="H220" s="381">
        <f>SUM(H221:H235)</f>
        <v>0</v>
      </c>
      <c r="I220" s="381">
        <f>SUM(I221:I235)</f>
        <v>0</v>
      </c>
      <c r="J220" s="550"/>
      <c r="K220" s="551"/>
    </row>
    <row r="221" spans="1:11">
      <c r="A221" s="14" t="str">
        <f>IF(OR(H221&gt;0,I221&gt;0),"Nur Tätigkeiten mit geplantem Aufwand","")</f>
        <v/>
      </c>
      <c r="B221" s="230"/>
      <c r="C221" s="382"/>
      <c r="D221" s="383"/>
      <c r="E221" s="384"/>
      <c r="F221" s="385"/>
      <c r="G221" s="377">
        <f t="shared" ref="G221:G235" si="57">D221*F221</f>
        <v>0</v>
      </c>
      <c r="H221" s="377">
        <f t="shared" ref="H221:H235" si="58">G221*(100-E221)/100</f>
        <v>0</v>
      </c>
      <c r="I221" s="377">
        <f t="shared" ref="I221:I235" si="59">G221*(100+E221)/100</f>
        <v>0</v>
      </c>
      <c r="J221" s="552"/>
      <c r="K221" s="553"/>
    </row>
    <row r="222" spans="1:11">
      <c r="A222" s="14" t="str">
        <f t="shared" ref="A222:A235" si="60">IF(OR(H222&gt;0,I222&gt;0),"Nur Tätigkeiten mit geplantem Aufwand","")</f>
        <v/>
      </c>
      <c r="B222" s="231"/>
      <c r="C222" s="386"/>
      <c r="D222" s="387"/>
      <c r="E222" s="388"/>
      <c r="F222" s="389"/>
      <c r="G222" s="17">
        <f t="shared" si="57"/>
        <v>0</v>
      </c>
      <c r="H222" s="17">
        <f t="shared" si="58"/>
        <v>0</v>
      </c>
      <c r="I222" s="17">
        <f t="shared" si="59"/>
        <v>0</v>
      </c>
      <c r="J222" s="546"/>
      <c r="K222" s="547"/>
    </row>
    <row r="223" spans="1:11">
      <c r="A223" s="14" t="str">
        <f t="shared" si="60"/>
        <v/>
      </c>
      <c r="B223" s="231"/>
      <c r="C223" s="386"/>
      <c r="D223" s="387"/>
      <c r="E223" s="388"/>
      <c r="F223" s="389"/>
      <c r="G223" s="17">
        <f t="shared" si="57"/>
        <v>0</v>
      </c>
      <c r="H223" s="17">
        <f t="shared" si="58"/>
        <v>0</v>
      </c>
      <c r="I223" s="17">
        <f t="shared" si="59"/>
        <v>0</v>
      </c>
      <c r="J223" s="554"/>
      <c r="K223" s="555"/>
    </row>
    <row r="224" spans="1:11">
      <c r="A224" s="14" t="str">
        <f t="shared" si="60"/>
        <v/>
      </c>
      <c r="B224" s="231"/>
      <c r="C224" s="386"/>
      <c r="D224" s="387"/>
      <c r="E224" s="388"/>
      <c r="F224" s="389"/>
      <c r="G224" s="17">
        <f t="shared" si="57"/>
        <v>0</v>
      </c>
      <c r="H224" s="17">
        <f t="shared" si="58"/>
        <v>0</v>
      </c>
      <c r="I224" s="17">
        <f t="shared" si="59"/>
        <v>0</v>
      </c>
      <c r="J224" s="546"/>
      <c r="K224" s="547"/>
    </row>
    <row r="225" spans="1:11">
      <c r="A225" s="14" t="str">
        <f t="shared" si="60"/>
        <v/>
      </c>
      <c r="B225" s="231"/>
      <c r="C225" s="386"/>
      <c r="D225" s="387"/>
      <c r="E225" s="388"/>
      <c r="F225" s="389"/>
      <c r="G225" s="17">
        <f t="shared" si="57"/>
        <v>0</v>
      </c>
      <c r="H225" s="17">
        <f t="shared" si="58"/>
        <v>0</v>
      </c>
      <c r="I225" s="17">
        <f t="shared" si="59"/>
        <v>0</v>
      </c>
      <c r="J225" s="546"/>
      <c r="K225" s="547"/>
    </row>
    <row r="226" spans="1:11">
      <c r="A226" s="14" t="str">
        <f t="shared" si="60"/>
        <v/>
      </c>
      <c r="B226" s="231"/>
      <c r="C226" s="386"/>
      <c r="D226" s="387"/>
      <c r="E226" s="388"/>
      <c r="F226" s="389"/>
      <c r="G226" s="17">
        <f t="shared" si="57"/>
        <v>0</v>
      </c>
      <c r="H226" s="17">
        <f t="shared" si="58"/>
        <v>0</v>
      </c>
      <c r="I226" s="17">
        <f t="shared" si="59"/>
        <v>0</v>
      </c>
      <c r="J226" s="546"/>
      <c r="K226" s="547"/>
    </row>
    <row r="227" spans="1:11">
      <c r="A227" s="14" t="str">
        <f t="shared" si="60"/>
        <v/>
      </c>
      <c r="B227" s="231"/>
      <c r="C227" s="386"/>
      <c r="D227" s="387"/>
      <c r="E227" s="388"/>
      <c r="F227" s="389"/>
      <c r="G227" s="17">
        <f t="shared" si="57"/>
        <v>0</v>
      </c>
      <c r="H227" s="17">
        <f t="shared" si="58"/>
        <v>0</v>
      </c>
      <c r="I227" s="17">
        <f t="shared" si="59"/>
        <v>0</v>
      </c>
      <c r="J227" s="546"/>
      <c r="K227" s="547"/>
    </row>
    <row r="228" spans="1:11">
      <c r="A228" s="14" t="str">
        <f t="shared" si="60"/>
        <v/>
      </c>
      <c r="B228" s="231"/>
      <c r="C228" s="386"/>
      <c r="D228" s="387"/>
      <c r="E228" s="388"/>
      <c r="F228" s="389"/>
      <c r="G228" s="17">
        <f t="shared" si="57"/>
        <v>0</v>
      </c>
      <c r="H228" s="17">
        <f t="shared" si="58"/>
        <v>0</v>
      </c>
      <c r="I228" s="17">
        <f t="shared" si="59"/>
        <v>0</v>
      </c>
      <c r="J228" s="546"/>
      <c r="K228" s="547"/>
    </row>
    <row r="229" spans="1:11">
      <c r="A229" s="14" t="str">
        <f t="shared" si="60"/>
        <v/>
      </c>
      <c r="B229" s="231"/>
      <c r="C229" s="386"/>
      <c r="D229" s="387"/>
      <c r="E229" s="388"/>
      <c r="F229" s="389"/>
      <c r="G229" s="17">
        <f t="shared" si="57"/>
        <v>0</v>
      </c>
      <c r="H229" s="17">
        <f t="shared" si="58"/>
        <v>0</v>
      </c>
      <c r="I229" s="17">
        <f t="shared" si="59"/>
        <v>0</v>
      </c>
      <c r="J229" s="546"/>
      <c r="K229" s="547"/>
    </row>
    <row r="230" spans="1:11">
      <c r="A230" s="14" t="str">
        <f t="shared" si="60"/>
        <v/>
      </c>
      <c r="B230" s="231"/>
      <c r="C230" s="386"/>
      <c r="D230" s="387"/>
      <c r="E230" s="388"/>
      <c r="F230" s="389"/>
      <c r="G230" s="17">
        <f t="shared" si="57"/>
        <v>0</v>
      </c>
      <c r="H230" s="17">
        <f t="shared" si="58"/>
        <v>0</v>
      </c>
      <c r="I230" s="17">
        <f t="shared" si="59"/>
        <v>0</v>
      </c>
      <c r="J230" s="546"/>
      <c r="K230" s="547"/>
    </row>
    <row r="231" spans="1:11">
      <c r="A231" s="14" t="str">
        <f t="shared" si="60"/>
        <v/>
      </c>
      <c r="B231" s="231"/>
      <c r="C231" s="386"/>
      <c r="D231" s="387"/>
      <c r="E231" s="388"/>
      <c r="F231" s="389"/>
      <c r="G231" s="17">
        <f t="shared" si="57"/>
        <v>0</v>
      </c>
      <c r="H231" s="17">
        <f t="shared" si="58"/>
        <v>0</v>
      </c>
      <c r="I231" s="17">
        <f t="shared" si="59"/>
        <v>0</v>
      </c>
      <c r="J231" s="546"/>
      <c r="K231" s="547"/>
    </row>
    <row r="232" spans="1:11">
      <c r="A232" s="14" t="str">
        <f t="shared" si="60"/>
        <v/>
      </c>
      <c r="B232" s="231"/>
      <c r="C232" s="386"/>
      <c r="D232" s="387"/>
      <c r="E232" s="388"/>
      <c r="F232" s="389"/>
      <c r="G232" s="17">
        <f t="shared" si="57"/>
        <v>0</v>
      </c>
      <c r="H232" s="17">
        <f t="shared" si="58"/>
        <v>0</v>
      </c>
      <c r="I232" s="17">
        <f t="shared" si="59"/>
        <v>0</v>
      </c>
      <c r="J232" s="546"/>
      <c r="K232" s="547"/>
    </row>
    <row r="233" spans="1:11">
      <c r="A233" s="14" t="str">
        <f t="shared" si="60"/>
        <v/>
      </c>
      <c r="B233" s="231"/>
      <c r="C233" s="386"/>
      <c r="D233" s="387"/>
      <c r="E233" s="388"/>
      <c r="F233" s="389"/>
      <c r="G233" s="17">
        <f t="shared" si="57"/>
        <v>0</v>
      </c>
      <c r="H233" s="17">
        <f t="shared" si="58"/>
        <v>0</v>
      </c>
      <c r="I233" s="17">
        <f t="shared" si="59"/>
        <v>0</v>
      </c>
      <c r="J233" s="546"/>
      <c r="K233" s="547"/>
    </row>
    <row r="234" spans="1:11">
      <c r="A234" s="14" t="str">
        <f t="shared" si="60"/>
        <v/>
      </c>
      <c r="B234" s="231"/>
      <c r="C234" s="386"/>
      <c r="D234" s="387"/>
      <c r="E234" s="388"/>
      <c r="F234" s="389"/>
      <c r="G234" s="17">
        <f t="shared" si="57"/>
        <v>0</v>
      </c>
      <c r="H234" s="17">
        <f t="shared" si="58"/>
        <v>0</v>
      </c>
      <c r="I234" s="17">
        <f t="shared" si="59"/>
        <v>0</v>
      </c>
      <c r="J234" s="546"/>
      <c r="K234" s="547"/>
    </row>
    <row r="235" spans="1:11" ht="13.5" thickBot="1">
      <c r="A235" s="14" t="str">
        <f t="shared" si="60"/>
        <v/>
      </c>
      <c r="B235" s="390"/>
      <c r="C235" s="391"/>
      <c r="D235" s="392"/>
      <c r="E235" s="393"/>
      <c r="F235" s="394"/>
      <c r="G235" s="378">
        <f t="shared" si="57"/>
        <v>0</v>
      </c>
      <c r="H235" s="378">
        <f t="shared" si="58"/>
        <v>0</v>
      </c>
      <c r="I235" s="378">
        <f t="shared" si="59"/>
        <v>0</v>
      </c>
      <c r="J235" s="556"/>
      <c r="K235" s="557"/>
    </row>
    <row r="236" spans="1:11" ht="13.5" thickBot="1">
      <c r="A236" s="14" t="s">
        <v>236</v>
      </c>
      <c r="B236" s="407"/>
      <c r="C236" s="408"/>
      <c r="D236" s="408"/>
      <c r="E236" s="405"/>
      <c r="F236" s="405"/>
      <c r="G236" s="405"/>
      <c r="H236" s="405"/>
      <c r="I236" s="405"/>
      <c r="J236" s="408"/>
      <c r="K236" s="408"/>
    </row>
    <row r="237" spans="1:11">
      <c r="A237" s="14" t="s">
        <v>236</v>
      </c>
      <c r="B237" s="5"/>
      <c r="C237" s="5"/>
      <c r="E237" s="540" t="s">
        <v>242</v>
      </c>
      <c r="F237" s="541"/>
      <c r="G237" s="17">
        <f>G118+G135+G152+G101+G84+G169+G67+G16+G33+G203+G50+G220+G186</f>
        <v>7070</v>
      </c>
      <c r="H237" s="17">
        <f>H118+H135+H152+H101+H84+H169+H67+H16+H33+H203+H50+H220+H186</f>
        <v>5895</v>
      </c>
      <c r="I237" s="406">
        <f>I118+I135+I152+I101+I84+I169+I67+I16+I33+I203+I50+I220+I186</f>
        <v>8245</v>
      </c>
      <c r="J237" s="16"/>
    </row>
    <row r="238" spans="1:11" ht="15">
      <c r="A238" s="14" t="s">
        <v>236</v>
      </c>
      <c r="B238" s="5"/>
      <c r="E238" s="542" t="s">
        <v>243</v>
      </c>
      <c r="F238" s="543"/>
      <c r="G238" s="396">
        <v>0.1</v>
      </c>
      <c r="H238" s="396">
        <v>0.05</v>
      </c>
      <c r="I238" s="397">
        <v>0.15</v>
      </c>
      <c r="J238" s="16"/>
    </row>
    <row r="239" spans="1:11" ht="15.75" thickBot="1">
      <c r="A239" s="14" t="s">
        <v>236</v>
      </c>
      <c r="B239" s="5"/>
      <c r="E239" s="544" t="s">
        <v>244</v>
      </c>
      <c r="F239" s="545"/>
      <c r="G239" s="395">
        <f>G237*(1+G238)</f>
        <v>7777.0000000000009</v>
      </c>
      <c r="H239" s="395">
        <f>H237*(1+H238)</f>
        <v>6189.75</v>
      </c>
      <c r="I239" s="175">
        <f>I237*(1+I238)</f>
        <v>9481.75</v>
      </c>
      <c r="J239" s="16"/>
    </row>
    <row r="240" spans="1:11">
      <c r="B240" s="5"/>
      <c r="F240" s="5"/>
      <c r="G240" s="5"/>
    </row>
    <row r="241" spans="2:2">
      <c r="B241" s="135" t="s">
        <v>372</v>
      </c>
    </row>
  </sheetData>
  <sheetProtection algorithmName="SHA-512" hashValue="HUxeDDgmhkh6qEefkTTgrQr4Pv2fkuZbJgC5Pl6bZiGIoqvwmyNv+nqvP8GQYOF+a/FZvxEx0aa1b6lPPrNahQ==" saltValue="7r73/Fr5Tfp/+8ilM7hFyQ==" spinCount="100000" sheet="1" objects="1" scenarios="1" formatCells="0" formatColumns="0" autoFilter="0"/>
  <autoFilter ref="A6:A241" xr:uid="{00000000-0009-0000-0000-000008000000}"/>
  <mergeCells count="232">
    <mergeCell ref="B1:B3"/>
    <mergeCell ref="C1:F3"/>
    <mergeCell ref="B8:K14"/>
    <mergeCell ref="J191:K191"/>
    <mergeCell ref="J192:K192"/>
    <mergeCell ref="J206:K206"/>
    <mergeCell ref="J207:K207"/>
    <mergeCell ref="J208:K208"/>
    <mergeCell ref="J209:K209"/>
    <mergeCell ref="J160:K160"/>
    <mergeCell ref="J174:K174"/>
    <mergeCell ref="J175:K175"/>
    <mergeCell ref="J176:K176"/>
    <mergeCell ref="J190:K190"/>
    <mergeCell ref="J107:K107"/>
    <mergeCell ref="J108:K108"/>
    <mergeCell ref="J109:K109"/>
    <mergeCell ref="J110:K110"/>
    <mergeCell ref="J111:K111"/>
    <mergeCell ref="J105:K105"/>
    <mergeCell ref="J106:K106"/>
    <mergeCell ref="J199:K199"/>
    <mergeCell ref="J200:K200"/>
    <mergeCell ref="J201:K201"/>
    <mergeCell ref="J233:K233"/>
    <mergeCell ref="J234:K234"/>
    <mergeCell ref="J235:K235"/>
    <mergeCell ref="J219:K219"/>
    <mergeCell ref="J220:K220"/>
    <mergeCell ref="J221:K221"/>
    <mergeCell ref="J222:K222"/>
    <mergeCell ref="J231:K231"/>
    <mergeCell ref="J232:K232"/>
    <mergeCell ref="J223:K223"/>
    <mergeCell ref="J224:K224"/>
    <mergeCell ref="J225:K225"/>
    <mergeCell ref="J226:K226"/>
    <mergeCell ref="J230:K230"/>
    <mergeCell ref="J214:K214"/>
    <mergeCell ref="J215:K215"/>
    <mergeCell ref="J216:K216"/>
    <mergeCell ref="J217:K217"/>
    <mergeCell ref="J218:K218"/>
    <mergeCell ref="J227:K227"/>
    <mergeCell ref="J228:K228"/>
    <mergeCell ref="J229:K229"/>
    <mergeCell ref="J210:K210"/>
    <mergeCell ref="J211:K211"/>
    <mergeCell ref="J212:K212"/>
    <mergeCell ref="J213:K213"/>
    <mergeCell ref="J202:K202"/>
    <mergeCell ref="J203:K203"/>
    <mergeCell ref="J204:K204"/>
    <mergeCell ref="J205:K205"/>
    <mergeCell ref="J193:K193"/>
    <mergeCell ref="J194:K194"/>
    <mergeCell ref="J195:K195"/>
    <mergeCell ref="J196:K196"/>
    <mergeCell ref="J197:K197"/>
    <mergeCell ref="J198:K198"/>
    <mergeCell ref="J184:K184"/>
    <mergeCell ref="J185:K185"/>
    <mergeCell ref="J186:K186"/>
    <mergeCell ref="J187:K187"/>
    <mergeCell ref="J188:K188"/>
    <mergeCell ref="J189:K189"/>
    <mergeCell ref="J178:K178"/>
    <mergeCell ref="J179:K179"/>
    <mergeCell ref="J180:K180"/>
    <mergeCell ref="J181:K181"/>
    <mergeCell ref="J182:K182"/>
    <mergeCell ref="J183:K183"/>
    <mergeCell ref="J169:K169"/>
    <mergeCell ref="J170:K170"/>
    <mergeCell ref="J171:K171"/>
    <mergeCell ref="J172:K172"/>
    <mergeCell ref="J173:K173"/>
    <mergeCell ref="J177:K177"/>
    <mergeCell ref="J163:K163"/>
    <mergeCell ref="J164:K164"/>
    <mergeCell ref="J165:K165"/>
    <mergeCell ref="J166:K166"/>
    <mergeCell ref="J167:K167"/>
    <mergeCell ref="J168:K168"/>
    <mergeCell ref="J152:K152"/>
    <mergeCell ref="J153:K153"/>
    <mergeCell ref="J154:K154"/>
    <mergeCell ref="J155:K155"/>
    <mergeCell ref="J161:K161"/>
    <mergeCell ref="J162:K162"/>
    <mergeCell ref="J156:K156"/>
    <mergeCell ref="J157:K157"/>
    <mergeCell ref="J158:K158"/>
    <mergeCell ref="J159:K159"/>
    <mergeCell ref="J146:K146"/>
    <mergeCell ref="J147:K147"/>
    <mergeCell ref="J148:K148"/>
    <mergeCell ref="J149:K149"/>
    <mergeCell ref="J150:K150"/>
    <mergeCell ref="J151:K151"/>
    <mergeCell ref="J137:K137"/>
    <mergeCell ref="J138:K138"/>
    <mergeCell ref="J139:K139"/>
    <mergeCell ref="J140:K140"/>
    <mergeCell ref="J141:K141"/>
    <mergeCell ref="J145:K145"/>
    <mergeCell ref="J142:K142"/>
    <mergeCell ref="J143:K143"/>
    <mergeCell ref="J144:K144"/>
    <mergeCell ref="J131:K131"/>
    <mergeCell ref="J132:K132"/>
    <mergeCell ref="J133:K133"/>
    <mergeCell ref="J134:K134"/>
    <mergeCell ref="J135:K135"/>
    <mergeCell ref="J136:K136"/>
    <mergeCell ref="J124:K124"/>
    <mergeCell ref="J125:K125"/>
    <mergeCell ref="J126:K126"/>
    <mergeCell ref="J128:K128"/>
    <mergeCell ref="J129:K129"/>
    <mergeCell ref="J130:K130"/>
    <mergeCell ref="J127:K127"/>
    <mergeCell ref="J118:K118"/>
    <mergeCell ref="J119:K119"/>
    <mergeCell ref="J120:K120"/>
    <mergeCell ref="J121:K121"/>
    <mergeCell ref="J122:K122"/>
    <mergeCell ref="J123:K123"/>
    <mergeCell ref="J112:K112"/>
    <mergeCell ref="J113:K113"/>
    <mergeCell ref="J114:K114"/>
    <mergeCell ref="J115:K115"/>
    <mergeCell ref="J116:K116"/>
    <mergeCell ref="J117:K117"/>
    <mergeCell ref="J99:K99"/>
    <mergeCell ref="J100:K100"/>
    <mergeCell ref="J101:K101"/>
    <mergeCell ref="J102:K102"/>
    <mergeCell ref="J103:K103"/>
    <mergeCell ref="J104:K104"/>
    <mergeCell ref="J86:K86"/>
    <mergeCell ref="J87:K87"/>
    <mergeCell ref="J95:K95"/>
    <mergeCell ref="J96:K96"/>
    <mergeCell ref="J97:K97"/>
    <mergeCell ref="J98:K98"/>
    <mergeCell ref="J88:K88"/>
    <mergeCell ref="J89:K89"/>
    <mergeCell ref="J90:K90"/>
    <mergeCell ref="J91:K91"/>
    <mergeCell ref="J92:K92"/>
    <mergeCell ref="J93:K93"/>
    <mergeCell ref="J94:K94"/>
    <mergeCell ref="J80:K80"/>
    <mergeCell ref="J81:K81"/>
    <mergeCell ref="J82:K82"/>
    <mergeCell ref="J83:K83"/>
    <mergeCell ref="J84:K84"/>
    <mergeCell ref="J85:K85"/>
    <mergeCell ref="J71:K71"/>
    <mergeCell ref="J72:K72"/>
    <mergeCell ref="J76:K76"/>
    <mergeCell ref="J77:K77"/>
    <mergeCell ref="J78:K78"/>
    <mergeCell ref="J79:K79"/>
    <mergeCell ref="J73:K73"/>
    <mergeCell ref="J74:K74"/>
    <mergeCell ref="J75:K75"/>
    <mergeCell ref="J65:K65"/>
    <mergeCell ref="J66:K66"/>
    <mergeCell ref="J67:K67"/>
    <mergeCell ref="J68:K68"/>
    <mergeCell ref="J69:K69"/>
    <mergeCell ref="J70:K70"/>
    <mergeCell ref="J51:K51"/>
    <mergeCell ref="J52:K52"/>
    <mergeCell ref="J53:K53"/>
    <mergeCell ref="J62:K62"/>
    <mergeCell ref="J63:K63"/>
    <mergeCell ref="J64:K64"/>
    <mergeCell ref="J54:K54"/>
    <mergeCell ref="J55:K55"/>
    <mergeCell ref="J56:K56"/>
    <mergeCell ref="J57:K57"/>
    <mergeCell ref="J45:K45"/>
    <mergeCell ref="J46:K46"/>
    <mergeCell ref="J47:K47"/>
    <mergeCell ref="J48:K48"/>
    <mergeCell ref="J49:K49"/>
    <mergeCell ref="J50:K50"/>
    <mergeCell ref="J39:K39"/>
    <mergeCell ref="J40:K40"/>
    <mergeCell ref="J41:K41"/>
    <mergeCell ref="J42:K42"/>
    <mergeCell ref="J43:K43"/>
    <mergeCell ref="J44:K44"/>
    <mergeCell ref="J37:K37"/>
    <mergeCell ref="J38:K38"/>
    <mergeCell ref="J23:K23"/>
    <mergeCell ref="J24:K24"/>
    <mergeCell ref="J25:K25"/>
    <mergeCell ref="J30:K30"/>
    <mergeCell ref="J31:K31"/>
    <mergeCell ref="J32:K32"/>
    <mergeCell ref="J26:K26"/>
    <mergeCell ref="J27:K27"/>
    <mergeCell ref="J28:K28"/>
    <mergeCell ref="J29:K29"/>
    <mergeCell ref="N1:O3"/>
    <mergeCell ref="Q1:R3"/>
    <mergeCell ref="T1:T3"/>
    <mergeCell ref="U1:U3"/>
    <mergeCell ref="E237:F237"/>
    <mergeCell ref="E238:F238"/>
    <mergeCell ref="E239:F239"/>
    <mergeCell ref="J58:K58"/>
    <mergeCell ref="J59:K59"/>
    <mergeCell ref="J60:K60"/>
    <mergeCell ref="J61:K61"/>
    <mergeCell ref="J6:K6"/>
    <mergeCell ref="J16:K16"/>
    <mergeCell ref="J17:K17"/>
    <mergeCell ref="J18:K18"/>
    <mergeCell ref="J19:K19"/>
    <mergeCell ref="J20:K20"/>
    <mergeCell ref="J21:K21"/>
    <mergeCell ref="J22:K22"/>
    <mergeCell ref="K1:L3"/>
    <mergeCell ref="J33:K33"/>
    <mergeCell ref="J34:K34"/>
    <mergeCell ref="J35:K35"/>
    <mergeCell ref="J36:K36"/>
  </mergeCells>
  <dataValidations count="15">
    <dataValidation allowBlank="1" showInputMessage="1" showErrorMessage="1" prompt="Möchtest du dir nur die Tätigkeiten anzeigen lassen, für die du tatsächlich Arbeit eingeplant hast? Dann klicke unter dem Pfeil auf den Filter und wähle &quot;Nur Tätigkeiten mit geplantem Aufwand&quot; aus." sqref="A5:B5" xr:uid="{00000000-0002-0000-0800-000000000000}"/>
    <dataValidation type="decimal" allowBlank="1" showInputMessage="1" showErrorMessage="1" errorTitle="Geplanter Aufwand" error="Bitte gib eine positive Zahl ein, bspw. 150." promptTitle="Geplanter Aufwand" prompt="Wie viele Einheiten dieser Tätigkeit möchtest du in deiner Schätzung einplanen?_x000a__x000a_Bitte gib eine positive Zahl ein, bspw. 150." sqref="F17:F31 F34:F48 F51:F65 F68:F82 F119:F133 F136:F150 F170:F184 F187:F201 F204:F218 F221:F235 F85:F99 F102:F116 F153:F167" xr:uid="{00000000-0002-0000-0800-000001000000}">
      <formula1>0</formula1>
      <formula2>9999999</formula2>
    </dataValidation>
    <dataValidation type="decimal" allowBlank="1" showInputMessage="1" showErrorMessage="1" errorTitle="Kosten pro Einheit" error="Bitte gib eine positive Zahl ein." promptTitle="Kosten pro Einheit" prompt="Bitte gib hier die Kosten pro Einheit ein._x000a__x000a_Beispiel: Wenn die Tätigkeit &quot;Streichen&quot; und die Einheit &quot;m² Wandfläche&quot; ist, dann gib hier ein, wie viel Euro ein m² Streichen kostet._x000a__x000a_Bitte gib eine positive Zahl ein." sqref="D17:D31 D34:D48 D51:D65 D68:D82 D119:D133 D136:D150 D170:D184 D187:D201 D204:D218 D221:D235 D85:D99 D102:D116 D153:D167" xr:uid="{00000000-0002-0000-0800-000002000000}">
      <formula1>0</formula1>
      <formula2>999999</formula2>
    </dataValidation>
    <dataValidation allowBlank="1" showInputMessage="1" promptTitle="Einheit" prompt="Bitte gib hier ein, in welcher Einheit diese Tätigkeit gemessen wird. Beispielsweise &quot;m² Wandfläche&quot;, &quot;Stück&quot;, &quot;laufende Meter&quot; etc._x000a__x000a_Auf diese Einheit beziehen sich die &quot;Kosten pro Einheit&quot;. In dieser Einheit planst du auch den Aufwand." sqref="C17:C31 C34:C48 C51:C65 C68:C82 C119:C133 C136:C150 C170:C184 C187:C201 C204:C218 C221:C235 C85:C99 C102:C116 C153:C167" xr:uid="{00000000-0002-0000-0800-000003000000}"/>
    <dataValidation allowBlank="1" showInputMessage="1" showErrorMessage="1" promptTitle="Kosten" prompt="Diese Kosten ergeben sich für deinen für diese Tätigkeit geplanten Aufwand." sqref="G17:G31 G34:G48 G51:G65 G68:G82 G119:G133 G136:G150 G170:G184 G187:G201 G204:G218 G221:G235 G85:G99 G102:G116 G153:G167" xr:uid="{00000000-0002-0000-0800-000004000000}"/>
    <dataValidation allowBlank="1" showInputMessage="1" promptTitle="Mindest-Kosten nach Abschlag" prompt="Diese Kosten ergeben sich für diese Tätigkeit nach Abzug der von dir festgelegten typischen Schwankungsbreite." sqref="H17:H31 H34:H48 H51:H65 H68:H82 H119:H133 H136:H150 H170:H184 H187:H201 H204:H218 H221:H235 H85:H99 H102:H116 H153:H167" xr:uid="{00000000-0002-0000-0800-000005000000}"/>
    <dataValidation allowBlank="1" showInputMessage="1" promptTitle="Maximal-Kosten nach Aufschlag" prompt="Diese Kosten ergeben sich für diese Tätigkeit nach Aufschlag der von dir festgelegten typischen Schwankungsbreite." sqref="I17:I31 I34:I48 I51:I65 I68:I82 I119:I133 I136:I150 I170:I184 I187:I201 I204:I218 I221:I235 I85:I99 I102:I116 I153:I167" xr:uid="{00000000-0002-0000-0800-000006000000}"/>
    <dataValidation allowBlank="1" showInputMessage="1" promptTitle="Kommentar" prompt="Hier kannst du Annahmen oder andere Informationen hinterlegen, die für deine Schätzung wichtig sind." sqref="J17:K31 J34:K48 J51:K65 J68:K82 J119:K133 J136:K150 J170:K184 J187:K201 J204:K218 J221:K235 J85:K99 J102:K116 J153:K167" xr:uid="{00000000-0002-0000-0800-000007000000}"/>
    <dataValidation allowBlank="1" showInputMessage="1" promptTitle="Tätigkeitsbeschreibung" prompt="Beschreibe hier, welche Tätigkeit du in dieser Zeile abbilden möchtest. Zum Beispiel: &quot;Wände und Decke streichen (innen)&quot;._x000a__x000a_Tipp: Sammle hier immer mehr Tätigkeiten samt deiner Erfahrungswerte und baue dir deinen eigenen &quot;Katalog&quot; auf." sqref="B17:B31 B34:B48 B51:B65 B68:B82 B119:B133 B136:B150 B170:B184 B187:B201 B204:B218 B221:B235 B85:B99 B102:B116 B153:B167" xr:uid="{00000000-0002-0000-0800-000008000000}"/>
    <dataValidation type="decimal" allowBlank="1" showInputMessage="1" showErrorMessage="1" errorTitle="Typische Schwankung" error="Bitte gib eine positive Zahl ein. Für 10% Schwankung, gib bitte eine 10 ein (nicht 10%)." promptTitle="Typische Schwankung" prompt="Gib hier ein, um wie viel % die Kosten dieser Tätigkeit typischerweise schwanken. Diese Angabe wird zur Ermittlung deiner Mindest- und Maximalkosten verwendet._x000a__x000a_Bitte gib eine positive Zahl ein. Für 10% Schwankung, gib bitte eine 10 ein (nicht 10%)." sqref="E17:E31 E34:E48 E51:E65 E68:E82 E119:E133 E136:E150 E170:E184 E187:E201 E204:E218 E221:E235 E85:E99 E102:E116 E153:E167" xr:uid="{00000000-0002-0000-0800-000009000000}">
      <formula1>0</formula1>
      <formula2>999</formula2>
    </dataValidation>
    <dataValidation allowBlank="1" showInputMessage="1" showErrorMessage="1" promptTitle="Kosten" prompt="Diese Kosten ergeben sich insgesamt für deinen für diesen Bereich geplanten Aufwand." sqref="G16 G33 G50 G67 G84:I84 G101:I101 G118 G135 G152:I152 G169 G186 G203 G220" xr:uid="{00000000-0002-0000-0800-00000A000000}"/>
    <dataValidation allowBlank="1" showInputMessage="1" showErrorMessage="1" promptTitle="Mindest-Kosten nach Abschlag" prompt="Diese Kosten ergeben sich für diese Tätigkeit nach Abzug der von dir festgelegten typischen Schwankungsbreite." sqref="H16 H33 H50 H67 H220 H203 H118 H135 H186 H169" xr:uid="{00000000-0002-0000-0800-00000B000000}"/>
    <dataValidation allowBlank="1" showInputMessage="1" showErrorMessage="1" promptTitle="Maximal-Kosten nach Aufschlag" prompt="Diese Kosten ergeben sich für diese Tätigkeit nach Aufschlag der von dir festgelegten typischen Schwankungsbreite." sqref="I16 I33 I50 I67 I220 I203 I118 I135 I186 I169" xr:uid="{00000000-0002-0000-0800-00000C000000}"/>
    <dataValidation type="decimal" allowBlank="1" showInputMessage="1" showErrorMessage="1" errorTitle="Pauschaler Auf-/abschlag" error="Gib bitte eine Prozent-Zahl zwischen -100% und +999% ein." promptTitle="Pauschaler Auf-/abschlag" prompt="Hier kannst du auf die Summe noch einen pauschalen Aufschlag addieren oder einen Abschlag vornehmen. Zum Beispiel für Kleinigkeiten, die du nicht einzeln berücksichtigt hast._x000a__x000a_Gib bitte eine Prozent-Zahl ein." sqref="G238:I238" xr:uid="{00000000-0002-0000-0800-00000D000000}">
      <formula1>-1</formula1>
      <formula2>10</formula2>
    </dataValidation>
    <dataValidation allowBlank="1" showInputMessage="1" showErrorMessage="1" promptTitle="Tätigkeitsgruppe" prompt="Hier kannst du bei Bedarf die Bezeichnung der Tätigkeitsgruppe umbenennen und an deine Bedürfnisse anpassen." sqref="B220 B203 B186 B169 B152 B135 B118 B101 B84 B67 B50 B33 B16" xr:uid="{00000000-0002-0000-0800-00000E000000}"/>
  </dataValidations>
  <hyperlinks>
    <hyperlink ref="B1:B3" location="Cockpit!A1" display="zurück zum Cockpit" xr:uid="{00000000-0004-0000-0800-000000000000}"/>
    <hyperlink ref="B241" location="Deckblatt!A1" display="Keine Gewähr für die Richtigkeit der Angaben. Dieses Tool ersetzt keine fundierte Rechts-, Steuer- oder Finanzberatung. Mehr Details hier." xr:uid="{00000000-0004-0000-0800-000001000000}"/>
  </hyperlinks>
  <pageMargins left="0.23622047244094491" right="0.23622047244094491" top="0.74803149606299213" bottom="0.74803149606299213" header="0.31496062992125984" footer="0.31496062992125984"/>
  <pageSetup paperSize="9" scale="67" fitToHeight="0" orientation="landscape" r:id="rId1"/>
  <rowBreaks count="3" manualBreakCount="3">
    <brk id="117" max="11" man="1"/>
    <brk id="168" max="11" man="1"/>
    <brk id="219"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sheetPr>
  <dimension ref="B1:Q14"/>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7" t="s">
        <v>351</v>
      </c>
      <c r="C1" s="427"/>
      <c r="D1" s="427"/>
      <c r="E1" s="464" t="s">
        <v>129</v>
      </c>
      <c r="F1" s="464"/>
      <c r="G1" s="464"/>
      <c r="H1" s="272"/>
      <c r="N1" s="427"/>
      <c r="O1" s="427"/>
    </row>
    <row r="2" spans="2:17" s="150" customFormat="1" ht="15" customHeight="1">
      <c r="B2" s="427"/>
      <c r="C2" s="427"/>
      <c r="D2" s="427"/>
      <c r="E2" s="464"/>
      <c r="F2" s="464"/>
      <c r="G2" s="464"/>
      <c r="H2" s="272"/>
      <c r="N2" s="427"/>
      <c r="O2" s="427"/>
    </row>
    <row r="3" spans="2:17" s="150" customFormat="1" ht="12.75" customHeight="1">
      <c r="B3" s="427"/>
      <c r="C3" s="427"/>
      <c r="D3" s="427"/>
      <c r="E3" s="464"/>
      <c r="F3" s="464"/>
      <c r="G3" s="464"/>
      <c r="H3" s="272"/>
      <c r="N3" s="427"/>
      <c r="O3" s="427"/>
    </row>
    <row r="4" spans="2:17" s="6" customFormat="1" ht="18.75" customHeight="1">
      <c r="N4" s="5"/>
      <c r="O4" s="5"/>
      <c r="P4" s="5"/>
      <c r="Q4" s="5"/>
    </row>
    <row r="5" spans="2:17" ht="13.5" thickBot="1"/>
    <row r="6" spans="2:17" ht="13.5" thickBot="1">
      <c r="B6" s="439" t="s">
        <v>72</v>
      </c>
      <c r="C6" s="447"/>
      <c r="D6" s="447"/>
      <c r="E6" s="440"/>
    </row>
    <row r="7" spans="2:17">
      <c r="B7" s="194" t="s">
        <v>75</v>
      </c>
      <c r="C7" s="398" t="s">
        <v>69</v>
      </c>
      <c r="D7" s="399" t="s">
        <v>71</v>
      </c>
      <c r="E7" s="400" t="s">
        <v>70</v>
      </c>
    </row>
    <row r="8" spans="2:17">
      <c r="B8" s="163" t="s">
        <v>16</v>
      </c>
      <c r="C8" s="289">
        <v>0.06</v>
      </c>
      <c r="D8" s="289">
        <v>0.05</v>
      </c>
      <c r="E8" s="290">
        <v>0.04</v>
      </c>
      <c r="F8" s="5" t="str">
        <f>IF(NOT(AND(C8&gt;D8,D8&gt;E8)),"Ungültige Kombination. Grün muss &gt; gelb muss &gt; rot sein.","")</f>
        <v/>
      </c>
    </row>
    <row r="9" spans="2:17">
      <c r="B9" s="163" t="s">
        <v>17</v>
      </c>
      <c r="C9" s="289">
        <v>0.05</v>
      </c>
      <c r="D9" s="289">
        <v>0.04</v>
      </c>
      <c r="E9" s="290">
        <v>0.03</v>
      </c>
      <c r="F9" s="5" t="str">
        <f>IF(NOT(AND(C9&gt;D9,D9&gt;E9)),"Ungültige Kombination. Grün muss &gt; gelb muss &gt; rot sein.","")</f>
        <v/>
      </c>
    </row>
    <row r="10" spans="2:17">
      <c r="B10" s="163" t="s">
        <v>73</v>
      </c>
      <c r="C10" s="289">
        <v>0.2</v>
      </c>
      <c r="D10" s="289">
        <v>0.1</v>
      </c>
      <c r="E10" s="290">
        <v>0.05</v>
      </c>
      <c r="F10" s="5" t="str">
        <f>IF(NOT(AND(C10&gt;D10,D10&gt;E10)),"Ungültige Kombination. Grün muss &gt; gelb muss &gt; rot sein.","")</f>
        <v/>
      </c>
    </row>
    <row r="11" spans="2:17">
      <c r="B11" s="163" t="s">
        <v>34</v>
      </c>
      <c r="C11" s="401">
        <v>100</v>
      </c>
      <c r="D11" s="401">
        <v>0</v>
      </c>
      <c r="E11" s="402">
        <v>-50</v>
      </c>
      <c r="F11" s="5" t="str">
        <f>IF(NOT(AND(C11&gt;D11,D11&gt;E11)),"Ungültige Kombination. Grün muss &gt; gelb muss &gt; rot sein.","")</f>
        <v/>
      </c>
    </row>
    <row r="12" spans="2:17" ht="13.5" thickBot="1">
      <c r="B12" s="162" t="s">
        <v>74</v>
      </c>
      <c r="C12" s="403">
        <v>100</v>
      </c>
      <c r="D12" s="403">
        <v>0</v>
      </c>
      <c r="E12" s="404">
        <v>-50</v>
      </c>
      <c r="F12" s="5" t="str">
        <f>IF(NOT(AND(C12&gt;D12,D12&gt;E12)),"Ungültige Kombination. Grün muss &gt; gelb muss &gt; rot sein.","")</f>
        <v/>
      </c>
    </row>
    <row r="14" spans="2:17" ht="15">
      <c r="B14" s="135" t="s">
        <v>372</v>
      </c>
      <c r="E14" s="45"/>
    </row>
  </sheetData>
  <sheetProtection algorithmName="SHA-512" hashValue="8l1BGsBIYYLFOz3ydm7M98FScCU0gbgA47yibjekhOGQQNKIFsrBxdCnoQ6Ja20uDbYOouNykBTXj4WsgDjGLg==" saltValue="tAmGCj4JOPPxmKrFZ6Z8pg==" spinCount="100000" sheet="1" objects="1" scenarios="1" formatCells="0" formatColumns="0"/>
  <mergeCells count="4">
    <mergeCell ref="B6:E6"/>
    <mergeCell ref="E1:G3"/>
    <mergeCell ref="N1:O3"/>
    <mergeCell ref="B1:D3"/>
  </mergeCells>
  <dataValidations count="16">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09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09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09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09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09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09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09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09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09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09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09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09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09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09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09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0900-00000F000000}"/>
  </dataValidations>
  <hyperlinks>
    <hyperlink ref="B1:B3" location="Rendite!A1" display="Zurück zum Cockpit" xr:uid="{00000000-0004-0000-0900-000000000000}"/>
    <hyperlink ref="B1:D3" location="Cockpit!A1" display="zurück zum Cockpit" xr:uid="{00000000-0004-0000-0900-000001000000}"/>
    <hyperlink ref="B14" location="Deckblatt!A1" display="Keine Gewähr für die Richtigkeit der Angaben. Dieses Tool ersetzt keine fundierte Rechts-, Steuer- oder Finanzberatung. Mehr Details hier." xr:uid="{00000000-0004-0000-09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54D9-C777-4028-9659-A09AEFEBA58F}">
  <sheetPr>
    <tabColor theme="3"/>
    <pageSetUpPr fitToPage="1"/>
  </sheetPr>
  <dimension ref="A1:Q116"/>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7" t="s">
        <v>351</v>
      </c>
      <c r="C1" s="427"/>
      <c r="D1" s="427"/>
      <c r="E1" s="464" t="s">
        <v>401</v>
      </c>
      <c r="F1" s="464"/>
      <c r="G1" s="464"/>
      <c r="H1" s="272"/>
      <c r="N1" s="427"/>
      <c r="O1" s="427"/>
    </row>
    <row r="2" spans="2:17" s="150" customFormat="1" ht="15" customHeight="1">
      <c r="B2" s="427"/>
      <c r="C2" s="427"/>
      <c r="D2" s="427"/>
      <c r="E2" s="464"/>
      <c r="F2" s="464"/>
      <c r="G2" s="464"/>
      <c r="H2" s="272"/>
      <c r="N2" s="427"/>
      <c r="O2" s="427"/>
    </row>
    <row r="3" spans="2:17" s="150" customFormat="1" ht="12.75" customHeight="1">
      <c r="B3" s="427"/>
      <c r="C3" s="427"/>
      <c r="D3" s="427"/>
      <c r="E3" s="464"/>
      <c r="F3" s="464"/>
      <c r="G3" s="464"/>
      <c r="H3" s="272"/>
      <c r="N3" s="427"/>
      <c r="O3" s="427"/>
    </row>
    <row r="4" spans="2:17" s="6" customFormat="1" ht="18.75" customHeight="1">
      <c r="N4" s="5"/>
      <c r="O4" s="5"/>
      <c r="P4" s="5"/>
      <c r="Q4" s="5"/>
    </row>
    <row r="6" spans="2:17" ht="18.75">
      <c r="B6" s="415" t="s">
        <v>481</v>
      </c>
    </row>
    <row r="7" spans="2:17" ht="15.75">
      <c r="B7" s="411" t="s">
        <v>484</v>
      </c>
    </row>
    <row r="8" spans="2:17" s="6" customFormat="1" ht="15"/>
    <row r="9" spans="2:17" s="6" customFormat="1" ht="18.75">
      <c r="B9" s="415" t="s">
        <v>409</v>
      </c>
    </row>
    <row r="10" spans="2:17" s="6" customFormat="1" ht="7.5" customHeight="1"/>
    <row r="11" spans="2:17" s="6" customFormat="1" ht="15">
      <c r="B11" s="6" t="s">
        <v>402</v>
      </c>
      <c r="D11" s="414">
        <v>0</v>
      </c>
    </row>
    <row r="12" spans="2:17" s="6" customFormat="1" ht="15">
      <c r="B12" s="6" t="s">
        <v>403</v>
      </c>
      <c r="D12" s="414">
        <v>0.25</v>
      </c>
    </row>
    <row r="13" spans="2:17" s="6" customFormat="1" ht="15">
      <c r="B13" s="6" t="s">
        <v>404</v>
      </c>
      <c r="D13" s="414">
        <v>0.35</v>
      </c>
    </row>
    <row r="14" spans="2:17" s="6" customFormat="1" ht="15">
      <c r="B14" s="6" t="s">
        <v>405</v>
      </c>
      <c r="D14" s="414">
        <v>0.42</v>
      </c>
    </row>
    <row r="15" spans="2:17" s="6" customFormat="1" ht="15">
      <c r="B15" s="6" t="s">
        <v>406</v>
      </c>
      <c r="D15" s="414">
        <v>0.48</v>
      </c>
    </row>
    <row r="16" spans="2:17" s="6" customFormat="1" ht="15">
      <c r="B16" s="6" t="s">
        <v>407</v>
      </c>
      <c r="D16" s="414">
        <v>0.5</v>
      </c>
    </row>
    <row r="17" spans="2:14" s="6" customFormat="1" ht="15">
      <c r="B17" s="6" t="s">
        <v>408</v>
      </c>
      <c r="D17" s="414">
        <v>0.55000000000000004</v>
      </c>
    </row>
    <row r="18" spans="2:14" s="6" customFormat="1" ht="15"/>
    <row r="19" spans="2:14" s="6" customFormat="1" ht="15">
      <c r="B19" s="562" t="s">
        <v>418</v>
      </c>
      <c r="C19" s="562"/>
      <c r="D19" s="562"/>
      <c r="E19" s="562"/>
      <c r="F19" s="562"/>
      <c r="G19" s="562"/>
      <c r="H19" s="562"/>
      <c r="I19" s="562"/>
      <c r="J19" s="562"/>
      <c r="K19" s="562"/>
      <c r="L19" s="562"/>
      <c r="M19" s="562"/>
      <c r="N19" s="562"/>
    </row>
    <row r="20" spans="2:14" s="6" customFormat="1" ht="15">
      <c r="B20" s="562"/>
      <c r="C20" s="562"/>
      <c r="D20" s="562"/>
      <c r="E20" s="562"/>
      <c r="F20" s="562"/>
      <c r="G20" s="562"/>
      <c r="H20" s="562"/>
      <c r="I20" s="562"/>
      <c r="J20" s="562"/>
      <c r="K20" s="562"/>
      <c r="L20" s="562"/>
      <c r="M20" s="562"/>
      <c r="N20" s="562"/>
    </row>
    <row r="21" spans="2:14" s="6" customFormat="1" ht="15"/>
    <row r="22" spans="2:14" s="6" customFormat="1" ht="15"/>
    <row r="23" spans="2:14" s="6" customFormat="1" ht="15"/>
    <row r="24" spans="2:14" s="6" customFormat="1" ht="15"/>
    <row r="25" spans="2:14" s="6" customFormat="1" ht="15"/>
    <row r="26" spans="2:14" s="6" customFormat="1" ht="18.75">
      <c r="B26" s="415" t="s">
        <v>410</v>
      </c>
    </row>
    <row r="27" spans="2:14" s="6" customFormat="1" ht="6.75" customHeight="1"/>
    <row r="28" spans="2:14" s="6" customFormat="1" ht="15">
      <c r="B28" s="560" t="s">
        <v>419</v>
      </c>
      <c r="C28" s="560"/>
      <c r="D28" s="560"/>
      <c r="E28" s="560"/>
      <c r="F28" s="560"/>
      <c r="G28" s="560"/>
      <c r="H28" s="560"/>
      <c r="I28" s="560"/>
      <c r="J28" s="560"/>
      <c r="K28" s="560"/>
      <c r="L28" s="560"/>
      <c r="M28" s="560"/>
      <c r="N28" s="560"/>
    </row>
    <row r="29" spans="2:14" s="6" customFormat="1" ht="15">
      <c r="B29" s="560"/>
      <c r="C29" s="560"/>
      <c r="D29" s="560"/>
      <c r="E29" s="560"/>
      <c r="F29" s="560"/>
      <c r="G29" s="560"/>
      <c r="H29" s="560"/>
      <c r="I29" s="560"/>
      <c r="J29" s="560"/>
      <c r="K29" s="560"/>
      <c r="L29" s="560"/>
      <c r="M29" s="560"/>
      <c r="N29" s="560"/>
    </row>
    <row r="30" spans="2:14" s="6" customFormat="1" ht="15"/>
    <row r="31" spans="2:14" s="6" customFormat="1" ht="15">
      <c r="B31" s="413" t="s">
        <v>411</v>
      </c>
    </row>
    <row r="32" spans="2:14" s="6" customFormat="1" ht="15">
      <c r="B32" s="413"/>
    </row>
    <row r="33" spans="2:14" s="6" customFormat="1" ht="15">
      <c r="B33" s="412" t="s">
        <v>412</v>
      </c>
    </row>
    <row r="34" spans="2:14" s="6" customFormat="1" ht="15">
      <c r="B34" s="6" t="s">
        <v>413</v>
      </c>
    </row>
    <row r="35" spans="2:14" s="6" customFormat="1" ht="15">
      <c r="B35" s="6" t="s">
        <v>414</v>
      </c>
    </row>
    <row r="36" spans="2:14" s="6" customFormat="1" ht="15"/>
    <row r="37" spans="2:14" s="6" customFormat="1" ht="15">
      <c r="B37" s="412" t="s">
        <v>415</v>
      </c>
    </row>
    <row r="38" spans="2:14" s="6" customFormat="1" ht="15">
      <c r="B38" s="6" t="s">
        <v>416</v>
      </c>
    </row>
    <row r="39" spans="2:14" s="6" customFormat="1" ht="15">
      <c r="B39" s="6" t="s">
        <v>459</v>
      </c>
    </row>
    <row r="40" spans="2:14" s="6" customFormat="1" ht="15"/>
    <row r="41" spans="2:14" s="6" customFormat="1" ht="15">
      <c r="B41" s="412" t="s">
        <v>417</v>
      </c>
    </row>
    <row r="42" spans="2:14" s="6" customFormat="1" ht="15">
      <c r="B42" s="6" t="s">
        <v>416</v>
      </c>
    </row>
    <row r="43" spans="2:14" s="6" customFormat="1" ht="15">
      <c r="B43" s="6" t="s">
        <v>460</v>
      </c>
    </row>
    <row r="44" spans="2:14" s="6" customFormat="1" ht="15"/>
    <row r="45" spans="2:14" s="6" customFormat="1" ht="15">
      <c r="B45" s="6" t="s">
        <v>421</v>
      </c>
    </row>
    <row r="46" spans="2:14" s="6" customFormat="1" ht="15"/>
    <row r="47" spans="2:14" s="6" customFormat="1" ht="15">
      <c r="B47" s="560" t="s">
        <v>420</v>
      </c>
      <c r="C47" s="560"/>
      <c r="D47" s="560"/>
      <c r="E47" s="560"/>
      <c r="F47" s="560"/>
      <c r="G47" s="560"/>
      <c r="H47" s="560"/>
      <c r="I47" s="560"/>
      <c r="J47" s="560"/>
      <c r="K47" s="560"/>
      <c r="L47" s="560"/>
      <c r="M47" s="560"/>
      <c r="N47" s="560"/>
    </row>
    <row r="48" spans="2:14" s="6" customFormat="1" ht="15">
      <c r="B48" s="560"/>
      <c r="C48" s="560"/>
      <c r="D48" s="560"/>
      <c r="E48" s="560"/>
      <c r="F48" s="560"/>
      <c r="G48" s="560"/>
      <c r="H48" s="560"/>
      <c r="I48" s="560"/>
      <c r="J48" s="560"/>
      <c r="K48" s="560"/>
      <c r="L48" s="560"/>
      <c r="M48" s="560"/>
      <c r="N48" s="560"/>
    </row>
    <row r="49" spans="2:14" s="6" customFormat="1" ht="15"/>
    <row r="50" spans="2:14" s="6" customFormat="1" ht="15"/>
    <row r="51" spans="2:14" s="6" customFormat="1" ht="15"/>
    <row r="52" spans="2:14" s="6" customFormat="1" ht="15"/>
    <row r="53" spans="2:14" s="6" customFormat="1" ht="15"/>
    <row r="54" spans="2:14" s="6" customFormat="1" ht="18.75">
      <c r="B54" s="415" t="s">
        <v>422</v>
      </c>
    </row>
    <row r="55" spans="2:14" s="6" customFormat="1" ht="15"/>
    <row r="56" spans="2:14" s="6" customFormat="1" ht="15">
      <c r="B56" s="6" t="s">
        <v>461</v>
      </c>
    </row>
    <row r="57" spans="2:14" s="6" customFormat="1" ht="15"/>
    <row r="58" spans="2:14" s="6" customFormat="1" ht="15"/>
    <row r="59" spans="2:14" s="6" customFormat="1" ht="15">
      <c r="B59" s="412" t="s">
        <v>423</v>
      </c>
    </row>
    <row r="60" spans="2:14" s="6" customFormat="1" ht="15">
      <c r="B60" s="560" t="s">
        <v>462</v>
      </c>
      <c r="C60" s="560"/>
      <c r="D60" s="560"/>
      <c r="E60" s="560"/>
      <c r="F60" s="560"/>
      <c r="G60" s="560"/>
      <c r="H60" s="560"/>
      <c r="I60" s="560"/>
      <c r="J60" s="560"/>
      <c r="K60" s="560"/>
      <c r="L60" s="560"/>
      <c r="M60" s="560"/>
      <c r="N60" s="560"/>
    </row>
    <row r="61" spans="2:14" s="6" customFormat="1" ht="15">
      <c r="B61" s="560"/>
      <c r="C61" s="560"/>
      <c r="D61" s="560"/>
      <c r="E61" s="560"/>
      <c r="F61" s="560"/>
      <c r="G61" s="560"/>
      <c r="H61" s="560"/>
      <c r="I61" s="560"/>
      <c r="J61" s="560"/>
      <c r="K61" s="560"/>
      <c r="L61" s="560"/>
      <c r="M61" s="560"/>
      <c r="N61" s="560"/>
    </row>
    <row r="62" spans="2:14" s="6" customFormat="1" ht="15"/>
    <row r="63" spans="2:14" s="6" customFormat="1" ht="15">
      <c r="B63" s="413" t="s">
        <v>424</v>
      </c>
      <c r="C63" s="6" t="s">
        <v>425</v>
      </c>
    </row>
    <row r="64" spans="2:14" s="6" customFormat="1" ht="15">
      <c r="C64" s="6" t="s">
        <v>426</v>
      </c>
    </row>
    <row r="65" spans="2:14" s="6" customFormat="1" ht="15">
      <c r="C65" s="6" t="s">
        <v>427</v>
      </c>
    </row>
    <row r="66" spans="2:14" s="6" customFormat="1" ht="15">
      <c r="C66" s="6" t="s">
        <v>428</v>
      </c>
    </row>
    <row r="67" spans="2:14" s="6" customFormat="1" ht="15">
      <c r="C67" s="6" t="s">
        <v>429</v>
      </c>
    </row>
    <row r="68" spans="2:14" s="6" customFormat="1" ht="15">
      <c r="C68" s="6" t="s">
        <v>430</v>
      </c>
    </row>
    <row r="69" spans="2:14" s="6" customFormat="1" ht="15"/>
    <row r="70" spans="2:14" s="6" customFormat="1" ht="15"/>
    <row r="71" spans="2:14" s="6" customFormat="1" ht="15">
      <c r="B71" s="412" t="s">
        <v>431</v>
      </c>
    </row>
    <row r="72" spans="2:14" s="6" customFormat="1" ht="15">
      <c r="B72" s="560" t="s">
        <v>463</v>
      </c>
      <c r="C72" s="560"/>
      <c r="D72" s="560"/>
      <c r="E72" s="560"/>
      <c r="F72" s="560"/>
      <c r="G72" s="560"/>
      <c r="H72" s="560"/>
      <c r="I72" s="560"/>
      <c r="J72" s="560"/>
      <c r="K72" s="560"/>
      <c r="L72" s="560"/>
      <c r="M72" s="560"/>
      <c r="N72" s="560"/>
    </row>
    <row r="73" spans="2:14" s="6" customFormat="1" ht="15">
      <c r="B73" s="560"/>
      <c r="C73" s="560"/>
      <c r="D73" s="560"/>
      <c r="E73" s="560"/>
      <c r="F73" s="560"/>
      <c r="G73" s="560"/>
      <c r="H73" s="560"/>
      <c r="I73" s="560"/>
      <c r="J73" s="560"/>
      <c r="K73" s="560"/>
      <c r="L73" s="560"/>
      <c r="M73" s="560"/>
      <c r="N73" s="560"/>
    </row>
    <row r="74" spans="2:14" s="6" customFormat="1" ht="15"/>
    <row r="75" spans="2:14" s="6" customFormat="1" ht="15">
      <c r="B75" s="413" t="s">
        <v>424</v>
      </c>
      <c r="C75" s="6" t="s">
        <v>432</v>
      </c>
    </row>
    <row r="76" spans="2:14" s="6" customFormat="1" ht="15">
      <c r="C76" s="6" t="s">
        <v>433</v>
      </c>
    </row>
    <row r="77" spans="2:14" s="6" customFormat="1" ht="15">
      <c r="C77" s="6" t="s">
        <v>434</v>
      </c>
    </row>
    <row r="78" spans="2:14" s="6" customFormat="1" ht="15">
      <c r="C78" s="6" t="s">
        <v>435</v>
      </c>
    </row>
    <row r="79" spans="2:14" s="6" customFormat="1" ht="15">
      <c r="C79" s="6" t="s">
        <v>436</v>
      </c>
    </row>
    <row r="80" spans="2:14" s="6" customFormat="1" ht="15">
      <c r="C80" s="6" t="s">
        <v>437</v>
      </c>
    </row>
    <row r="81" spans="2:14" s="6" customFormat="1" ht="15">
      <c r="C81" s="6" t="s">
        <v>438</v>
      </c>
    </row>
    <row r="82" spans="2:14" s="6" customFormat="1" ht="15">
      <c r="C82" s="6" t="s">
        <v>439</v>
      </c>
    </row>
    <row r="83" spans="2:14" s="6" customFormat="1" ht="15">
      <c r="C83" s="6" t="s">
        <v>440</v>
      </c>
    </row>
    <row r="84" spans="2:14" s="6" customFormat="1" ht="15">
      <c r="C84" s="6" t="s">
        <v>441</v>
      </c>
    </row>
    <row r="85" spans="2:14" s="6" customFormat="1" ht="15">
      <c r="C85" s="6" t="s">
        <v>442</v>
      </c>
      <c r="E85" s="45"/>
    </row>
    <row r="86" spans="2:14" s="6" customFormat="1" ht="15">
      <c r="C86" s="6" t="s">
        <v>443</v>
      </c>
    </row>
    <row r="87" spans="2:14" s="6" customFormat="1" ht="15">
      <c r="C87" s="6" t="s">
        <v>444</v>
      </c>
    </row>
    <row r="88" spans="2:14" s="6" customFormat="1" ht="15">
      <c r="C88" s="6" t="s">
        <v>445</v>
      </c>
    </row>
    <row r="89" spans="2:14" s="6" customFormat="1" ht="15">
      <c r="C89" s="6" t="s">
        <v>446</v>
      </c>
    </row>
    <row r="90" spans="2:14" s="6" customFormat="1" ht="15"/>
    <row r="91" spans="2:14" s="6" customFormat="1" ht="15"/>
    <row r="92" spans="2:14" s="6" customFormat="1" ht="15">
      <c r="B92" s="412" t="s">
        <v>447</v>
      </c>
    </row>
    <row r="93" spans="2:14" s="6" customFormat="1" ht="15">
      <c r="B93" s="560" t="s">
        <v>464</v>
      </c>
      <c r="C93" s="560"/>
      <c r="D93" s="560"/>
      <c r="E93" s="560"/>
      <c r="F93" s="560"/>
      <c r="G93" s="560"/>
      <c r="H93" s="560"/>
      <c r="I93" s="560"/>
      <c r="J93" s="560"/>
      <c r="K93" s="560"/>
      <c r="L93" s="560"/>
      <c r="M93" s="560"/>
      <c r="N93" s="560"/>
    </row>
    <row r="94" spans="2:14" s="6" customFormat="1" ht="15">
      <c r="B94" s="560"/>
      <c r="C94" s="560"/>
      <c r="D94" s="560"/>
      <c r="E94" s="560"/>
      <c r="F94" s="560"/>
      <c r="G94" s="560"/>
      <c r="H94" s="560"/>
      <c r="I94" s="560"/>
      <c r="J94" s="560"/>
      <c r="K94" s="560"/>
      <c r="L94" s="560"/>
      <c r="M94" s="560"/>
      <c r="N94" s="560"/>
    </row>
    <row r="95" spans="2:14" s="6" customFormat="1" ht="15">
      <c r="B95" s="417"/>
      <c r="C95" s="417"/>
      <c r="D95" s="417"/>
      <c r="E95" s="417"/>
      <c r="F95" s="417"/>
      <c r="G95" s="417"/>
      <c r="H95" s="417"/>
      <c r="I95" s="417"/>
      <c r="J95" s="417"/>
      <c r="K95" s="417"/>
      <c r="L95" s="417"/>
      <c r="M95" s="417"/>
      <c r="N95" s="417"/>
    </row>
    <row r="96" spans="2:14" s="6" customFormat="1" ht="15">
      <c r="B96" s="413" t="s">
        <v>424</v>
      </c>
      <c r="C96" s="6" t="s">
        <v>448</v>
      </c>
    </row>
    <row r="97" spans="2:3" s="6" customFormat="1" ht="15">
      <c r="C97" s="6" t="s">
        <v>449</v>
      </c>
    </row>
    <row r="98" spans="2:3" s="6" customFormat="1" ht="15">
      <c r="C98" s="6" t="s">
        <v>450</v>
      </c>
    </row>
    <row r="99" spans="2:3" s="6" customFormat="1" ht="15">
      <c r="C99" s="6" t="s">
        <v>451</v>
      </c>
    </row>
    <row r="100" spans="2:3" s="6" customFormat="1" ht="15">
      <c r="C100" s="6" t="s">
        <v>452</v>
      </c>
    </row>
    <row r="101" spans="2:3" s="6" customFormat="1" ht="15">
      <c r="C101" s="6" t="s">
        <v>453</v>
      </c>
    </row>
    <row r="102" spans="2:3" s="6" customFormat="1" ht="15">
      <c r="C102" s="6" t="s">
        <v>454</v>
      </c>
    </row>
    <row r="103" spans="2:3" s="6" customFormat="1" ht="15">
      <c r="C103" s="6" t="s">
        <v>455</v>
      </c>
    </row>
    <row r="104" spans="2:3" s="6" customFormat="1" ht="15"/>
    <row r="105" spans="2:3" s="6" customFormat="1" ht="15">
      <c r="B105" s="6" t="s">
        <v>456</v>
      </c>
    </row>
    <row r="106" spans="2:3" s="6" customFormat="1" ht="15"/>
    <row r="107" spans="2:3" s="6" customFormat="1" ht="15">
      <c r="B107" s="6" t="s">
        <v>457</v>
      </c>
    </row>
    <row r="108" spans="2:3" s="6" customFormat="1" ht="15">
      <c r="B108" s="6" t="s">
        <v>465</v>
      </c>
    </row>
    <row r="109" spans="2:3" s="6" customFormat="1" ht="15">
      <c r="B109" s="6" t="s">
        <v>458</v>
      </c>
    </row>
    <row r="110" spans="2:3" s="6" customFormat="1" ht="15"/>
    <row r="111" spans="2:3" s="6" customFormat="1" ht="15"/>
    <row r="112" spans="2:3" s="6" customFormat="1" ht="15"/>
    <row r="113" spans="1:14" s="6" customFormat="1" ht="15">
      <c r="B113" s="412" t="s">
        <v>480</v>
      </c>
    </row>
    <row r="114" spans="1:14" s="6" customFormat="1" ht="15">
      <c r="B114" s="416"/>
    </row>
    <row r="115" spans="1:14" s="6" customFormat="1" ht="15">
      <c r="B115" s="416"/>
    </row>
    <row r="116" spans="1:14" s="6" customFormat="1" ht="15">
      <c r="A116" s="5"/>
      <c r="B116" s="561" t="s">
        <v>372</v>
      </c>
      <c r="C116" s="561"/>
      <c r="D116" s="561"/>
      <c r="E116" s="561"/>
      <c r="F116" s="561"/>
      <c r="G116" s="561"/>
      <c r="H116" s="561"/>
      <c r="I116" s="561"/>
      <c r="J116" s="561"/>
      <c r="K116" s="561"/>
      <c r="L116" s="561"/>
      <c r="M116" s="561"/>
      <c r="N116" s="561"/>
    </row>
  </sheetData>
  <sheetProtection algorithmName="SHA-512" hashValue="rZxevsh203PWFRE5dPVIiaDWaJHBf4o1cquPDcWAcY/bSUF0VpnHCzY739Kp9QdHbAWc1gnGykvtjoXihp6Jng==" saltValue="wlgQcyUxYJXArj2THCmc4g==" spinCount="100000" sheet="1" objects="1" scenarios="1" formatCells="0" formatColumns="0"/>
  <mergeCells count="10">
    <mergeCell ref="B1:D3"/>
    <mergeCell ref="E1:G3"/>
    <mergeCell ref="N1:O3"/>
    <mergeCell ref="B19:N20"/>
    <mergeCell ref="B28:N29"/>
    <mergeCell ref="B47:N48"/>
    <mergeCell ref="B60:N61"/>
    <mergeCell ref="B72:N73"/>
    <mergeCell ref="B93:N94"/>
    <mergeCell ref="B116:N116"/>
  </mergeCells>
  <hyperlinks>
    <hyperlink ref="B1:B3" location="Rendite!A1" display="Zurück zum Cockpit" xr:uid="{3632BBEA-C7A3-47B9-B7F1-D697E1F21FE7}"/>
    <hyperlink ref="B1:D3" location="Cockpit!A1" display="zurück zum Cockpit" xr:uid="{844AED0B-44A3-4A67-81AC-42C4AADBDC60}"/>
    <hyperlink ref="B116" location="Deckblatt!A1" display="Keine Gewähr für die Richtigkeit der Angaben. Dieses Tool ersetzt keine fundierte Rechts-, Steuer- oder Finanzberatung. Mehr Details hier." xr:uid="{59026422-D3CB-4B1A-A735-DCEB67725752}"/>
  </hyperlinks>
  <pageMargins left="0.23622047244094491" right="0.23622047244094491" top="0.74803149606299213" bottom="0.74803149606299213" header="0.31496062992125984" footer="0.31496062992125984"/>
  <pageSetup paperSize="9" scale="5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pageSetUpPr fitToPage="1"/>
  </sheetPr>
  <dimension ref="B1:T53"/>
  <sheetViews>
    <sheetView showGridLines="0" zoomScaleNormal="100" workbookViewId="0">
      <pane ySplit="4" topLeftCell="A5" activePane="bottomLeft" state="frozen"/>
      <selection pane="bottomLeft" activeCell="K38" sqref="K38"/>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32" t="s">
        <v>363</v>
      </c>
      <c r="C1" s="532"/>
      <c r="D1" s="532"/>
      <c r="E1" s="532"/>
      <c r="F1" s="532"/>
      <c r="G1" s="472" t="s">
        <v>364</v>
      </c>
      <c r="H1" s="472"/>
      <c r="I1" s="472"/>
      <c r="J1" s="472"/>
      <c r="K1" s="472"/>
      <c r="L1" s="472"/>
      <c r="O1" s="237"/>
      <c r="S1" s="238"/>
      <c r="T1" s="271"/>
    </row>
    <row r="2" spans="2:20" s="150" customFormat="1" ht="15" customHeight="1">
      <c r="B2" s="532"/>
      <c r="C2" s="532"/>
      <c r="D2" s="532"/>
      <c r="E2" s="532"/>
      <c r="F2" s="532"/>
      <c r="G2" s="472"/>
      <c r="H2" s="472"/>
      <c r="I2" s="472"/>
      <c r="J2" s="472"/>
      <c r="K2" s="472"/>
      <c r="L2" s="472"/>
      <c r="O2" s="237"/>
      <c r="S2" s="238"/>
      <c r="T2" s="271"/>
    </row>
    <row r="3" spans="2:20" s="150" customFormat="1" ht="12.75" customHeight="1">
      <c r="B3" s="532"/>
      <c r="C3" s="532"/>
      <c r="D3" s="532"/>
      <c r="E3" s="532"/>
      <c r="F3" s="532"/>
      <c r="G3" s="472"/>
      <c r="H3" s="472"/>
      <c r="I3" s="472"/>
      <c r="J3" s="472"/>
      <c r="K3" s="472"/>
      <c r="L3" s="472"/>
      <c r="O3" s="237"/>
      <c r="S3" s="238"/>
      <c r="T3" s="271"/>
    </row>
    <row r="4" spans="2:20" s="6" customFormat="1" ht="18.75" customHeight="1">
      <c r="L4" s="5"/>
      <c r="M4" s="5"/>
      <c r="N4" s="5"/>
      <c r="O4" s="5"/>
    </row>
    <row r="6" spans="2:20" ht="7.5" customHeight="1">
      <c r="B6" s="58"/>
      <c r="C6" s="59"/>
      <c r="D6" s="59"/>
      <c r="E6" s="59"/>
      <c r="F6" s="59"/>
      <c r="G6" s="59"/>
      <c r="H6" s="59"/>
      <c r="I6" s="59"/>
      <c r="J6" s="59"/>
      <c r="K6" s="59"/>
      <c r="L6" s="59"/>
      <c r="M6" s="59"/>
      <c r="N6" s="59"/>
      <c r="O6" s="59"/>
      <c r="P6" s="60"/>
    </row>
    <row r="7" spans="2:20" ht="19.5">
      <c r="B7" s="61"/>
      <c r="C7" s="563" t="s">
        <v>130</v>
      </c>
      <c r="D7" s="563"/>
      <c r="E7" s="563"/>
      <c r="F7" s="563"/>
      <c r="G7" s="563"/>
      <c r="H7" s="563"/>
      <c r="I7" s="563"/>
      <c r="J7" s="563"/>
      <c r="K7" s="563"/>
      <c r="L7" s="563"/>
      <c r="M7" s="563"/>
      <c r="N7" s="563"/>
      <c r="O7" s="563"/>
      <c r="P7" s="62"/>
    </row>
    <row r="8" spans="2:20" ht="18.75">
      <c r="B8" s="61"/>
      <c r="C8" s="63" t="s">
        <v>131</v>
      </c>
      <c r="D8" s="64"/>
      <c r="E8" s="64"/>
      <c r="F8" s="64"/>
      <c r="G8" s="65"/>
      <c r="H8" s="64"/>
      <c r="I8" s="64"/>
      <c r="J8" s="64"/>
      <c r="K8" s="65"/>
      <c r="L8" s="65"/>
      <c r="M8" s="65"/>
      <c r="N8" s="63"/>
      <c r="O8" s="66" t="s">
        <v>132</v>
      </c>
      <c r="P8" s="62"/>
    </row>
    <row r="9" spans="2:20">
      <c r="B9" s="61"/>
      <c r="C9" s="65"/>
      <c r="D9" s="65"/>
      <c r="E9" s="65"/>
      <c r="F9" s="65"/>
      <c r="G9" s="65"/>
      <c r="H9" s="65"/>
      <c r="I9" s="65"/>
      <c r="J9" s="65"/>
      <c r="K9" s="65"/>
      <c r="L9" s="65"/>
      <c r="M9" s="65"/>
      <c r="N9" s="65"/>
      <c r="O9" s="65"/>
      <c r="P9" s="62"/>
    </row>
    <row r="10" spans="2:20">
      <c r="B10" s="61"/>
      <c r="C10" s="67" t="s">
        <v>133</v>
      </c>
      <c r="D10" s="68"/>
      <c r="E10" s="68"/>
      <c r="F10" s="68"/>
      <c r="G10" s="68"/>
      <c r="H10" s="68"/>
      <c r="I10" s="68"/>
      <c r="J10" s="68"/>
      <c r="K10" s="68"/>
      <c r="L10" s="68"/>
      <c r="M10" s="68"/>
      <c r="N10" s="68"/>
      <c r="O10" s="69"/>
      <c r="P10" s="62"/>
    </row>
    <row r="11" spans="2:20">
      <c r="B11" s="61"/>
      <c r="C11" s="70" t="s">
        <v>134</v>
      </c>
      <c r="D11" s="71" t="s">
        <v>131</v>
      </c>
      <c r="E11" s="71"/>
      <c r="F11" s="71"/>
      <c r="G11" s="71"/>
      <c r="H11" s="71"/>
      <c r="I11" s="71"/>
      <c r="J11" s="71"/>
      <c r="K11" s="71" t="s">
        <v>135</v>
      </c>
      <c r="L11" s="71"/>
      <c r="M11" s="71" t="s">
        <v>136</v>
      </c>
      <c r="N11" s="71"/>
      <c r="O11" s="72"/>
      <c r="P11" s="62"/>
    </row>
    <row r="12" spans="2:20">
      <c r="B12" s="61"/>
      <c r="C12" s="70" t="s">
        <v>137</v>
      </c>
      <c r="D12" s="71" t="s">
        <v>138</v>
      </c>
      <c r="E12" s="71"/>
      <c r="F12" s="71"/>
      <c r="G12" s="71"/>
      <c r="H12" s="71"/>
      <c r="I12" s="71"/>
      <c r="J12" s="71"/>
      <c r="K12" s="71" t="s">
        <v>139</v>
      </c>
      <c r="L12" s="71"/>
      <c r="M12" s="71" t="s">
        <v>140</v>
      </c>
      <c r="N12" s="71"/>
      <c r="O12" s="72"/>
      <c r="P12" s="62"/>
    </row>
    <row r="13" spans="2:20">
      <c r="B13" s="61"/>
      <c r="C13" s="73"/>
      <c r="D13" s="74" t="s">
        <v>141</v>
      </c>
      <c r="E13" s="74"/>
      <c r="F13" s="74"/>
      <c r="G13" s="74"/>
      <c r="H13" s="74"/>
      <c r="I13" s="74"/>
      <c r="J13" s="74"/>
      <c r="K13" s="74" t="s">
        <v>142</v>
      </c>
      <c r="L13" s="74"/>
      <c r="M13" s="74" t="s">
        <v>143</v>
      </c>
      <c r="N13" s="74"/>
      <c r="O13" s="75"/>
      <c r="P13" s="62"/>
    </row>
    <row r="14" spans="2:20">
      <c r="B14" s="61"/>
      <c r="C14" s="71"/>
      <c r="D14" s="71"/>
      <c r="E14" s="71"/>
      <c r="F14" s="71"/>
      <c r="G14" s="71"/>
      <c r="H14" s="71"/>
      <c r="I14" s="71"/>
      <c r="J14" s="71"/>
      <c r="K14" s="71"/>
      <c r="L14" s="71"/>
      <c r="M14" s="71"/>
      <c r="N14" s="71"/>
      <c r="O14" s="71"/>
      <c r="P14" s="62"/>
    </row>
    <row r="15" spans="2:20">
      <c r="B15" s="61"/>
      <c r="C15" s="76" t="s">
        <v>144</v>
      </c>
      <c r="D15" s="77"/>
      <c r="E15" s="77"/>
      <c r="F15" s="77"/>
      <c r="G15" s="77"/>
      <c r="H15" s="77"/>
      <c r="I15" s="77"/>
      <c r="J15" s="77"/>
      <c r="K15" s="77"/>
      <c r="L15" s="77"/>
      <c r="M15" s="77"/>
      <c r="N15" s="77"/>
      <c r="O15" s="78"/>
      <c r="P15" s="62"/>
    </row>
    <row r="16" spans="2:20" ht="9" customHeight="1">
      <c r="B16" s="61"/>
      <c r="C16" s="71"/>
      <c r="D16" s="71"/>
      <c r="E16" s="71"/>
      <c r="F16" s="71"/>
      <c r="G16" s="71"/>
      <c r="H16" s="71"/>
      <c r="I16" s="71"/>
      <c r="J16" s="71"/>
      <c r="K16" s="71"/>
      <c r="L16" s="71"/>
      <c r="M16" s="71"/>
      <c r="N16" s="71"/>
      <c r="O16" s="71"/>
      <c r="P16" s="62"/>
    </row>
    <row r="17" spans="2:16">
      <c r="B17" s="61"/>
      <c r="C17" s="79" t="s">
        <v>145</v>
      </c>
      <c r="D17" s="80"/>
      <c r="E17" s="80"/>
      <c r="F17" s="80"/>
      <c r="G17" s="80"/>
      <c r="H17" s="81" t="s">
        <v>146</v>
      </c>
      <c r="I17" s="81" t="s">
        <v>147</v>
      </c>
      <c r="J17" s="80"/>
      <c r="K17" s="80" t="s">
        <v>148</v>
      </c>
      <c r="L17" s="80"/>
      <c r="M17" s="80"/>
      <c r="N17" s="80"/>
      <c r="O17" s="82"/>
      <c r="P17" s="62"/>
    </row>
    <row r="18" spans="2:16">
      <c r="B18" s="61"/>
      <c r="C18" s="83" t="s">
        <v>149</v>
      </c>
      <c r="D18" s="84"/>
      <c r="E18" s="84"/>
      <c r="F18" s="84"/>
      <c r="G18" s="84"/>
      <c r="H18" s="85">
        <f>12*I18</f>
        <v>26400</v>
      </c>
      <c r="I18" s="85">
        <v>2200</v>
      </c>
      <c r="J18" s="84"/>
      <c r="K18" s="84"/>
      <c r="L18" s="84"/>
      <c r="M18" s="84"/>
      <c r="N18" s="84"/>
      <c r="O18" s="86"/>
      <c r="P18" s="62"/>
    </row>
    <row r="19" spans="2:16">
      <c r="B19" s="61"/>
      <c r="C19" s="83" t="s">
        <v>150</v>
      </c>
      <c r="D19" s="84"/>
      <c r="E19" s="84"/>
      <c r="F19" s="84"/>
      <c r="G19" s="84"/>
      <c r="H19" s="85">
        <f>12*I19</f>
        <v>2400</v>
      </c>
      <c r="I19" s="85">
        <v>200</v>
      </c>
      <c r="J19" s="84"/>
      <c r="K19" s="84"/>
      <c r="L19" s="84"/>
      <c r="M19" s="84"/>
      <c r="N19" s="84"/>
      <c r="O19" s="86"/>
      <c r="P19" s="62"/>
    </row>
    <row r="20" spans="2:16">
      <c r="B20" s="61"/>
      <c r="C20" s="87" t="s">
        <v>151</v>
      </c>
      <c r="D20" s="88"/>
      <c r="E20" s="88"/>
      <c r="F20" s="88"/>
      <c r="G20" s="88"/>
      <c r="H20" s="85">
        <f>12*I20</f>
        <v>0</v>
      </c>
      <c r="I20" s="89">
        <v>0</v>
      </c>
      <c r="J20" s="88"/>
      <c r="K20" s="88"/>
      <c r="L20" s="88"/>
      <c r="M20" s="88"/>
      <c r="N20" s="88"/>
      <c r="O20" s="90"/>
      <c r="P20" s="62"/>
    </row>
    <row r="21" spans="2:16">
      <c r="B21" s="61"/>
      <c r="C21" s="87" t="s">
        <v>152</v>
      </c>
      <c r="D21" s="88"/>
      <c r="E21" s="88"/>
      <c r="F21" s="88"/>
      <c r="G21" s="88"/>
      <c r="H21" s="89">
        <f t="shared" ref="H21:H25" si="0">12*I21</f>
        <v>0</v>
      </c>
      <c r="I21" s="89">
        <v>0</v>
      </c>
      <c r="J21" s="88"/>
      <c r="K21" s="88"/>
      <c r="L21" s="88"/>
      <c r="M21" s="88"/>
      <c r="N21" s="88"/>
      <c r="O21" s="90"/>
      <c r="P21" s="62"/>
    </row>
    <row r="22" spans="2:16">
      <c r="B22" s="61"/>
      <c r="C22" s="87" t="s">
        <v>43</v>
      </c>
      <c r="D22" s="88"/>
      <c r="E22" s="88"/>
      <c r="F22" s="88"/>
      <c r="G22" s="88"/>
      <c r="H22" s="89">
        <f t="shared" si="0"/>
        <v>600</v>
      </c>
      <c r="I22" s="89">
        <v>50</v>
      </c>
      <c r="J22" s="88"/>
      <c r="K22" s="88"/>
      <c r="L22" s="88"/>
      <c r="M22" s="88"/>
      <c r="N22" s="88"/>
      <c r="O22" s="90"/>
      <c r="P22" s="62"/>
    </row>
    <row r="23" spans="2:16">
      <c r="B23" s="61"/>
      <c r="C23" s="87" t="s">
        <v>153</v>
      </c>
      <c r="D23" s="88"/>
      <c r="E23" s="88"/>
      <c r="F23" s="88"/>
      <c r="G23" s="88"/>
      <c r="H23" s="89">
        <f t="shared" si="0"/>
        <v>3600</v>
      </c>
      <c r="I23" s="89">
        <v>300</v>
      </c>
      <c r="J23" s="88"/>
      <c r="K23" s="88"/>
      <c r="L23" s="88"/>
      <c r="M23" s="88"/>
      <c r="N23" s="88"/>
      <c r="O23" s="90"/>
      <c r="P23" s="62"/>
    </row>
    <row r="24" spans="2:16">
      <c r="B24" s="61"/>
      <c r="C24" s="87" t="s">
        <v>154</v>
      </c>
      <c r="D24" s="88"/>
      <c r="E24" s="88"/>
      <c r="F24" s="88"/>
      <c r="G24" s="88"/>
      <c r="H24" s="89">
        <f t="shared" si="0"/>
        <v>0</v>
      </c>
      <c r="I24" s="89">
        <v>0</v>
      </c>
      <c r="J24" s="88"/>
      <c r="K24" s="88"/>
      <c r="L24" s="88"/>
      <c r="M24" s="88"/>
      <c r="N24" s="88"/>
      <c r="O24" s="90"/>
      <c r="P24" s="62"/>
    </row>
    <row r="25" spans="2:16" ht="15.75" thickBot="1">
      <c r="B25" s="61"/>
      <c r="C25" s="87" t="s">
        <v>155</v>
      </c>
      <c r="D25" s="88"/>
      <c r="E25" s="88"/>
      <c r="F25" s="88"/>
      <c r="G25" s="88"/>
      <c r="H25" s="89">
        <f t="shared" si="0"/>
        <v>0</v>
      </c>
      <c r="I25" s="89">
        <v>0</v>
      </c>
      <c r="J25" s="88"/>
      <c r="K25" s="88"/>
      <c r="L25" s="88"/>
      <c r="M25" s="88"/>
      <c r="N25" s="88"/>
      <c r="O25" s="90"/>
      <c r="P25" s="62"/>
    </row>
    <row r="26" spans="2:16" ht="15.75" thickTop="1">
      <c r="B26" s="61"/>
      <c r="C26" s="91" t="s">
        <v>7</v>
      </c>
      <c r="D26" s="92"/>
      <c r="E26" s="92"/>
      <c r="F26" s="92"/>
      <c r="G26" s="92"/>
      <c r="H26" s="93">
        <f>12*I26</f>
        <v>33000</v>
      </c>
      <c r="I26" s="93">
        <f>SUM(I18:I25)</f>
        <v>2750</v>
      </c>
      <c r="J26" s="92"/>
      <c r="K26" s="92"/>
      <c r="L26" s="92"/>
      <c r="M26" s="92"/>
      <c r="N26" s="92"/>
      <c r="O26" s="94"/>
      <c r="P26" s="62"/>
    </row>
    <row r="27" spans="2:16" ht="9" customHeight="1">
      <c r="B27" s="61"/>
      <c r="C27" s="71"/>
      <c r="D27" s="71"/>
      <c r="E27" s="71"/>
      <c r="F27" s="71"/>
      <c r="G27" s="71"/>
      <c r="H27" s="71"/>
      <c r="I27" s="71"/>
      <c r="J27" s="71"/>
      <c r="K27" s="71"/>
      <c r="L27" s="71"/>
      <c r="M27" s="71"/>
      <c r="N27" s="71"/>
      <c r="O27" s="71"/>
      <c r="P27" s="62"/>
    </row>
    <row r="28" spans="2:16">
      <c r="B28" s="61"/>
      <c r="C28" s="95" t="s">
        <v>63</v>
      </c>
      <c r="D28" s="96"/>
      <c r="E28" s="96"/>
      <c r="F28" s="96"/>
      <c r="G28" s="96"/>
      <c r="H28" s="97" t="s">
        <v>146</v>
      </c>
      <c r="I28" s="81" t="s">
        <v>147</v>
      </c>
      <c r="J28" s="96"/>
      <c r="K28" s="96" t="s">
        <v>148</v>
      </c>
      <c r="L28" s="96"/>
      <c r="M28" s="96"/>
      <c r="N28" s="96"/>
      <c r="O28" s="98"/>
      <c r="P28" s="62"/>
    </row>
    <row r="29" spans="2:16">
      <c r="B29" s="61"/>
      <c r="C29" s="83" t="s">
        <v>156</v>
      </c>
      <c r="D29" s="84"/>
      <c r="E29" s="84"/>
      <c r="F29" s="84"/>
      <c r="G29" s="84"/>
      <c r="H29" s="99">
        <f>I29*12</f>
        <v>7800</v>
      </c>
      <c r="I29" s="99">
        <v>650</v>
      </c>
      <c r="J29" s="84"/>
      <c r="K29" s="88" t="s">
        <v>157</v>
      </c>
      <c r="L29" s="84"/>
      <c r="M29" s="84"/>
      <c r="N29" s="84"/>
      <c r="O29" s="86"/>
      <c r="P29" s="62"/>
    </row>
    <row r="30" spans="2:16">
      <c r="B30" s="61"/>
      <c r="C30" s="87" t="s">
        <v>158</v>
      </c>
      <c r="D30" s="88"/>
      <c r="E30" s="88"/>
      <c r="F30" s="88"/>
      <c r="G30" s="88"/>
      <c r="H30" s="100">
        <f>I30*12</f>
        <v>2400</v>
      </c>
      <c r="I30" s="100">
        <v>200</v>
      </c>
      <c r="J30" s="88"/>
      <c r="K30" s="88"/>
      <c r="L30" s="88"/>
      <c r="M30" s="88"/>
      <c r="N30" s="88"/>
      <c r="O30" s="90"/>
      <c r="P30" s="62"/>
    </row>
    <row r="31" spans="2:16">
      <c r="B31" s="61"/>
      <c r="C31" s="87" t="s">
        <v>159</v>
      </c>
      <c r="D31" s="88"/>
      <c r="E31" s="88"/>
      <c r="F31" s="88"/>
      <c r="G31" s="88"/>
      <c r="H31" s="100">
        <f>I31*12</f>
        <v>1200</v>
      </c>
      <c r="I31" s="100">
        <v>100</v>
      </c>
      <c r="J31" s="88"/>
      <c r="K31" s="88" t="s">
        <v>160</v>
      </c>
      <c r="L31" s="88"/>
      <c r="M31" s="88"/>
      <c r="N31" s="88"/>
      <c r="O31" s="90"/>
      <c r="P31" s="62"/>
    </row>
    <row r="32" spans="2:16">
      <c r="B32" s="61"/>
      <c r="C32" s="87" t="s">
        <v>161</v>
      </c>
      <c r="D32" s="88"/>
      <c r="E32" s="88"/>
      <c r="F32" s="88"/>
      <c r="G32" s="88"/>
      <c r="H32" s="100">
        <f t="shared" ref="H32:H45" si="1">I32*12</f>
        <v>1200</v>
      </c>
      <c r="I32" s="100">
        <v>100</v>
      </c>
      <c r="J32" s="88"/>
      <c r="K32" s="88" t="s">
        <v>162</v>
      </c>
      <c r="L32" s="88"/>
      <c r="M32" s="88"/>
      <c r="N32" s="88"/>
      <c r="O32" s="90"/>
      <c r="P32" s="62"/>
    </row>
    <row r="33" spans="2:16">
      <c r="B33" s="61"/>
      <c r="C33" s="87" t="s">
        <v>163</v>
      </c>
      <c r="D33" s="88"/>
      <c r="E33" s="88"/>
      <c r="F33" s="88"/>
      <c r="G33" s="88"/>
      <c r="H33" s="100">
        <f>I33*12</f>
        <v>900</v>
      </c>
      <c r="I33" s="100">
        <v>75</v>
      </c>
      <c r="J33" s="88"/>
      <c r="K33" s="88"/>
      <c r="L33" s="88"/>
      <c r="M33" s="88"/>
      <c r="N33" s="88"/>
      <c r="O33" s="90"/>
      <c r="P33" s="62"/>
    </row>
    <row r="34" spans="2:16">
      <c r="B34" s="61"/>
      <c r="C34" s="87" t="s">
        <v>164</v>
      </c>
      <c r="D34" s="88"/>
      <c r="E34" s="88"/>
      <c r="F34" s="88"/>
      <c r="G34" s="88"/>
      <c r="H34" s="100">
        <f t="shared" si="1"/>
        <v>1800</v>
      </c>
      <c r="I34" s="100">
        <v>150</v>
      </c>
      <c r="J34" s="88"/>
      <c r="K34" s="88" t="s">
        <v>165</v>
      </c>
      <c r="L34" s="88"/>
      <c r="M34" s="88"/>
      <c r="N34" s="88"/>
      <c r="O34" s="90"/>
      <c r="P34" s="62"/>
    </row>
    <row r="35" spans="2:16">
      <c r="B35" s="61"/>
      <c r="C35" s="87" t="s">
        <v>166</v>
      </c>
      <c r="D35" s="88"/>
      <c r="E35" s="88"/>
      <c r="F35" s="88"/>
      <c r="G35" s="88"/>
      <c r="H35" s="100">
        <f t="shared" si="1"/>
        <v>300</v>
      </c>
      <c r="I35" s="100">
        <v>25</v>
      </c>
      <c r="J35" s="88"/>
      <c r="K35" s="88"/>
      <c r="L35" s="88"/>
      <c r="M35" s="88"/>
      <c r="N35" s="88"/>
      <c r="O35" s="90"/>
      <c r="P35" s="62"/>
    </row>
    <row r="36" spans="2:16">
      <c r="B36" s="61"/>
      <c r="C36" s="87" t="s">
        <v>167</v>
      </c>
      <c r="D36" s="88"/>
      <c r="E36" s="88"/>
      <c r="F36" s="88"/>
      <c r="G36" s="88"/>
      <c r="H36" s="100">
        <f>I36*12</f>
        <v>600</v>
      </c>
      <c r="I36" s="100">
        <v>50</v>
      </c>
      <c r="J36" s="88"/>
      <c r="K36" s="88"/>
      <c r="L36" s="88"/>
      <c r="M36" s="88"/>
      <c r="N36" s="88"/>
      <c r="O36" s="90"/>
      <c r="P36" s="62"/>
    </row>
    <row r="37" spans="2:16">
      <c r="B37" s="61"/>
      <c r="C37" s="87" t="s">
        <v>168</v>
      </c>
      <c r="D37" s="88"/>
      <c r="E37" s="88"/>
      <c r="F37" s="88"/>
      <c r="G37" s="88"/>
      <c r="H37" s="100">
        <f t="shared" si="1"/>
        <v>600</v>
      </c>
      <c r="I37" s="100">
        <v>50</v>
      </c>
      <c r="J37" s="88"/>
      <c r="K37" s="88" t="s">
        <v>169</v>
      </c>
      <c r="L37" s="88"/>
      <c r="M37" s="88"/>
      <c r="N37" s="88"/>
      <c r="O37" s="90"/>
      <c r="P37" s="62"/>
    </row>
    <row r="38" spans="2:16">
      <c r="B38" s="61"/>
      <c r="C38" s="87" t="s">
        <v>170</v>
      </c>
      <c r="D38" s="88"/>
      <c r="E38" s="88"/>
      <c r="F38" s="88"/>
      <c r="G38" s="88"/>
      <c r="H38" s="100">
        <f t="shared" si="1"/>
        <v>1944</v>
      </c>
      <c r="I38" s="100">
        <v>162</v>
      </c>
      <c r="J38" s="88"/>
      <c r="K38" s="88"/>
      <c r="L38" s="88"/>
      <c r="M38" s="88"/>
      <c r="N38" s="88"/>
      <c r="O38" s="90"/>
      <c r="P38" s="62"/>
    </row>
    <row r="39" spans="2:16">
      <c r="B39" s="61"/>
      <c r="C39" s="87" t="s">
        <v>171</v>
      </c>
      <c r="D39" s="88"/>
      <c r="E39" s="88"/>
      <c r="F39" s="88"/>
      <c r="G39" s="88"/>
      <c r="H39" s="100">
        <f t="shared" si="1"/>
        <v>960</v>
      </c>
      <c r="I39" s="100">
        <v>80</v>
      </c>
      <c r="J39" s="88"/>
      <c r="K39" s="88" t="s">
        <v>172</v>
      </c>
      <c r="L39" s="88"/>
      <c r="M39" s="88"/>
      <c r="N39" s="88"/>
      <c r="O39" s="90"/>
      <c r="P39" s="62"/>
    </row>
    <row r="40" spans="2:16">
      <c r="B40" s="61"/>
      <c r="C40" s="87" t="s">
        <v>173</v>
      </c>
      <c r="D40" s="88"/>
      <c r="E40" s="88"/>
      <c r="F40" s="88"/>
      <c r="G40" s="88"/>
      <c r="H40" s="100">
        <f t="shared" si="1"/>
        <v>1044</v>
      </c>
      <c r="I40" s="100">
        <v>87</v>
      </c>
      <c r="J40" s="88"/>
      <c r="K40" s="88" t="s">
        <v>174</v>
      </c>
      <c r="L40" s="88"/>
      <c r="M40" s="88"/>
      <c r="N40" s="88"/>
      <c r="O40" s="90"/>
      <c r="P40" s="62"/>
    </row>
    <row r="41" spans="2:16">
      <c r="B41" s="61"/>
      <c r="C41" s="87" t="s">
        <v>175</v>
      </c>
      <c r="D41" s="88"/>
      <c r="E41" s="88"/>
      <c r="F41" s="88"/>
      <c r="G41" s="88"/>
      <c r="H41" s="100">
        <f t="shared" si="1"/>
        <v>2244</v>
      </c>
      <c r="I41" s="100">
        <v>187</v>
      </c>
      <c r="J41" s="88"/>
      <c r="K41" s="88"/>
      <c r="L41" s="88"/>
      <c r="M41" s="88"/>
      <c r="N41" s="88"/>
      <c r="O41" s="90"/>
      <c r="P41" s="62"/>
    </row>
    <row r="42" spans="2:16">
      <c r="B42" s="61"/>
      <c r="C42" s="87" t="s">
        <v>176</v>
      </c>
      <c r="D42" s="88"/>
      <c r="E42" s="88"/>
      <c r="F42" s="88"/>
      <c r="G42" s="88"/>
      <c r="H42" s="100">
        <f>I42*12</f>
        <v>0</v>
      </c>
      <c r="I42" s="100">
        <v>0</v>
      </c>
      <c r="J42" s="88"/>
      <c r="K42" s="88"/>
      <c r="L42" s="88"/>
      <c r="M42" s="88"/>
      <c r="N42" s="88"/>
      <c r="O42" s="90"/>
      <c r="P42" s="62"/>
    </row>
    <row r="43" spans="2:16">
      <c r="B43" s="61"/>
      <c r="C43" s="87" t="s">
        <v>177</v>
      </c>
      <c r="D43" s="88"/>
      <c r="E43" s="88"/>
      <c r="F43" s="88"/>
      <c r="G43" s="88"/>
      <c r="H43" s="100">
        <f>I43*12</f>
        <v>0</v>
      </c>
      <c r="I43" s="100">
        <v>0</v>
      </c>
      <c r="J43" s="88"/>
      <c r="K43" s="88"/>
      <c r="L43" s="88"/>
      <c r="M43" s="88"/>
      <c r="N43" s="88"/>
      <c r="O43" s="90"/>
      <c r="P43" s="62"/>
    </row>
    <row r="44" spans="2:16" ht="15.75" thickBot="1">
      <c r="B44" s="61"/>
      <c r="C44" s="70" t="s">
        <v>10</v>
      </c>
      <c r="D44" s="71"/>
      <c r="E44" s="71"/>
      <c r="F44" s="71"/>
      <c r="G44" s="71"/>
      <c r="H44" s="101">
        <f t="shared" si="1"/>
        <v>1200</v>
      </c>
      <c r="I44" s="101">
        <v>100</v>
      </c>
      <c r="J44" s="71"/>
      <c r="K44" s="71"/>
      <c r="L44" s="71"/>
      <c r="M44" s="71"/>
      <c r="N44" s="71"/>
      <c r="O44" s="72"/>
      <c r="P44" s="62"/>
    </row>
    <row r="45" spans="2:16" ht="15.75" thickTop="1">
      <c r="B45" s="61"/>
      <c r="C45" s="91" t="s">
        <v>7</v>
      </c>
      <c r="D45" s="92"/>
      <c r="E45" s="92"/>
      <c r="F45" s="92"/>
      <c r="G45" s="92"/>
      <c r="H45" s="102">
        <f t="shared" si="1"/>
        <v>24192</v>
      </c>
      <c r="I45" s="102">
        <f>SUM(I29:I44)</f>
        <v>2016</v>
      </c>
      <c r="J45" s="92"/>
      <c r="K45" s="92"/>
      <c r="L45" s="92"/>
      <c r="M45" s="92"/>
      <c r="N45" s="92"/>
      <c r="O45" s="94"/>
      <c r="P45" s="62"/>
    </row>
    <row r="46" spans="2:16" ht="9" customHeight="1">
      <c r="B46" s="61"/>
      <c r="C46" s="71"/>
      <c r="D46" s="71"/>
      <c r="E46" s="71"/>
      <c r="F46" s="71"/>
      <c r="G46" s="71"/>
      <c r="H46" s="71"/>
      <c r="I46" s="71"/>
      <c r="J46" s="71"/>
      <c r="K46" s="71"/>
      <c r="L46" s="71"/>
      <c r="M46" s="71"/>
      <c r="N46" s="71"/>
      <c r="O46" s="71"/>
      <c r="P46" s="62"/>
    </row>
    <row r="47" spans="2:16">
      <c r="B47" s="61"/>
      <c r="C47" s="79" t="s">
        <v>178</v>
      </c>
      <c r="D47" s="80"/>
      <c r="E47" s="80"/>
      <c r="F47" s="80"/>
      <c r="G47" s="80"/>
      <c r="H47" s="81" t="s">
        <v>146</v>
      </c>
      <c r="I47" s="81" t="s">
        <v>147</v>
      </c>
      <c r="J47" s="80"/>
      <c r="K47" s="80" t="s">
        <v>148</v>
      </c>
      <c r="L47" s="80"/>
      <c r="M47" s="80"/>
      <c r="N47" s="80"/>
      <c r="O47" s="82"/>
      <c r="P47" s="62"/>
    </row>
    <row r="48" spans="2:16">
      <c r="B48" s="61"/>
      <c r="C48" s="83" t="s">
        <v>62</v>
      </c>
      <c r="D48" s="84"/>
      <c r="E48" s="84"/>
      <c r="F48" s="84"/>
      <c r="G48" s="84"/>
      <c r="H48" s="99">
        <f>12*I48</f>
        <v>33000</v>
      </c>
      <c r="I48" s="99">
        <f>I26</f>
        <v>2750</v>
      </c>
      <c r="J48" s="84"/>
      <c r="K48" s="84"/>
      <c r="L48" s="84"/>
      <c r="M48" s="84"/>
      <c r="N48" s="84"/>
      <c r="O48" s="86"/>
      <c r="P48" s="62"/>
    </row>
    <row r="49" spans="2:16" ht="15.75" thickBot="1">
      <c r="B49" s="61"/>
      <c r="C49" s="103" t="s">
        <v>63</v>
      </c>
      <c r="D49" s="104"/>
      <c r="E49" s="104"/>
      <c r="F49" s="104"/>
      <c r="G49" s="104"/>
      <c r="H49" s="105">
        <f>12*I49</f>
        <v>24192</v>
      </c>
      <c r="I49" s="105">
        <f>I45</f>
        <v>2016</v>
      </c>
      <c r="J49" s="104"/>
      <c r="K49" s="104"/>
      <c r="L49" s="104"/>
      <c r="M49" s="104"/>
      <c r="N49" s="104"/>
      <c r="O49" s="106"/>
      <c r="P49" s="62"/>
    </row>
    <row r="50" spans="2:16" ht="15.75" thickTop="1">
      <c r="B50" s="61"/>
      <c r="C50" s="91" t="s">
        <v>179</v>
      </c>
      <c r="D50" s="92"/>
      <c r="E50" s="92"/>
      <c r="F50" s="92"/>
      <c r="G50" s="92"/>
      <c r="H50" s="102">
        <f>12*I50</f>
        <v>8808</v>
      </c>
      <c r="I50" s="102">
        <f>I48-I49</f>
        <v>734</v>
      </c>
      <c r="J50" s="92"/>
      <c r="K50" s="92" t="s">
        <v>180</v>
      </c>
      <c r="L50" s="92"/>
      <c r="M50" s="92"/>
      <c r="N50" s="92"/>
      <c r="O50" s="94"/>
      <c r="P50" s="62"/>
    </row>
    <row r="51" spans="2:16">
      <c r="B51" s="107"/>
      <c r="C51" s="108"/>
      <c r="D51" s="108"/>
      <c r="E51" s="108"/>
      <c r="F51" s="108"/>
      <c r="G51" s="108"/>
      <c r="H51" s="109"/>
      <c r="I51" s="109"/>
      <c r="J51" s="108"/>
      <c r="K51" s="108"/>
      <c r="L51" s="108"/>
      <c r="M51" s="108"/>
      <c r="N51" s="108"/>
      <c r="O51" s="108"/>
      <c r="P51" s="110"/>
    </row>
    <row r="53" spans="2:16" ht="18">
      <c r="B53" s="135" t="s">
        <v>372</v>
      </c>
      <c r="P53" s="111"/>
    </row>
  </sheetData>
  <sheetProtection algorithmName="SHA-512" hashValue="WSMfxM0YFAZe4/PaY3PcIOtXADBJPMDkS8eBy24lI05gvi7avulNhUyztZQr6vxIVQOUx6dF1FBcx1GWCaYcWg==" saltValue="xKMpsDPRIlP2V4rOVHRudQ==" spinCount="100000" sheet="1" objects="1" scenarios="1" formatCells="0" formatColumns="0" insertRows="0"/>
  <mergeCells count="3">
    <mergeCell ref="C7:O7"/>
    <mergeCell ref="B1:F3"/>
    <mergeCell ref="G1:L3"/>
  </mergeCells>
  <hyperlinks>
    <hyperlink ref="B1:F3" location="Bankgespräch!A1" display="zurück zum Bankgespräch" xr:uid="{00000000-0004-0000-0A00-000000000000}"/>
    <hyperlink ref="B53" location="Deckblatt!A1" display="Keine Gewähr für die Richtigkeit der Angaben. Dieses Tool ersetzt keine fundierte Rechts-, Steuer- oder Finanzberatung. Mehr Details hier." xr:uid="{00000000-0004-0000-0A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9084444715716"/>
    <pageSetUpPr fitToPage="1"/>
  </sheetPr>
  <dimension ref="B1:T41"/>
  <sheetViews>
    <sheetView showGridLines="0" zoomScaleNormal="100" workbookViewId="0">
      <pane ySplit="4" topLeftCell="A5" activePane="bottomLeft" state="frozen"/>
      <selection pane="bottomLeft" activeCell="U20" sqref="U19:U20"/>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64" t="s">
        <v>363</v>
      </c>
      <c r="C1" s="564"/>
      <c r="D1" s="564"/>
      <c r="E1" s="564"/>
      <c r="F1" s="564"/>
      <c r="G1" s="464" t="s">
        <v>365</v>
      </c>
      <c r="H1" s="464"/>
      <c r="I1" s="464"/>
      <c r="J1" s="464"/>
      <c r="K1" s="464"/>
      <c r="L1" s="464"/>
      <c r="O1" s="237"/>
      <c r="S1" s="427"/>
      <c r="T1" s="428"/>
    </row>
    <row r="2" spans="2:20" s="150" customFormat="1" ht="15" customHeight="1">
      <c r="B2" s="564"/>
      <c r="C2" s="564"/>
      <c r="D2" s="564"/>
      <c r="E2" s="564"/>
      <c r="F2" s="564"/>
      <c r="G2" s="464"/>
      <c r="H2" s="464"/>
      <c r="I2" s="464"/>
      <c r="J2" s="464"/>
      <c r="K2" s="464"/>
      <c r="L2" s="464"/>
      <c r="O2" s="237"/>
      <c r="S2" s="427"/>
      <c r="T2" s="428"/>
    </row>
    <row r="3" spans="2:20" s="150" customFormat="1" ht="12.75" customHeight="1">
      <c r="B3" s="564"/>
      <c r="C3" s="564"/>
      <c r="D3" s="564"/>
      <c r="E3" s="564"/>
      <c r="F3" s="564"/>
      <c r="G3" s="464"/>
      <c r="H3" s="464"/>
      <c r="I3" s="464"/>
      <c r="J3" s="464"/>
      <c r="K3" s="464"/>
      <c r="L3" s="464"/>
      <c r="O3" s="237"/>
      <c r="S3" s="427"/>
      <c r="T3" s="428"/>
    </row>
    <row r="4" spans="2:20" s="6" customFormat="1" ht="18.75" customHeight="1">
      <c r="L4" s="5"/>
      <c r="M4" s="5"/>
      <c r="N4" s="5"/>
      <c r="O4" s="5"/>
    </row>
    <row r="6" spans="2:20" ht="7.5" customHeight="1">
      <c r="B6" s="112"/>
      <c r="C6" s="113"/>
      <c r="D6" s="113"/>
      <c r="E6" s="113"/>
      <c r="F6" s="113"/>
      <c r="G6" s="113"/>
      <c r="H6" s="113"/>
      <c r="I6" s="113"/>
      <c r="J6" s="113"/>
      <c r="K6" s="113"/>
      <c r="L6" s="113"/>
      <c r="M6" s="113"/>
      <c r="N6" s="113"/>
      <c r="O6" s="113"/>
      <c r="P6" s="114"/>
    </row>
    <row r="7" spans="2:20" ht="20.25">
      <c r="B7" s="115"/>
      <c r="C7" s="563" t="s">
        <v>181</v>
      </c>
      <c r="D7" s="563"/>
      <c r="E7" s="563"/>
      <c r="F7" s="563"/>
      <c r="G7" s="563"/>
      <c r="H7" s="563"/>
      <c r="I7" s="563"/>
      <c r="J7" s="563"/>
      <c r="K7" s="563"/>
      <c r="L7" s="563"/>
      <c r="M7" s="563"/>
      <c r="N7" s="563"/>
      <c r="O7" s="563"/>
      <c r="P7" s="116"/>
    </row>
    <row r="8" spans="2:20" ht="18.75">
      <c r="B8" s="115"/>
      <c r="C8" s="63" t="s">
        <v>131</v>
      </c>
      <c r="D8" s="117"/>
      <c r="E8" s="117"/>
      <c r="F8" s="117"/>
      <c r="G8" s="118"/>
      <c r="H8" s="117"/>
      <c r="I8" s="117"/>
      <c r="J8" s="117"/>
      <c r="K8" s="118"/>
      <c r="L8" s="118"/>
      <c r="M8" s="118"/>
      <c r="N8" s="118"/>
      <c r="O8" s="66" t="s">
        <v>132</v>
      </c>
      <c r="P8" s="116"/>
    </row>
    <row r="9" spans="2:20" ht="16.5">
      <c r="B9" s="115"/>
      <c r="C9" s="118"/>
      <c r="D9" s="118"/>
      <c r="E9" s="118"/>
      <c r="F9" s="118"/>
      <c r="G9" s="118"/>
      <c r="H9" s="118"/>
      <c r="I9" s="118"/>
      <c r="J9" s="118"/>
      <c r="K9" s="118"/>
      <c r="L9" s="118"/>
      <c r="M9" s="118"/>
      <c r="N9" s="118"/>
      <c r="O9" s="118"/>
      <c r="P9" s="116"/>
    </row>
    <row r="10" spans="2:20" ht="16.5">
      <c r="B10" s="115"/>
      <c r="C10" s="67" t="s">
        <v>133</v>
      </c>
      <c r="D10" s="68"/>
      <c r="E10" s="68"/>
      <c r="F10" s="68"/>
      <c r="G10" s="68"/>
      <c r="H10" s="68"/>
      <c r="I10" s="68"/>
      <c r="J10" s="68"/>
      <c r="K10" s="68"/>
      <c r="L10" s="68"/>
      <c r="M10" s="68"/>
      <c r="N10" s="68"/>
      <c r="O10" s="69"/>
      <c r="P10" s="116"/>
    </row>
    <row r="11" spans="2:20" ht="16.5">
      <c r="B11" s="115"/>
      <c r="C11" s="70" t="s">
        <v>134</v>
      </c>
      <c r="D11" s="71" t="s">
        <v>131</v>
      </c>
      <c r="E11" s="71"/>
      <c r="F11" s="71"/>
      <c r="G11" s="71"/>
      <c r="H11" s="71"/>
      <c r="I11" s="71"/>
      <c r="J11" s="71"/>
      <c r="K11" s="71" t="s">
        <v>135</v>
      </c>
      <c r="L11" s="71"/>
      <c r="M11" s="71" t="s">
        <v>136</v>
      </c>
      <c r="N11" s="71"/>
      <c r="O11" s="72"/>
      <c r="P11" s="116"/>
    </row>
    <row r="12" spans="2:20" ht="16.5">
      <c r="B12" s="115"/>
      <c r="C12" s="70" t="s">
        <v>137</v>
      </c>
      <c r="D12" s="71" t="s">
        <v>138</v>
      </c>
      <c r="E12" s="71"/>
      <c r="F12" s="71"/>
      <c r="G12" s="71"/>
      <c r="H12" s="71"/>
      <c r="I12" s="71"/>
      <c r="J12" s="71"/>
      <c r="K12" s="71" t="s">
        <v>139</v>
      </c>
      <c r="L12" s="71"/>
      <c r="M12" s="71" t="s">
        <v>140</v>
      </c>
      <c r="N12" s="71"/>
      <c r="O12" s="72"/>
      <c r="P12" s="116"/>
    </row>
    <row r="13" spans="2:20" ht="16.5">
      <c r="B13" s="115"/>
      <c r="C13" s="73"/>
      <c r="D13" s="74" t="s">
        <v>141</v>
      </c>
      <c r="E13" s="74"/>
      <c r="F13" s="74"/>
      <c r="G13" s="74"/>
      <c r="H13" s="74"/>
      <c r="I13" s="74"/>
      <c r="J13" s="74"/>
      <c r="K13" s="74" t="s">
        <v>142</v>
      </c>
      <c r="L13" s="74"/>
      <c r="M13" s="74" t="s">
        <v>143</v>
      </c>
      <c r="N13" s="74"/>
      <c r="O13" s="75"/>
      <c r="P13" s="116"/>
    </row>
    <row r="14" spans="2:20" ht="16.5">
      <c r="B14" s="115"/>
      <c r="C14" s="71"/>
      <c r="D14" s="71"/>
      <c r="E14" s="71"/>
      <c r="F14" s="71"/>
      <c r="G14" s="71"/>
      <c r="H14" s="71"/>
      <c r="I14" s="71"/>
      <c r="J14" s="71"/>
      <c r="K14" s="71"/>
      <c r="L14" s="71"/>
      <c r="M14" s="71"/>
      <c r="N14" s="71"/>
      <c r="O14" s="71"/>
      <c r="P14" s="116"/>
    </row>
    <row r="15" spans="2:20" ht="16.5">
      <c r="B15" s="115"/>
      <c r="C15" s="76" t="s">
        <v>182</v>
      </c>
      <c r="D15" s="77"/>
      <c r="E15" s="77"/>
      <c r="F15" s="77"/>
      <c r="G15" s="77"/>
      <c r="H15" s="77"/>
      <c r="I15" s="77"/>
      <c r="J15" s="77"/>
      <c r="K15" s="77"/>
      <c r="L15" s="77"/>
      <c r="M15" s="77"/>
      <c r="N15" s="77"/>
      <c r="O15" s="78"/>
      <c r="P15" s="116"/>
    </row>
    <row r="16" spans="2:20" ht="9" customHeight="1">
      <c r="B16" s="115"/>
      <c r="C16" s="71"/>
      <c r="D16" s="71"/>
      <c r="E16" s="71"/>
      <c r="F16" s="71"/>
      <c r="G16" s="71"/>
      <c r="H16" s="71"/>
      <c r="I16" s="71"/>
      <c r="J16" s="71"/>
      <c r="K16" s="71"/>
      <c r="L16" s="71"/>
      <c r="M16" s="71"/>
      <c r="N16" s="71"/>
      <c r="O16" s="71"/>
      <c r="P16" s="116"/>
    </row>
    <row r="17" spans="2:16" ht="16.5">
      <c r="B17" s="115"/>
      <c r="C17" s="79" t="s">
        <v>183</v>
      </c>
      <c r="D17" s="80"/>
      <c r="E17" s="80"/>
      <c r="F17" s="80"/>
      <c r="G17" s="80"/>
      <c r="H17" s="81" t="s">
        <v>184</v>
      </c>
      <c r="I17" s="119" t="s">
        <v>185</v>
      </c>
      <c r="J17" s="119"/>
      <c r="K17" s="80" t="s">
        <v>148</v>
      </c>
      <c r="L17" s="80"/>
      <c r="M17" s="80"/>
      <c r="N17" s="80"/>
      <c r="O17" s="82"/>
      <c r="P17" s="116"/>
    </row>
    <row r="18" spans="2:16" ht="16.5">
      <c r="B18" s="115"/>
      <c r="C18" s="87" t="s">
        <v>186</v>
      </c>
      <c r="D18" s="88"/>
      <c r="E18" s="88"/>
      <c r="F18" s="84"/>
      <c r="G18" s="88"/>
      <c r="H18" s="100">
        <v>5100</v>
      </c>
      <c r="I18" s="120" t="s">
        <v>187</v>
      </c>
      <c r="J18" s="120"/>
      <c r="K18" s="88"/>
      <c r="L18" s="88"/>
      <c r="M18" s="88"/>
      <c r="N18" s="88"/>
      <c r="O18" s="90"/>
      <c r="P18" s="116"/>
    </row>
    <row r="19" spans="2:16" ht="16.5">
      <c r="B19" s="115"/>
      <c r="C19" s="87" t="s">
        <v>188</v>
      </c>
      <c r="D19" s="88"/>
      <c r="E19" s="88"/>
      <c r="F19" s="84"/>
      <c r="G19" s="88"/>
      <c r="H19" s="100">
        <v>4200</v>
      </c>
      <c r="I19" s="120" t="s">
        <v>187</v>
      </c>
      <c r="J19" s="120"/>
      <c r="K19" s="88" t="s">
        <v>189</v>
      </c>
      <c r="L19" s="88"/>
      <c r="M19" s="88"/>
      <c r="N19" s="88"/>
      <c r="O19" s="90"/>
      <c r="P19" s="116"/>
    </row>
    <row r="20" spans="2:16" ht="16.5">
      <c r="B20" s="115"/>
      <c r="C20" s="87" t="s">
        <v>190</v>
      </c>
      <c r="D20" s="88"/>
      <c r="E20" s="88"/>
      <c r="F20" s="84"/>
      <c r="G20" s="88"/>
      <c r="H20" s="100">
        <v>22000</v>
      </c>
      <c r="I20" s="120" t="s">
        <v>187</v>
      </c>
      <c r="J20" s="120"/>
      <c r="K20" s="88" t="s">
        <v>191</v>
      </c>
      <c r="L20" s="88"/>
      <c r="M20" s="88"/>
      <c r="N20" s="88"/>
      <c r="O20" s="90"/>
      <c r="P20" s="116"/>
    </row>
    <row r="21" spans="2:16" ht="16.5">
      <c r="B21" s="115"/>
      <c r="C21" s="87" t="s">
        <v>192</v>
      </c>
      <c r="D21" s="88"/>
      <c r="E21" s="88"/>
      <c r="F21" s="84"/>
      <c r="G21" s="88"/>
      <c r="H21" s="100">
        <v>4500</v>
      </c>
      <c r="I21" s="120" t="s">
        <v>187</v>
      </c>
      <c r="J21" s="120"/>
      <c r="K21" s="88"/>
      <c r="L21" s="88"/>
      <c r="M21" s="88"/>
      <c r="N21" s="88"/>
      <c r="O21" s="90"/>
      <c r="P21" s="116"/>
    </row>
    <row r="22" spans="2:16" ht="16.5">
      <c r="B22" s="115"/>
      <c r="C22" s="87" t="s">
        <v>193</v>
      </c>
      <c r="D22" s="88"/>
      <c r="E22" s="88"/>
      <c r="F22" s="84"/>
      <c r="G22" s="88"/>
      <c r="H22" s="100">
        <v>179000</v>
      </c>
      <c r="I22" s="120" t="s">
        <v>187</v>
      </c>
      <c r="J22" s="120"/>
      <c r="K22" s="88" t="s">
        <v>194</v>
      </c>
      <c r="L22" s="88"/>
      <c r="M22" s="88"/>
      <c r="N22" s="88"/>
      <c r="O22" s="90"/>
      <c r="P22" s="116"/>
    </row>
    <row r="23" spans="2:16" ht="16.5">
      <c r="B23" s="115"/>
      <c r="C23" s="87" t="s">
        <v>195</v>
      </c>
      <c r="D23" s="88"/>
      <c r="E23" s="88"/>
      <c r="F23" s="84"/>
      <c r="G23" s="88"/>
      <c r="H23" s="100">
        <v>24000</v>
      </c>
      <c r="I23" s="120" t="s">
        <v>187</v>
      </c>
      <c r="J23" s="120"/>
      <c r="K23" s="88" t="s">
        <v>196</v>
      </c>
      <c r="L23" s="88"/>
      <c r="M23" s="88"/>
      <c r="N23" s="88"/>
      <c r="O23" s="90"/>
      <c r="P23" s="116"/>
    </row>
    <row r="24" spans="2:16" ht="17.25" thickBot="1">
      <c r="B24" s="115"/>
      <c r="C24" s="87" t="s">
        <v>197</v>
      </c>
      <c r="D24" s="88"/>
      <c r="E24" s="88"/>
      <c r="F24" s="84"/>
      <c r="G24" s="88"/>
      <c r="H24" s="100">
        <v>22000</v>
      </c>
      <c r="I24" s="120" t="s">
        <v>187</v>
      </c>
      <c r="J24" s="120"/>
      <c r="K24" s="84" t="s">
        <v>198</v>
      </c>
      <c r="L24" s="88"/>
      <c r="M24" s="88"/>
      <c r="N24" s="88"/>
      <c r="O24" s="90"/>
      <c r="P24" s="116"/>
    </row>
    <row r="25" spans="2:16" ht="17.25" thickTop="1">
      <c r="B25" s="115"/>
      <c r="C25" s="91" t="s">
        <v>7</v>
      </c>
      <c r="D25" s="92"/>
      <c r="E25" s="92"/>
      <c r="F25" s="92"/>
      <c r="G25" s="92"/>
      <c r="H25" s="102">
        <f>SUM(H18:H24)</f>
        <v>260800</v>
      </c>
      <c r="I25" s="102"/>
      <c r="J25" s="92"/>
      <c r="K25" s="92"/>
      <c r="L25" s="92"/>
      <c r="M25" s="92"/>
      <c r="N25" s="92"/>
      <c r="O25" s="94"/>
      <c r="P25" s="116"/>
    </row>
    <row r="26" spans="2:16" ht="16.5">
      <c r="B26" s="115"/>
      <c r="C26" s="71"/>
      <c r="D26" s="71"/>
      <c r="E26" s="71"/>
      <c r="F26" s="71"/>
      <c r="G26" s="71"/>
      <c r="H26" s="71"/>
      <c r="I26" s="71"/>
      <c r="J26" s="71"/>
      <c r="K26" s="71"/>
      <c r="L26" s="71"/>
      <c r="M26" s="71"/>
      <c r="N26" s="71"/>
      <c r="O26" s="71"/>
      <c r="P26" s="116"/>
    </row>
    <row r="27" spans="2:16" ht="16.5">
      <c r="B27" s="115"/>
      <c r="C27" s="95" t="s">
        <v>199</v>
      </c>
      <c r="D27" s="96"/>
      <c r="E27" s="96"/>
      <c r="F27" s="96"/>
      <c r="G27" s="96"/>
      <c r="H27" s="97" t="s">
        <v>200</v>
      </c>
      <c r="I27" s="97"/>
      <c r="J27" s="96"/>
      <c r="K27" s="96" t="s">
        <v>148</v>
      </c>
      <c r="L27" s="96"/>
      <c r="M27" s="96"/>
      <c r="N27" s="96"/>
      <c r="O27" s="98"/>
      <c r="P27" s="116"/>
    </row>
    <row r="28" spans="2:16" ht="16.5">
      <c r="B28" s="115"/>
      <c r="C28" s="87" t="s">
        <v>201</v>
      </c>
      <c r="D28" s="88"/>
      <c r="E28" s="88"/>
      <c r="F28" s="88"/>
      <c r="G28" s="88"/>
      <c r="H28" s="100">
        <v>0</v>
      </c>
      <c r="I28" s="100"/>
      <c r="J28" s="88"/>
      <c r="K28" s="88" t="s">
        <v>202</v>
      </c>
      <c r="L28" s="88"/>
      <c r="M28" s="88"/>
      <c r="N28" s="88"/>
      <c r="O28" s="90"/>
      <c r="P28" s="116"/>
    </row>
    <row r="29" spans="2:16" ht="16.5">
      <c r="B29" s="115"/>
      <c r="C29" s="87" t="s">
        <v>203</v>
      </c>
      <c r="D29" s="88"/>
      <c r="E29" s="88"/>
      <c r="F29" s="88"/>
      <c r="G29" s="88"/>
      <c r="H29" s="100">
        <v>16000</v>
      </c>
      <c r="I29" s="100"/>
      <c r="J29" s="88"/>
      <c r="K29" s="88" t="s">
        <v>204</v>
      </c>
      <c r="L29" s="88"/>
      <c r="M29" s="88"/>
      <c r="N29" s="88"/>
      <c r="O29" s="90"/>
      <c r="P29" s="116"/>
    </row>
    <row r="30" spans="2:16" ht="16.5">
      <c r="B30" s="115"/>
      <c r="C30" s="87" t="s">
        <v>205</v>
      </c>
      <c r="D30" s="88"/>
      <c r="E30" s="88"/>
      <c r="F30" s="88"/>
      <c r="G30" s="88"/>
      <c r="H30" s="100">
        <v>122000</v>
      </c>
      <c r="I30" s="100"/>
      <c r="J30" s="88"/>
      <c r="K30" s="88" t="s">
        <v>194</v>
      </c>
      <c r="L30" s="88"/>
      <c r="M30" s="88"/>
      <c r="N30" s="88"/>
      <c r="O30" s="90"/>
      <c r="P30" s="116"/>
    </row>
    <row r="31" spans="2:16" ht="16.5">
      <c r="B31" s="115"/>
      <c r="C31" s="87" t="s">
        <v>206</v>
      </c>
      <c r="D31" s="88"/>
      <c r="E31" s="88"/>
      <c r="F31" s="88"/>
      <c r="G31" s="88"/>
      <c r="H31" s="100">
        <v>0</v>
      </c>
      <c r="I31" s="100"/>
      <c r="J31" s="88"/>
      <c r="K31" s="88" t="s">
        <v>202</v>
      </c>
      <c r="L31" s="88"/>
      <c r="M31" s="88"/>
      <c r="N31" s="88"/>
      <c r="O31" s="90"/>
      <c r="P31" s="116"/>
    </row>
    <row r="32" spans="2:16" ht="17.25" thickBot="1">
      <c r="B32" s="115"/>
      <c r="C32" s="87" t="s">
        <v>207</v>
      </c>
      <c r="D32" s="88"/>
      <c r="E32" s="88"/>
      <c r="F32" s="88"/>
      <c r="G32" s="88"/>
      <c r="H32" s="100">
        <v>0</v>
      </c>
      <c r="I32" s="100"/>
      <c r="J32" s="88"/>
      <c r="K32" s="88" t="s">
        <v>202</v>
      </c>
      <c r="L32" s="88"/>
      <c r="M32" s="88"/>
      <c r="N32" s="88"/>
      <c r="O32" s="90"/>
      <c r="P32" s="116"/>
    </row>
    <row r="33" spans="2:16" ht="17.25" thickTop="1">
      <c r="B33" s="115"/>
      <c r="C33" s="91" t="s">
        <v>7</v>
      </c>
      <c r="D33" s="92"/>
      <c r="E33" s="92"/>
      <c r="F33" s="92"/>
      <c r="G33" s="92"/>
      <c r="H33" s="102">
        <f>SUM(H28:H32)</f>
        <v>138000</v>
      </c>
      <c r="I33" s="102"/>
      <c r="J33" s="92"/>
      <c r="K33" s="92"/>
      <c r="L33" s="92"/>
      <c r="M33" s="92"/>
      <c r="N33" s="92"/>
      <c r="O33" s="94"/>
      <c r="P33" s="116"/>
    </row>
    <row r="34" spans="2:16" ht="16.5">
      <c r="B34" s="115"/>
      <c r="C34" s="71"/>
      <c r="D34" s="71"/>
      <c r="E34" s="71"/>
      <c r="F34" s="71"/>
      <c r="G34" s="71"/>
      <c r="H34" s="71"/>
      <c r="I34" s="71"/>
      <c r="J34" s="71"/>
      <c r="K34" s="71"/>
      <c r="L34" s="71"/>
      <c r="M34" s="71"/>
      <c r="N34" s="71"/>
      <c r="O34" s="71"/>
      <c r="P34" s="116"/>
    </row>
    <row r="35" spans="2:16" ht="16.5">
      <c r="B35" s="115"/>
      <c r="C35" s="79" t="s">
        <v>181</v>
      </c>
      <c r="D35" s="80"/>
      <c r="E35" s="80"/>
      <c r="F35" s="80"/>
      <c r="G35" s="80"/>
      <c r="H35" s="81" t="s">
        <v>184</v>
      </c>
      <c r="I35" s="81"/>
      <c r="J35" s="80"/>
      <c r="K35" s="80" t="s">
        <v>148</v>
      </c>
      <c r="L35" s="80"/>
      <c r="M35" s="80"/>
      <c r="N35" s="80"/>
      <c r="O35" s="82"/>
      <c r="P35" s="116"/>
    </row>
    <row r="36" spans="2:16" ht="16.5">
      <c r="B36" s="115"/>
      <c r="C36" s="87" t="s">
        <v>183</v>
      </c>
      <c r="D36" s="88"/>
      <c r="E36" s="88"/>
      <c r="F36" s="88"/>
      <c r="G36" s="88"/>
      <c r="H36" s="100">
        <f>H25</f>
        <v>260800</v>
      </c>
      <c r="I36" s="100"/>
      <c r="J36" s="88"/>
      <c r="K36" s="88"/>
      <c r="L36" s="88"/>
      <c r="M36" s="88"/>
      <c r="N36" s="88"/>
      <c r="O36" s="90"/>
      <c r="P36" s="116"/>
    </row>
    <row r="37" spans="2:16" ht="17.25" thickBot="1">
      <c r="B37" s="115"/>
      <c r="C37" s="87" t="s">
        <v>199</v>
      </c>
      <c r="D37" s="88"/>
      <c r="E37" s="88"/>
      <c r="F37" s="88"/>
      <c r="G37" s="88"/>
      <c r="H37" s="100">
        <f>-H33</f>
        <v>-138000</v>
      </c>
      <c r="I37" s="100"/>
      <c r="J37" s="88"/>
      <c r="K37" s="88"/>
      <c r="L37" s="88"/>
      <c r="M37" s="88"/>
      <c r="N37" s="88"/>
      <c r="O37" s="90"/>
      <c r="P37" s="116"/>
    </row>
    <row r="38" spans="2:16" ht="17.25" thickTop="1">
      <c r="B38" s="115"/>
      <c r="C38" s="91" t="s">
        <v>179</v>
      </c>
      <c r="D38" s="92"/>
      <c r="E38" s="92"/>
      <c r="F38" s="92"/>
      <c r="G38" s="92"/>
      <c r="H38" s="102">
        <f>SUM(H36:H37)</f>
        <v>122800</v>
      </c>
      <c r="I38" s="102"/>
      <c r="J38" s="92"/>
      <c r="K38" s="121" t="s">
        <v>53</v>
      </c>
      <c r="L38" s="92"/>
      <c r="M38" s="92"/>
      <c r="N38" s="92"/>
      <c r="O38" s="94"/>
      <c r="P38" s="116"/>
    </row>
    <row r="39" spans="2:16" ht="16.5">
      <c r="B39" s="122"/>
      <c r="C39" s="123"/>
      <c r="D39" s="123"/>
      <c r="E39" s="123"/>
      <c r="F39" s="123"/>
      <c r="G39" s="123"/>
      <c r="H39" s="124"/>
      <c r="I39" s="124"/>
      <c r="J39" s="123"/>
      <c r="K39" s="123"/>
      <c r="L39" s="123"/>
      <c r="M39" s="123"/>
      <c r="N39" s="123"/>
      <c r="O39" s="123"/>
      <c r="P39" s="125"/>
    </row>
    <row r="41" spans="2:16" ht="18">
      <c r="B41" s="135" t="s">
        <v>372</v>
      </c>
      <c r="P41" s="111"/>
    </row>
  </sheetData>
  <sheetProtection algorithmName="SHA-512" hashValue="VEOy3JmTbACnvS02SYko8hygI/QGO3Of7Wy6HojEVd+K/6FGT/xFVw/56j1/OIe+vtiSyU7IAbbxLMQjkaAR3Q==" saltValue="ibgZqs7HYxqSTZOShksn3A=="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0B00-000000000000}"/>
    <hyperlink ref="B41" location="Deckblatt!A1" display="Keine Gewähr für die Richtigkeit der Angaben. Dieses Tool ersetzt keine fundierte Rechts-, Steuer- oder Finanzberatung. Mehr Details hier." xr:uid="{00000000-0004-0000-0B00-000001000000}"/>
  </hyperlinks>
  <pageMargins left="0.23622047244094491" right="0.23622047244094491" top="0.74803149606299213" bottom="0.74803149606299213" header="0.31496062992125984" footer="0.31496062992125984"/>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16</vt:i4>
      </vt:variant>
    </vt:vector>
  </HeadingPairs>
  <TitlesOfParts>
    <vt:vector size="29" baseType="lpstr">
      <vt:lpstr>Deckblatt</vt:lpstr>
      <vt:lpstr>Cockpit</vt:lpstr>
      <vt:lpstr>Bankgespräch</vt:lpstr>
      <vt:lpstr>Miete, Cashflow, Steuern</vt:lpstr>
      <vt:lpstr>Wert, AfA, Darlehen</vt:lpstr>
      <vt:lpstr>Szenarien</vt:lpstr>
      <vt:lpstr>Diagramme</vt:lpstr>
      <vt:lpstr>MFH-Kalkulator</vt:lpstr>
      <vt:lpstr>Sanierungsplaner</vt:lpstr>
      <vt:lpstr>Konfiguration</vt:lpstr>
      <vt:lpstr>Hinweise_AT</vt:lpstr>
      <vt:lpstr>Haushaltsrechnung</vt:lpstr>
      <vt:lpstr>Vermögensaufstellung</vt:lpstr>
      <vt:lpstr>Bankgespräch!Print_Area</vt:lpstr>
      <vt:lpstr>Cockpit!Print_Area</vt:lpstr>
      <vt:lpstr>Deckblatt!Print_Area</vt:lpstr>
      <vt:lpstr>Diagramme!Print_Area</vt:lpstr>
      <vt:lpstr>Haushaltsrechnung!Print_Area</vt:lpstr>
      <vt:lpstr>Hinweise_AT!Print_Area</vt:lpstr>
      <vt:lpstr>Konfiguration!Print_Area</vt:lpstr>
      <vt:lpstr>'MFH-Kalkulator'!Print_Area</vt:lpstr>
      <vt:lpstr>'Miete, Cashflow, Steuern'!Print_Area</vt:lpstr>
      <vt:lpstr>Sanierungsplaner!Print_Area</vt:lpstr>
      <vt:lpstr>Szenarien!Print_Area</vt:lpstr>
      <vt:lpstr>Vermögensaufstellung!Print_Area</vt:lpstr>
      <vt:lpstr>'Wert, AfA, Darlehen'!Print_Area</vt:lpstr>
      <vt:lpstr>'MFH-Kalkulator'!Print_Titles</vt:lpstr>
      <vt:lpstr>'Miete, Cashflow, Steuern'!Print_Titles</vt:lpstr>
      <vt:lpstr>'Wert, AfA, Darlehen'!Print_Titles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2024-02-10T07:55:42Z</dcterms:modified>
</cp:coreProperties>
</file>